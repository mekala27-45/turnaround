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rrier_month" sheetId="2" state="visible" r:id="rId2"/>
    <sheet name="inherited_month" sheetId="3" state="visible" r:id="rId3"/>
    <sheet name="ranking" sheetId="4" state="visible" r:id="rId4"/>
    <sheet name="years" sheetId="5" state="hidden" r:id="rId5"/>
    <sheet name="Ch1 on time by year" sheetId="6" state="visible" r:id="rId6"/>
    <sheet name="Ch2 padding steps" sheetId="7" state="visible" r:id="rId7"/>
    <sheet name="Ch2 padding by carrier" sheetId="8" state="visible" r:id="rId8"/>
    <sheet name="Ch3 the line by carrier" sheetId="9" state="visible" r:id="rId9"/>
    <sheet name="Ch4 buffer curve" sheetId="10" state="visible" r:id="rId10"/>
    <sheet name="Ch5 fair ranking" sheetId="11" state="visible" r:id="rId11"/>
    <sheet name="Ch6 reported causes" sheetId="12" state="visible" r:id="rId12"/>
    <sheet name="Ch6 air traffic by airport" sheetId="13" state="visible" r:id="rId13"/>
    <sheet name="Ch7 known events" sheetId="14" state="visible" r:id="rId14"/>
    <sheet name="Ch7 recovery by carrier" sheetId="15" state="visible" r:id="rId15"/>
    <sheet name="Ch8 by hour" sheetId="16" state="visible" r:id="rId16"/>
    <sheet name="Ch8 by day" sheetId="17" state="visible" r:id="rId17"/>
    <sheet name="Ch8 by month" sheetId="18" state="visible" r:id="rId18"/>
    <sheet name="Ch8 leg of the day" sheetId="19" state="visible" r:id="rId19"/>
    <sheet name="Ch8 connection buffers" sheetId="20" state="visible" r:id="rId20"/>
    <sheet name="Ch8 buffer trade" sheetId="21" state="visible" r:id="rId21"/>
    <sheet name="Recovery study" sheetId="22" state="visible" r:id="rId22"/>
    <sheet name="Metric definitions" sheetId="23" state="visible" r:id="rId23"/>
  </sheets>
  <definedNames>
    <definedName name="cm_carrier">'carrier_month'!$A$2:$A$2087</definedName>
    <definedName name="cm_year">'carrier_month'!$B$2:$B$2087</definedName>
    <definedName name="cm_month">'carrier_month'!$C$2:$C$2087</definedName>
    <definedName name="cm_scheduled">'carrier_month'!$D$2:$D$2087</definedName>
    <definedName name="cm_cancelled">'carrier_month'!$E$2:$E$2087</definedName>
    <definedName name="cm_diverted">'carrier_month'!$F$2:$F$2087</definedName>
    <definedName name="cm_flown">'carrier_month'!$G$2:$G$2087</definedName>
    <definedName name="cm_on_time">'carrier_month'!$H$2:$H$2087</definedName>
    <definedName name="cm_arr_delay_sum">'carrier_month'!$I$2:$I$2087</definedName>
    <definedName name="cm_padding_sum">'carrier_month'!$J$2:$J$2087</definedName>
    <definedName name="cm_padding_flights">'carrier_month'!$K$2:$K$2087</definedName>
    <definedName name="cm_cause_late_aircraft_sum">'carrier_month'!$L$2:$L$2087</definedName>
    <definedName name="cm_cause_carrier_sum">'carrier_month'!$M$2:$M$2087</definedName>
    <definedName name="cm_cause_nas_sum">'carrier_month'!$N$2:$N$2087</definedName>
    <definedName name="cm_cause_weather_sum">'carrier_month'!$O$2:$O$2087</definedName>
    <definedName name="cm_cause_security_sum">'carrier_month'!$P$2:$P$2087</definedName>
    <definedName name="im_carrier">'inherited_month'!$A$2:$A$618</definedName>
    <definedName name="im_year">'inherited_month'!$B$2:$B$618</definedName>
    <definedName name="im_month">'inherited_month'!$C$2:$C$618</definedName>
    <definedName name="im_inherited_minutes_sum">'inherited_month'!$D$2:$D$618</definedName>
    <definedName name="im_arr_delay_pos_sum">'inherited_month'!$E$2:$E$618</definedName>
    <definedName name="im_flown">'inherited_month'!$F$2:$F$618</definedName>
    <definedName name="rank_carrier">'ranking'!$A$2:$A$16</definedName>
    <definedName name="rank_raw">'ranking'!$B$2:$B$16</definedName>
    <definedName name="rank_adjusted">'ranking'!$C$2:$C$16</definedName>
    <definedName name="Year">'Summary'!$B$4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+0.00&quot; min&quot;;-0.00&quot; min&quot;"/>
    <numFmt numFmtId="165" formatCode="0.0%"/>
    <numFmt numFmtId="166" formatCode="0.0&quot; min&quot;"/>
    <numFmt numFmtId="167" formatCode="+0.0&quot; min&quot;;-0.0&quot; min&quot;"/>
    <numFmt numFmtId="168" formatCode="0.000"/>
    <numFmt numFmtId="169" formatCode="0.00&quot; min&quot;"/>
    <numFmt numFmtId="170" formatCode="0&quot; min&quot;"/>
    <numFmt numFmtId="171" formatCode="+0.0&quot; pts&quot;;-0.0&quot; pts&quot;"/>
  </numFmts>
  <fonts count="5">
    <font>
      <name val="Calibri"/>
      <family val="2"/>
      <color theme="1"/>
      <sz val="11"/>
      <scheme val="minor"/>
    </font>
    <font>
      <b val="1"/>
      <color rgb="00141210"/>
    </font>
    <font>
      <b val="1"/>
      <color rgb="00141210"/>
      <sz val="14"/>
    </font>
    <font>
      <b val="1"/>
    </font>
    <font>
      <i val="1"/>
      <color rgb="005A5651"/>
    </font>
  </fonts>
  <fills count="4">
    <fill>
      <patternFill/>
    </fill>
    <fill>
      <patternFill patternType="gray125"/>
    </fill>
    <fill>
      <patternFill patternType="solid">
        <fgColor rgb="00E6E2DB"/>
      </patternFill>
    </fill>
    <fill>
      <patternFill patternType="solid">
        <fgColor rgb="00FCE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164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9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30" customWidth="1" min="3" max="3"/>
  </cols>
  <sheetData>
    <row r="1">
      <c r="A1" s="1" t="inlineStr">
        <is>
          <t>turnaround: the summary computes from the tables in this workbook</t>
        </is>
      </c>
    </row>
    <row r="2" ht="60" customHeight="1">
      <c r="A2" s="2" t="inlineStr">
        <is>
          <t>Public data from the Bureau of Transportation Statistics, the FAA and OurAirports, with weather from Open-Meteo under CC BY 4.0. Carriers and airports are real and appear as they do in the public record; no individual traveler appears. The findings are a portfolio analysis, not an official ranking and not travel advice.</t>
        </is>
      </c>
    </row>
    <row r="4">
      <c r="A4" s="3" t="inlineStr">
        <is>
          <t>Year (change me)</t>
        </is>
      </c>
      <c r="B4" s="4" t="n">
        <v>2025</v>
      </c>
    </row>
    <row r="5">
      <c r="C5" s="5" t="inlineStr">
        <is>
          <t>metric layer name</t>
        </is>
      </c>
    </row>
    <row r="6">
      <c r="A6" t="inlineStr">
        <is>
          <t>Scheduled flights</t>
        </is>
      </c>
      <c r="B6" s="6">
        <f>SUMIFS(cm_scheduled,cm_year,Year)</f>
        <v/>
      </c>
      <c r="C6" t="inlineStr"/>
    </row>
    <row r="7">
      <c r="A7" t="inlineStr">
        <is>
          <t>Flights flown</t>
        </is>
      </c>
      <c r="B7" s="6">
        <f>SUMIFS(cm_flown,cm_year,Year)</f>
        <v/>
      </c>
      <c r="C7" t="inlineStr"/>
    </row>
    <row r="8">
      <c r="A8" t="inlineStr">
        <is>
          <t>On time rate (arrival less than 15 minutes late)</t>
        </is>
      </c>
      <c r="B8" s="7">
        <f>SUMIFS(cm_on_time,cm_year,Year)/SUMIFS(cm_flown,cm_year,Year)</f>
        <v/>
      </c>
      <c r="C8" t="inlineStr">
        <is>
          <t>on_time_rate</t>
        </is>
      </c>
    </row>
    <row r="9">
      <c r="A9" t="inlineStr">
        <is>
          <t>Cancellation rate</t>
        </is>
      </c>
      <c r="B9" s="8">
        <f>SUMIFS(cm_cancelled,cm_year,Year)/SUMIFS(cm_scheduled,cm_year,Year)</f>
        <v/>
      </c>
      <c r="C9" t="inlineStr">
        <is>
          <t>cancellation_rate</t>
        </is>
      </c>
    </row>
    <row r="10">
      <c r="A10" t="inlineStr">
        <is>
          <t>Mean arrival delay</t>
        </is>
      </c>
      <c r="B10" s="9">
        <f>SUMIFS(cm_arr_delay_sum,cm_year,Year)/SUMIFS(cm_flown,cm_year,Year)</f>
        <v/>
      </c>
      <c r="C10" t="inlineStr">
        <is>
          <t>mean_arrival_delay</t>
        </is>
      </c>
    </row>
    <row r="11">
      <c r="A11" t="inlineStr">
        <is>
          <t>Mean padding per flight</t>
        </is>
      </c>
      <c r="B11" s="9">
        <f>SUMIFS(cm_padding_sum,cm_year,Year)/SUMIFS(cm_padding_flights,cm_year,Year)</f>
        <v/>
      </c>
      <c r="C11" t="inlineStr">
        <is>
          <t>mean_padding</t>
        </is>
      </c>
    </row>
    <row r="12">
      <c r="A12" t="inlineStr">
        <is>
          <t>Reported late aircraft share of cause minutes</t>
        </is>
      </c>
      <c r="B12" s="7">
        <f>SUMIFS(cm_cause_late_aircraft_sum,cm_year,Year)/(SUMIFS(cm_cause_late_aircraft_sum,cm_year,Year)+SUMIFS(cm_cause_carrier_sum,cm_year,Year)+SUMIFS(cm_cause_nas_sum,cm_year,Year)+SUMIFS(cm_cause_weather_sum,cm_year,Year)+SUMIFS(cm_cause_security_sum,cm_year,Year))</f>
        <v/>
      </c>
      <c r="C12" t="inlineStr">
        <is>
          <t>reported_late_aircraft_share</t>
        </is>
      </c>
    </row>
    <row r="13">
      <c r="A13" t="inlineStr">
        <is>
          <t>Reported weather share of cause minutes</t>
        </is>
      </c>
      <c r="B13" s="7">
        <f>SUMIFS(cm_cause_weather_sum,cm_year,Year)/(SUMIFS(cm_cause_late_aircraft_sum,cm_year,Year)+SUMIFS(cm_cause_carrier_sum,cm_year,Year)+SUMIFS(cm_cause_nas_sum,cm_year,Year)+SUMIFS(cm_cause_weather_sum,cm_year,Year)+SUMIFS(cm_cause_security_sum,cm_year,Year))</f>
        <v/>
      </c>
      <c r="C13" t="inlineStr">
        <is>
          <t>reported_weather_share</t>
        </is>
      </c>
    </row>
    <row r="14">
      <c r="A14" t="inlineStr">
        <is>
          <t>Reported air traffic system share of cause minutes</t>
        </is>
      </c>
      <c r="B14" s="7">
        <f>SUMIFS(cm_cause_nas_sum,cm_year,Year)/(SUMIFS(cm_cause_late_aircraft_sum,cm_year,Year)+SUMIFS(cm_cause_carrier_sum,cm_year,Year)+SUMIFS(cm_cause_nas_sum,cm_year,Year)+SUMIFS(cm_cause_weather_sum,cm_year,Year)+SUMIFS(cm_cause_security_sum,cm_year,Year))</f>
        <v/>
      </c>
      <c r="C14" t="inlineStr">
        <is>
          <t>reported_nas_share</t>
        </is>
      </c>
    </row>
    <row r="15">
      <c r="A15" t="inlineStr">
        <is>
          <t>Inherited share of arrival delay minutes (reporting years only)</t>
        </is>
      </c>
      <c r="B15" s="7">
        <f>IFERROR(SUMIFS(im_inherited_minutes_sum,im_year,Year)/SUMIFS(im_arr_delay_pos_sum,im_year,Year),"not a reporting year")</f>
        <v/>
      </c>
      <c r="C15" t="inlineStr">
        <is>
          <t>inherited_share</t>
        </is>
      </c>
    </row>
    <row r="16">
      <c r="A16" t="inlineStr">
        <is>
          <t>Least delayed carrier once adjusted (chapter 5)</t>
        </is>
      </c>
      <c r="B16">
        <f>INDEX(rank_carrier,MATCH(1,rank_adjusted,0))</f>
        <v/>
      </c>
      <c r="C16" t="inlineStr"/>
    </row>
    <row r="17">
      <c r="A17" t="inlineStr">
        <is>
          <t>Least delayed carrier on the raw average (chapter 5)</t>
        </is>
      </c>
      <c r="B17">
        <f>INDEX(rank_carrier,MATCH(1,rank_raw,0))</f>
        <v/>
      </c>
      <c r="C17" t="inlineStr"/>
    </row>
  </sheetData>
  <mergeCells count="1">
    <mergeCell ref="A2:C2"/>
  </mergeCells>
  <dataValidations count="1">
    <dataValidation sqref="B4" showDropDown="0" showInputMessage="0" showErrorMessage="0" allowBlank="0" type="list">
      <formula1>='years'!$A$1:$A$12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5" customWidth="1" min="9" max="9"/>
    <col width="13" customWidth="1" min="10" max="10"/>
    <col width="17" customWidth="1" min="11" max="11"/>
    <col width="25" customWidth="1" min="12" max="12"/>
    <col width="19" customWidth="1" min="13" max="13"/>
    <col width="15" customWidth="1" min="14" max="14"/>
    <col width="19" customWidth="1" min="15" max="15"/>
    <col width="20" customWidth="1" min="16" max="16"/>
  </cols>
  <sheetData>
    <row r="1">
      <c r="A1" s="10" t="inlineStr">
        <is>
          <t>carrier</t>
        </is>
      </c>
      <c r="B1" s="11" t="inlineStr">
        <is>
          <t>year</t>
        </is>
      </c>
      <c r="C1" s="11" t="inlineStr">
        <is>
          <t>month</t>
        </is>
      </c>
      <c r="D1" s="11" t="inlineStr">
        <is>
          <t>scheduled</t>
        </is>
      </c>
      <c r="E1" s="11" t="inlineStr">
        <is>
          <t>cancelled</t>
        </is>
      </c>
      <c r="F1" s="11" t="inlineStr">
        <is>
          <t>diverted</t>
        </is>
      </c>
      <c r="G1" s="11" t="inlineStr">
        <is>
          <t>flown</t>
        </is>
      </c>
      <c r="H1" s="11" t="inlineStr">
        <is>
          <t>on_time</t>
        </is>
      </c>
      <c r="I1" s="11" t="inlineStr">
        <is>
          <t>arr_delay_sum</t>
        </is>
      </c>
      <c r="J1" s="11" t="inlineStr">
        <is>
          <t>padding_sum</t>
        </is>
      </c>
      <c r="K1" s="11" t="inlineStr">
        <is>
          <t>padding_flights</t>
        </is>
      </c>
      <c r="L1" s="11" t="inlineStr">
        <is>
          <t>cause_late_aircraft_sum</t>
        </is>
      </c>
      <c r="M1" s="11" t="inlineStr">
        <is>
          <t>cause_carrier_sum</t>
        </is>
      </c>
      <c r="N1" s="11" t="inlineStr">
        <is>
          <t>cause_nas_sum</t>
        </is>
      </c>
      <c r="O1" s="11" t="inlineStr">
        <is>
          <t>cause_weather_sum</t>
        </is>
      </c>
      <c r="P1" s="11" t="inlineStr">
        <is>
          <t>cause_security_sum</t>
        </is>
      </c>
    </row>
    <row r="2">
      <c r="A2" t="inlineStr">
        <is>
          <t>9E</t>
        </is>
      </c>
      <c r="B2" t="n">
        <v>2018</v>
      </c>
      <c r="C2" t="n">
        <v>1</v>
      </c>
      <c r="D2" t="n">
        <v>18234</v>
      </c>
      <c r="E2" t="n">
        <v>1113</v>
      </c>
      <c r="F2" t="n">
        <v>32</v>
      </c>
      <c r="G2" t="n">
        <v>17089</v>
      </c>
      <c r="H2" t="n">
        <v>13955</v>
      </c>
      <c r="I2" t="n">
        <v>54075</v>
      </c>
      <c r="J2" t="n">
        <v>451094.1000000017</v>
      </c>
      <c r="K2" t="n">
        <v>18191</v>
      </c>
      <c r="L2" t="n">
        <v>88424</v>
      </c>
      <c r="M2" t="n">
        <v>79376</v>
      </c>
      <c r="N2" t="n">
        <v>58544</v>
      </c>
      <c r="O2" t="n">
        <v>39907</v>
      </c>
      <c r="P2" t="n">
        <v>1</v>
      </c>
    </row>
    <row r="3">
      <c r="A3" t="inlineStr">
        <is>
          <t>9E</t>
        </is>
      </c>
      <c r="B3" t="n">
        <v>2018</v>
      </c>
      <c r="C3" t="n">
        <v>2</v>
      </c>
      <c r="D3" t="n">
        <v>17375</v>
      </c>
      <c r="E3" t="n">
        <v>421</v>
      </c>
      <c r="F3" t="n">
        <v>58</v>
      </c>
      <c r="G3" t="n">
        <v>16896</v>
      </c>
      <c r="H3" t="n">
        <v>13695</v>
      </c>
      <c r="I3" t="n">
        <v>83808</v>
      </c>
      <c r="J3" t="n">
        <v>416020.8000000025</v>
      </c>
      <c r="K3" t="n">
        <v>17339</v>
      </c>
      <c r="L3" t="n">
        <v>107602</v>
      </c>
      <c r="M3" t="n">
        <v>80740</v>
      </c>
      <c r="N3" t="n">
        <v>61596</v>
      </c>
      <c r="O3" t="n">
        <v>27308</v>
      </c>
      <c r="P3" t="n">
        <v>0</v>
      </c>
    </row>
    <row r="4">
      <c r="A4" t="inlineStr">
        <is>
          <t>9E</t>
        </is>
      </c>
      <c r="B4" t="n">
        <v>2018</v>
      </c>
      <c r="C4" t="n">
        <v>3</v>
      </c>
      <c r="D4" t="n">
        <v>21272</v>
      </c>
      <c r="E4" t="n">
        <v>1533</v>
      </c>
      <c r="F4" t="n">
        <v>30</v>
      </c>
      <c r="G4" t="n">
        <v>19709</v>
      </c>
      <c r="H4" t="n">
        <v>16127</v>
      </c>
      <c r="I4" t="n">
        <v>65997</v>
      </c>
      <c r="J4" t="n">
        <v>437843.0999999995</v>
      </c>
      <c r="K4" t="n">
        <v>21211</v>
      </c>
      <c r="L4" t="n">
        <v>89258</v>
      </c>
      <c r="M4" t="n">
        <v>79839</v>
      </c>
      <c r="N4" t="n">
        <v>50740</v>
      </c>
      <c r="O4" t="n">
        <v>8399</v>
      </c>
      <c r="P4" t="n">
        <v>297</v>
      </c>
    </row>
    <row r="5">
      <c r="A5" t="inlineStr">
        <is>
          <t>9E</t>
        </is>
      </c>
      <c r="B5" t="n">
        <v>2018</v>
      </c>
      <c r="C5" t="n">
        <v>4</v>
      </c>
      <c r="D5" t="n">
        <v>20901</v>
      </c>
      <c r="E5" t="n">
        <v>541</v>
      </c>
      <c r="F5" t="n">
        <v>60</v>
      </c>
      <c r="G5" t="n">
        <v>20300</v>
      </c>
      <c r="H5" t="n">
        <v>16323</v>
      </c>
      <c r="I5" t="n">
        <v>137374</v>
      </c>
      <c r="J5" t="n">
        <v>425905.1999999999</v>
      </c>
      <c r="K5" t="n">
        <v>20861</v>
      </c>
      <c r="L5" t="n">
        <v>137367</v>
      </c>
      <c r="M5" t="n">
        <v>76396</v>
      </c>
      <c r="N5" t="n">
        <v>80842</v>
      </c>
      <c r="O5" t="n">
        <v>19771</v>
      </c>
      <c r="P5" t="n">
        <v>55</v>
      </c>
    </row>
    <row r="6">
      <c r="A6" t="inlineStr">
        <is>
          <t>9E</t>
        </is>
      </c>
      <c r="B6" t="n">
        <v>2018</v>
      </c>
      <c r="C6" t="n">
        <v>5</v>
      </c>
      <c r="D6" t="n">
        <v>20130</v>
      </c>
      <c r="E6" t="n">
        <v>221</v>
      </c>
      <c r="F6" t="n">
        <v>46</v>
      </c>
      <c r="G6" t="n">
        <v>19863</v>
      </c>
      <c r="H6" t="n">
        <v>16622</v>
      </c>
      <c r="I6" t="n">
        <v>42900</v>
      </c>
      <c r="J6" t="n">
        <v>414240.3000000003</v>
      </c>
      <c r="K6" t="n">
        <v>20034</v>
      </c>
      <c r="L6" t="n">
        <v>86840</v>
      </c>
      <c r="M6" t="n">
        <v>72655</v>
      </c>
      <c r="N6" t="n">
        <v>67458</v>
      </c>
      <c r="O6" t="n">
        <v>21827</v>
      </c>
      <c r="P6" t="n">
        <v>14</v>
      </c>
    </row>
    <row r="7">
      <c r="A7" t="inlineStr">
        <is>
          <t>9E</t>
        </is>
      </c>
      <c r="B7" t="n">
        <v>2018</v>
      </c>
      <c r="C7" t="n">
        <v>6</v>
      </c>
      <c r="D7" t="n">
        <v>21948</v>
      </c>
      <c r="E7" t="n">
        <v>148</v>
      </c>
      <c r="F7" t="n">
        <v>61</v>
      </c>
      <c r="G7" t="n">
        <v>21739</v>
      </c>
      <c r="H7" t="n">
        <v>17821</v>
      </c>
      <c r="I7" t="n">
        <v>90732</v>
      </c>
      <c r="J7" t="n">
        <v>473208.7000000006</v>
      </c>
      <c r="K7" t="n">
        <v>21882</v>
      </c>
      <c r="L7" t="n">
        <v>119172</v>
      </c>
      <c r="M7" t="n">
        <v>79695</v>
      </c>
      <c r="N7" t="n">
        <v>81007</v>
      </c>
      <c r="O7" t="n">
        <v>21199</v>
      </c>
      <c r="P7" t="n">
        <v>88</v>
      </c>
    </row>
    <row r="8">
      <c r="A8" t="inlineStr">
        <is>
          <t>9E</t>
        </is>
      </c>
      <c r="B8" t="n">
        <v>2018</v>
      </c>
      <c r="C8" t="n">
        <v>7</v>
      </c>
      <c r="D8" t="n">
        <v>21462</v>
      </c>
      <c r="E8" t="n">
        <v>657</v>
      </c>
      <c r="F8" t="n">
        <v>59</v>
      </c>
      <c r="G8" t="n">
        <v>20746</v>
      </c>
      <c r="H8" t="n">
        <v>16634</v>
      </c>
      <c r="I8" t="n">
        <v>152873</v>
      </c>
      <c r="J8" t="n">
        <v>460701.8000000004</v>
      </c>
      <c r="K8" t="n">
        <v>21442</v>
      </c>
      <c r="L8" t="n">
        <v>135196</v>
      </c>
      <c r="M8" t="n">
        <v>68447</v>
      </c>
      <c r="N8" t="n">
        <v>120929</v>
      </c>
      <c r="O8" t="n">
        <v>25077</v>
      </c>
      <c r="P8" t="n">
        <v>2</v>
      </c>
    </row>
    <row r="9">
      <c r="A9" t="inlineStr">
        <is>
          <t>9E</t>
        </is>
      </c>
      <c r="B9" t="n">
        <v>2018</v>
      </c>
      <c r="C9" t="n">
        <v>8</v>
      </c>
      <c r="D9" t="n">
        <v>22820</v>
      </c>
      <c r="E9" t="n">
        <v>1118</v>
      </c>
      <c r="F9" t="n">
        <v>47</v>
      </c>
      <c r="G9" t="n">
        <v>21655</v>
      </c>
      <c r="H9" t="n">
        <v>17052</v>
      </c>
      <c r="I9" t="n">
        <v>226302</v>
      </c>
      <c r="J9" t="n">
        <v>486770.0999999991</v>
      </c>
      <c r="K9" t="n">
        <v>22797</v>
      </c>
      <c r="L9" t="n">
        <v>153849</v>
      </c>
      <c r="M9" t="n">
        <v>93761</v>
      </c>
      <c r="N9" t="n">
        <v>147867</v>
      </c>
      <c r="O9" t="n">
        <v>26019</v>
      </c>
      <c r="P9" t="n">
        <v>116</v>
      </c>
    </row>
    <row r="10">
      <c r="A10" t="inlineStr">
        <is>
          <t>9E</t>
        </is>
      </c>
      <c r="B10" t="n">
        <v>2018</v>
      </c>
      <c r="C10" t="n">
        <v>9</v>
      </c>
      <c r="D10" t="n">
        <v>19676</v>
      </c>
      <c r="E10" t="n">
        <v>143</v>
      </c>
      <c r="F10" t="n">
        <v>39</v>
      </c>
      <c r="G10" t="n">
        <v>19494</v>
      </c>
      <c r="H10" t="n">
        <v>16197</v>
      </c>
      <c r="I10" t="n">
        <v>53396</v>
      </c>
      <c r="J10" t="n">
        <v>395734.9000000003</v>
      </c>
      <c r="K10" t="n">
        <v>19621</v>
      </c>
      <c r="L10" t="n">
        <v>90065</v>
      </c>
      <c r="M10" t="n">
        <v>55757</v>
      </c>
      <c r="N10" t="n">
        <v>86607</v>
      </c>
      <c r="O10" t="n">
        <v>13707</v>
      </c>
      <c r="P10" t="n">
        <v>0</v>
      </c>
    </row>
    <row r="11">
      <c r="A11" t="inlineStr">
        <is>
          <t>9E</t>
        </is>
      </c>
      <c r="B11" t="n">
        <v>2018</v>
      </c>
      <c r="C11" t="n">
        <v>10</v>
      </c>
      <c r="D11" t="n">
        <v>20943</v>
      </c>
      <c r="E11" t="n">
        <v>89</v>
      </c>
      <c r="F11" t="n">
        <v>35</v>
      </c>
      <c r="G11" t="n">
        <v>20819</v>
      </c>
      <c r="H11" t="n">
        <v>17441</v>
      </c>
      <c r="I11" t="n">
        <v>22368</v>
      </c>
      <c r="J11" t="n">
        <v>406937.2999999993</v>
      </c>
      <c r="K11" t="n">
        <v>20907</v>
      </c>
      <c r="L11" t="n">
        <v>85763</v>
      </c>
      <c r="M11" t="n">
        <v>52770</v>
      </c>
      <c r="N11" t="n">
        <v>61393</v>
      </c>
      <c r="O11" t="n">
        <v>7946</v>
      </c>
      <c r="P11" t="n">
        <v>62</v>
      </c>
    </row>
    <row r="12">
      <c r="A12" t="inlineStr">
        <is>
          <t>9E</t>
        </is>
      </c>
      <c r="B12" t="n">
        <v>2018</v>
      </c>
      <c r="C12" t="n">
        <v>11</v>
      </c>
      <c r="D12" t="n">
        <v>19499</v>
      </c>
      <c r="E12" t="n">
        <v>255</v>
      </c>
      <c r="F12" t="n">
        <v>38</v>
      </c>
      <c r="G12" t="n">
        <v>19206</v>
      </c>
      <c r="H12" t="n">
        <v>15068</v>
      </c>
      <c r="I12" t="n">
        <v>112868</v>
      </c>
      <c r="J12" t="n">
        <v>421104.4999999982</v>
      </c>
      <c r="K12" t="n">
        <v>19385</v>
      </c>
      <c r="L12" t="n">
        <v>122101</v>
      </c>
      <c r="M12" t="n">
        <v>68297</v>
      </c>
      <c r="N12" t="n">
        <v>76074</v>
      </c>
      <c r="O12" t="n">
        <v>16751</v>
      </c>
      <c r="P12" t="n">
        <v>199</v>
      </c>
    </row>
    <row r="13">
      <c r="A13" t="inlineStr">
        <is>
          <t>9E</t>
        </is>
      </c>
      <c r="B13" t="n">
        <v>2018</v>
      </c>
      <c r="C13" t="n">
        <v>12</v>
      </c>
      <c r="D13" t="n">
        <v>20690</v>
      </c>
      <c r="E13" t="n">
        <v>116</v>
      </c>
      <c r="F13" t="n">
        <v>55</v>
      </c>
      <c r="G13" t="n">
        <v>20519</v>
      </c>
      <c r="H13" t="n">
        <v>17149</v>
      </c>
      <c r="I13" t="n">
        <v>13922</v>
      </c>
      <c r="J13" t="n">
        <v>500619.9000000003</v>
      </c>
      <c r="K13" t="n">
        <v>20570</v>
      </c>
      <c r="L13" t="n">
        <v>119827</v>
      </c>
      <c r="M13" t="n">
        <v>78042</v>
      </c>
      <c r="N13" t="n">
        <v>52067</v>
      </c>
      <c r="O13" t="n">
        <v>21721</v>
      </c>
      <c r="P13" t="n">
        <v>229</v>
      </c>
    </row>
    <row r="14">
      <c r="A14" t="inlineStr">
        <is>
          <t>9E</t>
        </is>
      </c>
      <c r="B14" t="n">
        <v>2019</v>
      </c>
      <c r="C14" t="n">
        <v>1</v>
      </c>
      <c r="D14" t="n">
        <v>20198</v>
      </c>
      <c r="E14" t="n">
        <v>341</v>
      </c>
      <c r="F14" t="n">
        <v>36</v>
      </c>
      <c r="G14" t="n">
        <v>19821</v>
      </c>
      <c r="H14" t="n">
        <v>15808</v>
      </c>
      <c r="I14" t="n">
        <v>85806</v>
      </c>
      <c r="J14" t="n">
        <v>485582.2000000002</v>
      </c>
      <c r="K14" t="n">
        <v>20175</v>
      </c>
      <c r="L14" t="n">
        <v>135321</v>
      </c>
      <c r="M14" t="n">
        <v>65980</v>
      </c>
      <c r="N14" t="n">
        <v>87678</v>
      </c>
      <c r="O14" t="n">
        <v>24785</v>
      </c>
      <c r="P14" t="n">
        <v>21</v>
      </c>
    </row>
    <row r="15">
      <c r="A15" t="inlineStr">
        <is>
          <t>9E</t>
        </is>
      </c>
      <c r="B15" t="n">
        <v>2019</v>
      </c>
      <c r="C15" t="n">
        <v>2</v>
      </c>
      <c r="D15" t="n">
        <v>18305</v>
      </c>
      <c r="E15" t="n">
        <v>632</v>
      </c>
      <c r="F15" t="n">
        <v>40</v>
      </c>
      <c r="G15" t="n">
        <v>17633</v>
      </c>
      <c r="H15" t="n">
        <v>13952</v>
      </c>
      <c r="I15" t="n">
        <v>76916</v>
      </c>
      <c r="J15" t="n">
        <v>440400.6000000011</v>
      </c>
      <c r="K15" t="n">
        <v>18294</v>
      </c>
      <c r="L15" t="n">
        <v>119727</v>
      </c>
      <c r="M15" t="n">
        <v>71166</v>
      </c>
      <c r="N15" t="n">
        <v>63038</v>
      </c>
      <c r="O15" t="n">
        <v>24409</v>
      </c>
      <c r="P15" t="n">
        <v>105</v>
      </c>
    </row>
    <row r="16">
      <c r="A16" t="inlineStr">
        <is>
          <t>9E</t>
        </is>
      </c>
      <c r="B16" t="n">
        <v>2019</v>
      </c>
      <c r="C16" t="n">
        <v>3</v>
      </c>
      <c r="D16" t="n">
        <v>22377</v>
      </c>
      <c r="E16" t="n">
        <v>186</v>
      </c>
      <c r="F16" t="n">
        <v>38</v>
      </c>
      <c r="G16" t="n">
        <v>22153</v>
      </c>
      <c r="H16" t="n">
        <v>18720</v>
      </c>
      <c r="I16" t="n">
        <v>27762</v>
      </c>
      <c r="J16" t="n">
        <v>471132.6999999995</v>
      </c>
      <c r="K16" t="n">
        <v>22305</v>
      </c>
      <c r="L16" t="n">
        <v>117443</v>
      </c>
      <c r="M16" t="n">
        <v>73553</v>
      </c>
      <c r="N16" t="n">
        <v>54994</v>
      </c>
      <c r="O16" t="n">
        <v>14473</v>
      </c>
      <c r="P16" t="n">
        <v>44</v>
      </c>
    </row>
    <row r="17">
      <c r="A17" t="inlineStr">
        <is>
          <t>9E</t>
        </is>
      </c>
      <c r="B17" t="n">
        <v>2019</v>
      </c>
      <c r="C17" t="n">
        <v>4</v>
      </c>
      <c r="D17" t="n">
        <v>21030</v>
      </c>
      <c r="E17" t="n">
        <v>385</v>
      </c>
      <c r="F17" t="n">
        <v>63</v>
      </c>
      <c r="G17" t="n">
        <v>20582</v>
      </c>
      <c r="H17" t="n">
        <v>16591</v>
      </c>
      <c r="I17" t="n">
        <v>133985</v>
      </c>
      <c r="J17" t="n">
        <v>422616.7000000009</v>
      </c>
      <c r="K17" t="n">
        <v>21010</v>
      </c>
      <c r="L17" t="n">
        <v>144502</v>
      </c>
      <c r="M17" t="n">
        <v>85752</v>
      </c>
      <c r="N17" t="n">
        <v>84423</v>
      </c>
      <c r="O17" t="n">
        <v>16298</v>
      </c>
      <c r="P17" t="n">
        <v>31</v>
      </c>
    </row>
    <row r="18">
      <c r="A18" t="inlineStr">
        <is>
          <t>9E</t>
        </is>
      </c>
      <c r="B18" t="n">
        <v>2019</v>
      </c>
      <c r="C18" t="n">
        <v>5</v>
      </c>
      <c r="D18" t="n">
        <v>21074</v>
      </c>
      <c r="E18" t="n">
        <v>214</v>
      </c>
      <c r="F18" t="n">
        <v>30</v>
      </c>
      <c r="G18" t="n">
        <v>20830</v>
      </c>
      <c r="H18" t="n">
        <v>17696</v>
      </c>
      <c r="I18" t="n">
        <v>11217</v>
      </c>
      <c r="J18" t="n">
        <v>426631.2999999985</v>
      </c>
      <c r="K18" t="n">
        <v>21014</v>
      </c>
      <c r="L18" t="n">
        <v>88850</v>
      </c>
      <c r="M18" t="n">
        <v>57172</v>
      </c>
      <c r="N18" t="n">
        <v>76000</v>
      </c>
      <c r="O18" t="n">
        <v>10524</v>
      </c>
      <c r="P18" t="n">
        <v>0</v>
      </c>
    </row>
    <row r="19">
      <c r="A19" t="inlineStr">
        <is>
          <t>9E</t>
        </is>
      </c>
      <c r="B19" t="n">
        <v>2019</v>
      </c>
      <c r="C19" t="n">
        <v>6</v>
      </c>
      <c r="D19" t="n">
        <v>21882</v>
      </c>
      <c r="E19" t="n">
        <v>563</v>
      </c>
      <c r="F19" t="n">
        <v>83</v>
      </c>
      <c r="G19" t="n">
        <v>21236</v>
      </c>
      <c r="H19" t="n">
        <v>15804</v>
      </c>
      <c r="I19" t="n">
        <v>325498</v>
      </c>
      <c r="J19" t="n">
        <v>458925.5000000009</v>
      </c>
      <c r="K19" t="n">
        <v>21809</v>
      </c>
      <c r="L19" t="n">
        <v>232257</v>
      </c>
      <c r="M19" t="n">
        <v>124483</v>
      </c>
      <c r="N19" t="n">
        <v>117237</v>
      </c>
      <c r="O19" t="n">
        <v>33529</v>
      </c>
      <c r="P19" t="n">
        <v>48</v>
      </c>
    </row>
    <row r="20">
      <c r="A20" t="inlineStr">
        <is>
          <t>9E</t>
        </is>
      </c>
      <c r="B20" t="n">
        <v>2019</v>
      </c>
      <c r="C20" t="n">
        <v>7</v>
      </c>
      <c r="D20" t="n">
        <v>22312</v>
      </c>
      <c r="E20" t="n">
        <v>758</v>
      </c>
      <c r="F20" t="n">
        <v>50</v>
      </c>
      <c r="G20" t="n">
        <v>21504</v>
      </c>
      <c r="H20" t="n">
        <v>17349</v>
      </c>
      <c r="I20" t="n">
        <v>161512</v>
      </c>
      <c r="J20" t="n">
        <v>473864.6999999998</v>
      </c>
      <c r="K20" t="n">
        <v>22239</v>
      </c>
      <c r="L20" t="n">
        <v>147873</v>
      </c>
      <c r="M20" t="n">
        <v>100902</v>
      </c>
      <c r="N20" t="n">
        <v>105923</v>
      </c>
      <c r="O20" t="n">
        <v>33930</v>
      </c>
      <c r="P20" t="n">
        <v>114</v>
      </c>
    </row>
    <row r="21">
      <c r="A21" t="inlineStr">
        <is>
          <t>9E</t>
        </is>
      </c>
      <c r="B21" t="n">
        <v>2019</v>
      </c>
      <c r="C21" t="n">
        <v>8</v>
      </c>
      <c r="D21" t="n">
        <v>23338</v>
      </c>
      <c r="E21" t="n">
        <v>667</v>
      </c>
      <c r="F21" t="n">
        <v>48</v>
      </c>
      <c r="G21" t="n">
        <v>22623</v>
      </c>
      <c r="H21" t="n">
        <v>18501</v>
      </c>
      <c r="I21" t="n">
        <v>100705</v>
      </c>
      <c r="J21" t="n">
        <v>496010.3999999991</v>
      </c>
      <c r="K21" t="n">
        <v>23258</v>
      </c>
      <c r="L21" t="n">
        <v>125743</v>
      </c>
      <c r="M21" t="n">
        <v>88995</v>
      </c>
      <c r="N21" t="n">
        <v>101727</v>
      </c>
      <c r="O21" t="n">
        <v>17567</v>
      </c>
      <c r="P21" t="n">
        <v>51</v>
      </c>
    </row>
    <row r="22">
      <c r="A22" t="inlineStr">
        <is>
          <t>9E</t>
        </is>
      </c>
      <c r="B22" t="n">
        <v>2019</v>
      </c>
      <c r="C22" t="n">
        <v>9</v>
      </c>
      <c r="D22" t="n">
        <v>20912</v>
      </c>
      <c r="E22" t="n">
        <v>112</v>
      </c>
      <c r="F22" t="n">
        <v>31</v>
      </c>
      <c r="G22" t="n">
        <v>20769</v>
      </c>
      <c r="H22" t="n">
        <v>18404</v>
      </c>
      <c r="I22" t="n">
        <v>-85488</v>
      </c>
      <c r="J22" t="n">
        <v>412717.5000000003</v>
      </c>
      <c r="K22" t="n">
        <v>20874</v>
      </c>
      <c r="L22" t="n">
        <v>60417</v>
      </c>
      <c r="M22" t="n">
        <v>46414</v>
      </c>
      <c r="N22" t="n">
        <v>55856</v>
      </c>
      <c r="O22" t="n">
        <v>8430</v>
      </c>
      <c r="P22" t="n">
        <v>16</v>
      </c>
    </row>
    <row r="23">
      <c r="A23" t="inlineStr">
        <is>
          <t>9E</t>
        </is>
      </c>
      <c r="B23" t="n">
        <v>2019</v>
      </c>
      <c r="C23" t="n">
        <v>10</v>
      </c>
      <c r="D23" t="n">
        <v>21516</v>
      </c>
      <c r="E23" t="n">
        <v>113</v>
      </c>
      <c r="F23" t="n">
        <v>28</v>
      </c>
      <c r="G23" t="n">
        <v>21375</v>
      </c>
      <c r="H23" t="n">
        <v>17898</v>
      </c>
      <c r="I23" t="n">
        <v>-1460</v>
      </c>
      <c r="J23" t="n">
        <v>439999.0999999985</v>
      </c>
      <c r="K23" t="n">
        <v>21448</v>
      </c>
      <c r="L23" t="n">
        <v>91933</v>
      </c>
      <c r="M23" t="n">
        <v>51859</v>
      </c>
      <c r="N23" t="n">
        <v>73080</v>
      </c>
      <c r="O23" t="n">
        <v>6776</v>
      </c>
      <c r="P23" t="n">
        <v>40</v>
      </c>
    </row>
    <row r="24">
      <c r="A24" t="inlineStr">
        <is>
          <t>9E</t>
        </is>
      </c>
      <c r="B24" t="n">
        <v>2019</v>
      </c>
      <c r="C24" t="n">
        <v>11</v>
      </c>
      <c r="D24" t="n">
        <v>20823</v>
      </c>
      <c r="E24" t="n">
        <v>40</v>
      </c>
      <c r="F24" t="n">
        <v>23</v>
      </c>
      <c r="G24" t="n">
        <v>20760</v>
      </c>
      <c r="H24" t="n">
        <v>18278</v>
      </c>
      <c r="I24" t="n">
        <v>-84445</v>
      </c>
      <c r="J24" t="n">
        <v>448782.0000000002</v>
      </c>
      <c r="K24" t="n">
        <v>20679</v>
      </c>
      <c r="L24" t="n">
        <v>70441</v>
      </c>
      <c r="M24" t="n">
        <v>60642</v>
      </c>
      <c r="N24" t="n">
        <v>35147</v>
      </c>
      <c r="O24" t="n">
        <v>4143</v>
      </c>
      <c r="P24" t="n">
        <v>27</v>
      </c>
    </row>
    <row r="25">
      <c r="A25" t="inlineStr">
        <is>
          <t>9E</t>
        </is>
      </c>
      <c r="B25" t="n">
        <v>2019</v>
      </c>
      <c r="C25" t="n">
        <v>12</v>
      </c>
      <c r="D25" t="n">
        <v>23365</v>
      </c>
      <c r="E25" t="n">
        <v>246</v>
      </c>
      <c r="F25" t="n">
        <v>57</v>
      </c>
      <c r="G25" t="n">
        <v>23062</v>
      </c>
      <c r="H25" t="n">
        <v>19097</v>
      </c>
      <c r="I25" t="n">
        <v>21147</v>
      </c>
      <c r="J25" t="n">
        <v>554217.5000000047</v>
      </c>
      <c r="K25" t="n">
        <v>23206</v>
      </c>
      <c r="L25" t="n">
        <v>126776</v>
      </c>
      <c r="M25" t="n">
        <v>81530</v>
      </c>
      <c r="N25" t="n">
        <v>73966</v>
      </c>
      <c r="O25" t="n">
        <v>22658</v>
      </c>
      <c r="P25" t="n">
        <v>150</v>
      </c>
    </row>
    <row r="26">
      <c r="A26" t="inlineStr">
        <is>
          <t>9E</t>
        </is>
      </c>
      <c r="B26" t="n">
        <v>2020</v>
      </c>
      <c r="C26" t="n">
        <v>1</v>
      </c>
      <c r="D26" t="n">
        <v>23068</v>
      </c>
      <c r="E26" t="n">
        <v>76</v>
      </c>
      <c r="F26" t="n">
        <v>37</v>
      </c>
      <c r="G26" t="n">
        <v>22955</v>
      </c>
      <c r="H26" t="n">
        <v>20440</v>
      </c>
      <c r="I26" t="n">
        <v>-141296</v>
      </c>
      <c r="J26" t="n">
        <v>540380.4000000007</v>
      </c>
      <c r="K26" t="n">
        <v>23025</v>
      </c>
      <c r="L26" t="n">
        <v>72418</v>
      </c>
      <c r="M26" t="n">
        <v>64238</v>
      </c>
      <c r="N26" t="n">
        <v>39587</v>
      </c>
      <c r="O26" t="n">
        <v>20890</v>
      </c>
      <c r="P26" t="n">
        <v>63</v>
      </c>
    </row>
    <row r="27">
      <c r="A27" t="inlineStr">
        <is>
          <t>9E</t>
        </is>
      </c>
      <c r="B27" t="n">
        <v>2020</v>
      </c>
      <c r="C27" t="n">
        <v>2</v>
      </c>
      <c r="D27" t="n">
        <v>21623</v>
      </c>
      <c r="E27" t="n">
        <v>81</v>
      </c>
      <c r="F27" t="n">
        <v>44</v>
      </c>
      <c r="G27" t="n">
        <v>21498</v>
      </c>
      <c r="H27" t="n">
        <v>18090</v>
      </c>
      <c r="I27" t="n">
        <v>-14665</v>
      </c>
      <c r="J27" t="n">
        <v>503799.9999999992</v>
      </c>
      <c r="K27" t="n">
        <v>21571</v>
      </c>
      <c r="L27" t="n">
        <v>122443</v>
      </c>
      <c r="M27" t="n">
        <v>66874</v>
      </c>
      <c r="N27" t="n">
        <v>61141</v>
      </c>
      <c r="O27" t="n">
        <v>15416</v>
      </c>
      <c r="P27" t="n">
        <v>23</v>
      </c>
    </row>
    <row r="28">
      <c r="A28" t="inlineStr">
        <is>
          <t>9E</t>
        </is>
      </c>
      <c r="B28" t="n">
        <v>2020</v>
      </c>
      <c r="C28" t="n">
        <v>3</v>
      </c>
      <c r="D28" t="n">
        <v>25996</v>
      </c>
      <c r="E28" t="n">
        <v>3438</v>
      </c>
      <c r="F28" t="n">
        <v>21</v>
      </c>
      <c r="G28" t="n">
        <v>22537</v>
      </c>
      <c r="H28" t="n">
        <v>20931</v>
      </c>
      <c r="I28" t="n">
        <v>-277021</v>
      </c>
      <c r="J28" t="n">
        <v>579082.9000000006</v>
      </c>
      <c r="K28" t="n">
        <v>25671</v>
      </c>
      <c r="L28" t="n">
        <v>34257</v>
      </c>
      <c r="M28" t="n">
        <v>45697</v>
      </c>
      <c r="N28" t="n">
        <v>17961</v>
      </c>
      <c r="O28" t="n">
        <v>3812</v>
      </c>
      <c r="P28" t="n">
        <v>35</v>
      </c>
    </row>
    <row r="29">
      <c r="A29" t="inlineStr">
        <is>
          <t>9E</t>
        </is>
      </c>
      <c r="B29" t="n">
        <v>2020</v>
      </c>
      <c r="C29" t="n">
        <v>4</v>
      </c>
      <c r="D29" t="n">
        <v>6283</v>
      </c>
      <c r="E29" t="n">
        <v>1916</v>
      </c>
      <c r="F29" t="n">
        <v>3</v>
      </c>
      <c r="G29" t="n">
        <v>4364</v>
      </c>
      <c r="H29" t="n">
        <v>4083</v>
      </c>
      <c r="I29" t="n">
        <v>-34354</v>
      </c>
      <c r="J29" t="n">
        <v>67277.79999999997</v>
      </c>
      <c r="K29" t="n">
        <v>6239</v>
      </c>
      <c r="L29" t="n">
        <v>1567</v>
      </c>
      <c r="M29" t="n">
        <v>10687</v>
      </c>
      <c r="N29" t="n">
        <v>2979</v>
      </c>
      <c r="O29" t="n">
        <v>1056</v>
      </c>
      <c r="P29" t="n">
        <v>0</v>
      </c>
    </row>
    <row r="30">
      <c r="A30" t="inlineStr">
        <is>
          <t>9E</t>
        </is>
      </c>
      <c r="B30" t="n">
        <v>2020</v>
      </c>
      <c r="C30" t="n">
        <v>5</v>
      </c>
      <c r="D30" t="n">
        <v>7423</v>
      </c>
      <c r="E30" t="n">
        <v>860</v>
      </c>
      <c r="F30" t="n">
        <v>1</v>
      </c>
      <c r="G30" t="n">
        <v>6562</v>
      </c>
      <c r="H30" t="n">
        <v>6312</v>
      </c>
      <c r="I30" t="n">
        <v>-54196</v>
      </c>
      <c r="J30" t="n">
        <v>67982.89999999998</v>
      </c>
      <c r="K30" t="n">
        <v>7393</v>
      </c>
      <c r="L30" t="n">
        <v>972</v>
      </c>
      <c r="M30" t="n">
        <v>13155</v>
      </c>
      <c r="N30" t="n">
        <v>1702</v>
      </c>
      <c r="O30" t="n">
        <v>1109</v>
      </c>
      <c r="P30" t="n">
        <v>29</v>
      </c>
    </row>
    <row r="31">
      <c r="A31" t="inlineStr">
        <is>
          <t>9E</t>
        </is>
      </c>
      <c r="B31" t="n">
        <v>2020</v>
      </c>
      <c r="C31" t="n">
        <v>6</v>
      </c>
      <c r="D31" t="n">
        <v>9155</v>
      </c>
      <c r="E31" t="n">
        <v>143</v>
      </c>
      <c r="F31" t="n">
        <v>7</v>
      </c>
      <c r="G31" t="n">
        <v>9005</v>
      </c>
      <c r="H31" t="n">
        <v>8617</v>
      </c>
      <c r="I31" t="n">
        <v>-74632</v>
      </c>
      <c r="J31" t="n">
        <v>94341.90000000002</v>
      </c>
      <c r="K31" t="n">
        <v>9152</v>
      </c>
      <c r="L31" t="n">
        <v>2967</v>
      </c>
      <c r="M31" t="n">
        <v>20672</v>
      </c>
      <c r="N31" t="n">
        <v>3522</v>
      </c>
      <c r="O31" t="n">
        <v>1348</v>
      </c>
      <c r="P31" t="n">
        <v>67</v>
      </c>
    </row>
    <row r="32">
      <c r="A32" t="inlineStr">
        <is>
          <t>9E</t>
        </is>
      </c>
      <c r="B32" t="n">
        <v>2020</v>
      </c>
      <c r="C32" t="n">
        <v>7</v>
      </c>
      <c r="D32" t="n">
        <v>16292</v>
      </c>
      <c r="E32" t="n">
        <v>17</v>
      </c>
      <c r="F32" t="n">
        <v>28</v>
      </c>
      <c r="G32" t="n">
        <v>16247</v>
      </c>
      <c r="H32" t="n">
        <v>15014</v>
      </c>
      <c r="I32" t="n">
        <v>-68242</v>
      </c>
      <c r="J32" t="n">
        <v>162832.5999999991</v>
      </c>
      <c r="K32" t="n">
        <v>16279</v>
      </c>
      <c r="L32" t="n">
        <v>13765</v>
      </c>
      <c r="M32" t="n">
        <v>34485</v>
      </c>
      <c r="N32" t="n">
        <v>18916</v>
      </c>
      <c r="O32" t="n">
        <v>6415</v>
      </c>
      <c r="P32" t="n">
        <v>317</v>
      </c>
    </row>
    <row r="33">
      <c r="A33" t="inlineStr">
        <is>
          <t>9E</t>
        </is>
      </c>
      <c r="B33" t="n">
        <v>2020</v>
      </c>
      <c r="C33" t="n">
        <v>8</v>
      </c>
      <c r="D33" t="n">
        <v>17899</v>
      </c>
      <c r="E33" t="n">
        <v>169</v>
      </c>
      <c r="F33" t="n">
        <v>27</v>
      </c>
      <c r="G33" t="n">
        <v>17703</v>
      </c>
      <c r="H33" t="n">
        <v>16401</v>
      </c>
      <c r="I33" t="n">
        <v>-117150</v>
      </c>
      <c r="J33" t="n">
        <v>248043.0999999996</v>
      </c>
      <c r="K33" t="n">
        <v>17899</v>
      </c>
      <c r="L33" t="n">
        <v>23582</v>
      </c>
      <c r="M33" t="n">
        <v>46677</v>
      </c>
      <c r="N33" t="n">
        <v>14539</v>
      </c>
      <c r="O33" t="n">
        <v>9085</v>
      </c>
      <c r="P33" t="n">
        <v>78</v>
      </c>
    </row>
    <row r="34">
      <c r="A34" t="inlineStr">
        <is>
          <t>9E</t>
        </is>
      </c>
      <c r="B34" t="n">
        <v>2020</v>
      </c>
      <c r="C34" t="n">
        <v>9</v>
      </c>
      <c r="D34" t="n">
        <v>18929</v>
      </c>
      <c r="E34" t="n">
        <v>46</v>
      </c>
      <c r="F34" t="n">
        <v>4</v>
      </c>
      <c r="G34" t="n">
        <v>18879</v>
      </c>
      <c r="H34" t="n">
        <v>18260</v>
      </c>
      <c r="I34" t="n">
        <v>-189912</v>
      </c>
      <c r="J34" t="n">
        <v>240860.6</v>
      </c>
      <c r="K34" t="n">
        <v>18927</v>
      </c>
      <c r="L34" t="n">
        <v>5359</v>
      </c>
      <c r="M34" t="n">
        <v>26242</v>
      </c>
      <c r="N34" t="n">
        <v>4077</v>
      </c>
      <c r="O34" t="n">
        <v>1790</v>
      </c>
      <c r="P34" t="n">
        <v>92</v>
      </c>
    </row>
    <row r="35">
      <c r="A35" t="inlineStr">
        <is>
          <t>9E</t>
        </is>
      </c>
      <c r="B35" t="n">
        <v>2020</v>
      </c>
      <c r="C35" t="n">
        <v>10</v>
      </c>
      <c r="D35" t="n">
        <v>21639</v>
      </c>
      <c r="E35" t="n">
        <v>28</v>
      </c>
      <c r="F35" t="n">
        <v>22</v>
      </c>
      <c r="G35" t="n">
        <v>21589</v>
      </c>
      <c r="H35" t="n">
        <v>20365</v>
      </c>
      <c r="I35" t="n">
        <v>-157821</v>
      </c>
      <c r="J35" t="n">
        <v>289720.7999999981</v>
      </c>
      <c r="K35" t="n">
        <v>21639</v>
      </c>
      <c r="L35" t="n">
        <v>17071</v>
      </c>
      <c r="M35" t="n">
        <v>44971</v>
      </c>
      <c r="N35" t="n">
        <v>13330</v>
      </c>
      <c r="O35" t="n">
        <v>5806</v>
      </c>
      <c r="P35" t="n">
        <v>36</v>
      </c>
    </row>
    <row r="36">
      <c r="A36" t="inlineStr">
        <is>
          <t>9E</t>
        </is>
      </c>
      <c r="B36" t="n">
        <v>2020</v>
      </c>
      <c r="C36" t="n">
        <v>11</v>
      </c>
      <c r="D36" t="n">
        <v>21081</v>
      </c>
      <c r="E36" t="n">
        <v>2</v>
      </c>
      <c r="F36" t="n">
        <v>21</v>
      </c>
      <c r="G36" t="n">
        <v>21058</v>
      </c>
      <c r="H36" t="n">
        <v>20045</v>
      </c>
      <c r="I36" t="n">
        <v>-215268</v>
      </c>
      <c r="J36" t="n">
        <v>334915.6999999986</v>
      </c>
      <c r="K36" t="n">
        <v>21071</v>
      </c>
      <c r="L36" t="n">
        <v>11801</v>
      </c>
      <c r="M36" t="n">
        <v>27980</v>
      </c>
      <c r="N36" t="n">
        <v>14354</v>
      </c>
      <c r="O36" t="n">
        <v>2551</v>
      </c>
      <c r="P36" t="n">
        <v>50</v>
      </c>
    </row>
    <row r="37">
      <c r="A37" t="inlineStr">
        <is>
          <t>9E</t>
        </is>
      </c>
      <c r="B37" t="n">
        <v>2020</v>
      </c>
      <c r="C37" t="n">
        <v>12</v>
      </c>
      <c r="D37" t="n">
        <v>22010</v>
      </c>
      <c r="E37" t="n">
        <v>166</v>
      </c>
      <c r="F37" t="n">
        <v>26</v>
      </c>
      <c r="G37" t="n">
        <v>21818</v>
      </c>
      <c r="H37" t="n">
        <v>19923</v>
      </c>
      <c r="I37" t="n">
        <v>-97369</v>
      </c>
      <c r="J37" t="n">
        <v>322581.5000000009</v>
      </c>
      <c r="K37" t="n">
        <v>21988</v>
      </c>
      <c r="L37" t="n">
        <v>29976</v>
      </c>
      <c r="M37" t="n">
        <v>61305</v>
      </c>
      <c r="N37" t="n">
        <v>24968</v>
      </c>
      <c r="O37" t="n">
        <v>10256</v>
      </c>
      <c r="P37" t="n">
        <v>98</v>
      </c>
    </row>
    <row r="38">
      <c r="A38" t="inlineStr">
        <is>
          <t>9E</t>
        </is>
      </c>
      <c r="B38" t="n">
        <v>2021</v>
      </c>
      <c r="C38" t="n">
        <v>1</v>
      </c>
      <c r="D38" t="n">
        <v>19501</v>
      </c>
      <c r="E38" t="n">
        <v>23</v>
      </c>
      <c r="F38" t="n">
        <v>25</v>
      </c>
      <c r="G38" t="n">
        <v>19453</v>
      </c>
      <c r="H38" t="n">
        <v>18069</v>
      </c>
      <c r="I38" t="n">
        <v>-149132</v>
      </c>
      <c r="J38" t="n">
        <v>350688.9999999993</v>
      </c>
      <c r="K38" t="n">
        <v>19440</v>
      </c>
      <c r="L38" t="n">
        <v>28268</v>
      </c>
      <c r="M38" t="n">
        <v>41965</v>
      </c>
      <c r="N38" t="n">
        <v>19833</v>
      </c>
      <c r="O38" t="n">
        <v>23656</v>
      </c>
      <c r="P38" t="n">
        <v>81</v>
      </c>
    </row>
    <row r="39">
      <c r="A39" t="inlineStr">
        <is>
          <t>9E</t>
        </is>
      </c>
      <c r="B39" t="n">
        <v>2021</v>
      </c>
      <c r="C39" t="n">
        <v>2</v>
      </c>
      <c r="D39" t="n">
        <v>17360</v>
      </c>
      <c r="E39" t="n">
        <v>524</v>
      </c>
      <c r="F39" t="n">
        <v>28</v>
      </c>
      <c r="G39" t="n">
        <v>16808</v>
      </c>
      <c r="H39" t="n">
        <v>15386</v>
      </c>
      <c r="I39" t="n">
        <v>-105130</v>
      </c>
      <c r="J39" t="n">
        <v>325501.600000001</v>
      </c>
      <c r="K39" t="n">
        <v>17338</v>
      </c>
      <c r="L39" t="n">
        <v>30081</v>
      </c>
      <c r="M39" t="n">
        <v>33600</v>
      </c>
      <c r="N39" t="n">
        <v>19870</v>
      </c>
      <c r="O39" t="n">
        <v>31920</v>
      </c>
      <c r="P39" t="n">
        <v>91</v>
      </c>
    </row>
    <row r="40">
      <c r="A40" t="inlineStr">
        <is>
          <t>9E</t>
        </is>
      </c>
      <c r="B40" t="n">
        <v>2021</v>
      </c>
      <c r="C40" t="n">
        <v>3</v>
      </c>
      <c r="D40" t="n">
        <v>21394</v>
      </c>
      <c r="E40" t="n">
        <v>0</v>
      </c>
      <c r="F40" t="n">
        <v>24</v>
      </c>
      <c r="G40" t="n">
        <v>21370</v>
      </c>
      <c r="H40" t="n">
        <v>20248</v>
      </c>
      <c r="I40" t="n">
        <v>-229037</v>
      </c>
      <c r="J40" t="n">
        <v>381810.300000002</v>
      </c>
      <c r="K40" t="n">
        <v>21391</v>
      </c>
      <c r="L40" t="n">
        <v>15618</v>
      </c>
      <c r="M40" t="n">
        <v>33874</v>
      </c>
      <c r="N40" t="n">
        <v>14838</v>
      </c>
      <c r="O40" t="n">
        <v>4550</v>
      </c>
      <c r="P40" t="n">
        <v>70</v>
      </c>
    </row>
    <row r="41">
      <c r="A41" t="inlineStr">
        <is>
          <t>9E</t>
        </is>
      </c>
      <c r="B41" t="n">
        <v>2021</v>
      </c>
      <c r="C41" t="n">
        <v>4</v>
      </c>
      <c r="D41" t="n">
        <v>22560</v>
      </c>
      <c r="E41" t="n">
        <v>0</v>
      </c>
      <c r="F41" t="n">
        <v>21</v>
      </c>
      <c r="G41" t="n">
        <v>22539</v>
      </c>
      <c r="H41" t="n">
        <v>21511</v>
      </c>
      <c r="I41" t="n">
        <v>-266326</v>
      </c>
      <c r="J41" t="n">
        <v>418595.5999999993</v>
      </c>
      <c r="K41" t="n">
        <v>22556</v>
      </c>
      <c r="L41" t="n">
        <v>15900</v>
      </c>
      <c r="M41" t="n">
        <v>37157</v>
      </c>
      <c r="N41" t="n">
        <v>9068</v>
      </c>
      <c r="O41" t="n">
        <v>6396</v>
      </c>
      <c r="P41" t="n">
        <v>51</v>
      </c>
    </row>
    <row r="42">
      <c r="A42" t="inlineStr">
        <is>
          <t>9E</t>
        </is>
      </c>
      <c r="B42" t="n">
        <v>2021</v>
      </c>
      <c r="C42" t="n">
        <v>5</v>
      </c>
      <c r="D42" t="n">
        <v>24103</v>
      </c>
      <c r="E42" t="n">
        <v>13</v>
      </c>
      <c r="F42" t="n">
        <v>22</v>
      </c>
      <c r="G42" t="n">
        <v>24068</v>
      </c>
      <c r="H42" t="n">
        <v>22311</v>
      </c>
      <c r="I42" t="n">
        <v>-159876</v>
      </c>
      <c r="J42" t="n">
        <v>398342.9999999993</v>
      </c>
      <c r="K42" t="n">
        <v>23865</v>
      </c>
      <c r="L42" t="n">
        <v>49102</v>
      </c>
      <c r="M42" t="n">
        <v>53108</v>
      </c>
      <c r="N42" t="n">
        <v>21288</v>
      </c>
      <c r="O42" t="n">
        <v>9948</v>
      </c>
      <c r="P42" t="n">
        <v>333</v>
      </c>
    </row>
    <row r="43">
      <c r="A43" t="inlineStr">
        <is>
          <t>9E</t>
        </is>
      </c>
      <c r="B43" t="n">
        <v>2021</v>
      </c>
      <c r="C43" t="n">
        <v>6</v>
      </c>
      <c r="D43" t="n">
        <v>25214</v>
      </c>
      <c r="E43" t="n">
        <v>38</v>
      </c>
      <c r="F43" t="n">
        <v>58</v>
      </c>
      <c r="G43" t="n">
        <v>25118</v>
      </c>
      <c r="H43" t="n">
        <v>22312</v>
      </c>
      <c r="I43" t="n">
        <v>-75302</v>
      </c>
      <c r="J43" t="n">
        <v>436724.3999999993</v>
      </c>
      <c r="K43" t="n">
        <v>25068</v>
      </c>
      <c r="L43" t="n">
        <v>65850</v>
      </c>
      <c r="M43" t="n">
        <v>84869</v>
      </c>
      <c r="N43" t="n">
        <v>35741</v>
      </c>
      <c r="O43" t="n">
        <v>19633</v>
      </c>
      <c r="P43" t="n">
        <v>90</v>
      </c>
    </row>
    <row r="44">
      <c r="A44" t="inlineStr">
        <is>
          <t>9E</t>
        </is>
      </c>
      <c r="B44" t="n">
        <v>2021</v>
      </c>
      <c r="C44" t="n">
        <v>7</v>
      </c>
      <c r="D44" t="n">
        <v>25057</v>
      </c>
      <c r="E44" t="n">
        <v>112</v>
      </c>
      <c r="F44" t="n">
        <v>81</v>
      </c>
      <c r="G44" t="n">
        <v>24864</v>
      </c>
      <c r="H44" t="n">
        <v>22089</v>
      </c>
      <c r="I44" t="n">
        <v>-54711</v>
      </c>
      <c r="J44" t="n">
        <v>443540.100000001</v>
      </c>
      <c r="K44" t="n">
        <v>24934</v>
      </c>
      <c r="L44" t="n">
        <v>65095</v>
      </c>
      <c r="M44" t="n">
        <v>79068</v>
      </c>
      <c r="N44" t="n">
        <v>49947</v>
      </c>
      <c r="O44" t="n">
        <v>22104</v>
      </c>
      <c r="P44" t="n">
        <v>193</v>
      </c>
    </row>
    <row r="45">
      <c r="A45" t="inlineStr">
        <is>
          <t>9E</t>
        </is>
      </c>
      <c r="B45" t="n">
        <v>2021</v>
      </c>
      <c r="C45" t="n">
        <v>8</v>
      </c>
      <c r="D45" t="n">
        <v>23060</v>
      </c>
      <c r="E45" t="n">
        <v>66</v>
      </c>
      <c r="F45" t="n">
        <v>60</v>
      </c>
      <c r="G45" t="n">
        <v>22934</v>
      </c>
      <c r="H45" t="n">
        <v>20324</v>
      </c>
      <c r="I45" t="n">
        <v>-27259</v>
      </c>
      <c r="J45" t="n">
        <v>347080.7000000009</v>
      </c>
      <c r="K45" t="n">
        <v>23035</v>
      </c>
      <c r="L45" t="n">
        <v>55233</v>
      </c>
      <c r="M45" t="n">
        <v>74302</v>
      </c>
      <c r="N45" t="n">
        <v>38066</v>
      </c>
      <c r="O45" t="n">
        <v>17237</v>
      </c>
      <c r="P45" t="n">
        <v>210</v>
      </c>
    </row>
    <row r="46">
      <c r="A46" t="inlineStr">
        <is>
          <t>9E</t>
        </is>
      </c>
      <c r="B46" t="n">
        <v>2021</v>
      </c>
      <c r="C46" t="n">
        <v>9</v>
      </c>
      <c r="D46" t="n">
        <v>21946</v>
      </c>
      <c r="E46" t="n">
        <v>80</v>
      </c>
      <c r="F46" t="n">
        <v>16</v>
      </c>
      <c r="G46" t="n">
        <v>21850</v>
      </c>
      <c r="H46" t="n">
        <v>20339</v>
      </c>
      <c r="I46" t="n">
        <v>-93500</v>
      </c>
      <c r="J46" t="n">
        <v>291261.0000000009</v>
      </c>
      <c r="K46" t="n">
        <v>21782</v>
      </c>
      <c r="L46" t="n">
        <v>25750</v>
      </c>
      <c r="M46" t="n">
        <v>45058</v>
      </c>
      <c r="N46" t="n">
        <v>28745</v>
      </c>
      <c r="O46" t="n">
        <v>8564</v>
      </c>
      <c r="P46" t="n">
        <v>194</v>
      </c>
    </row>
    <row r="47">
      <c r="A47" t="inlineStr">
        <is>
          <t>9E</t>
        </is>
      </c>
      <c r="B47" t="n">
        <v>2021</v>
      </c>
      <c r="C47" t="n">
        <v>10</v>
      </c>
      <c r="D47" t="n">
        <v>23482</v>
      </c>
      <c r="E47" t="n">
        <v>0</v>
      </c>
      <c r="F47" t="n">
        <v>33</v>
      </c>
      <c r="G47" t="n">
        <v>23449</v>
      </c>
      <c r="H47" t="n">
        <v>21495</v>
      </c>
      <c r="I47" t="n">
        <v>-99283</v>
      </c>
      <c r="J47" t="n">
        <v>352540.0999999981</v>
      </c>
      <c r="K47" t="n">
        <v>23417</v>
      </c>
      <c r="L47" t="n">
        <v>38756</v>
      </c>
      <c r="M47" t="n">
        <v>58757</v>
      </c>
      <c r="N47" t="n">
        <v>19916</v>
      </c>
      <c r="O47" t="n">
        <v>8993</v>
      </c>
      <c r="P47" t="n">
        <v>53</v>
      </c>
    </row>
    <row r="48">
      <c r="A48" t="inlineStr">
        <is>
          <t>9E</t>
        </is>
      </c>
      <c r="B48" t="n">
        <v>2021</v>
      </c>
      <c r="C48" t="n">
        <v>11</v>
      </c>
      <c r="D48" t="n">
        <v>21149</v>
      </c>
      <c r="E48" t="n">
        <v>15</v>
      </c>
      <c r="F48" t="n">
        <v>21</v>
      </c>
      <c r="G48" t="n">
        <v>21113</v>
      </c>
      <c r="H48" t="n">
        <v>19190</v>
      </c>
      <c r="I48" t="n">
        <v>-109997</v>
      </c>
      <c r="J48" t="n">
        <v>366799.0999999984</v>
      </c>
      <c r="K48" t="n">
        <v>21044</v>
      </c>
      <c r="L48" t="n">
        <v>29187</v>
      </c>
      <c r="M48" t="n">
        <v>47320</v>
      </c>
      <c r="N48" t="n">
        <v>23419</v>
      </c>
      <c r="O48" t="n">
        <v>5306</v>
      </c>
      <c r="P48" t="n">
        <v>254</v>
      </c>
    </row>
    <row r="49">
      <c r="A49" t="inlineStr">
        <is>
          <t>9E</t>
        </is>
      </c>
      <c r="B49" t="n">
        <v>2021</v>
      </c>
      <c r="C49" t="n">
        <v>12</v>
      </c>
      <c r="D49" t="n">
        <v>21876</v>
      </c>
      <c r="E49" t="n">
        <v>115</v>
      </c>
      <c r="F49" t="n">
        <v>33</v>
      </c>
      <c r="G49" t="n">
        <v>21728</v>
      </c>
      <c r="H49" t="n">
        <v>19367</v>
      </c>
      <c r="I49" t="n">
        <v>-69176</v>
      </c>
      <c r="J49" t="n">
        <v>414844.2999999996</v>
      </c>
      <c r="K49" t="n">
        <v>21736</v>
      </c>
      <c r="L49" t="n">
        <v>49780</v>
      </c>
      <c r="M49" t="n">
        <v>61002</v>
      </c>
      <c r="N49" t="n">
        <v>30892</v>
      </c>
      <c r="O49" t="n">
        <v>29010</v>
      </c>
      <c r="P49" t="n">
        <v>96</v>
      </c>
    </row>
    <row r="50">
      <c r="A50" t="inlineStr">
        <is>
          <t>9E</t>
        </is>
      </c>
      <c r="B50" t="n">
        <v>2022</v>
      </c>
      <c r="C50" t="n">
        <v>1</v>
      </c>
      <c r="D50" t="n">
        <v>21644</v>
      </c>
      <c r="E50" t="n">
        <v>1346</v>
      </c>
      <c r="F50" t="n">
        <v>39</v>
      </c>
      <c r="G50" t="n">
        <v>20259</v>
      </c>
      <c r="H50" t="n">
        <v>16982</v>
      </c>
      <c r="I50" t="n">
        <v>40199</v>
      </c>
      <c r="J50" t="n">
        <v>425838.299999999</v>
      </c>
      <c r="K50" t="n">
        <v>21595</v>
      </c>
      <c r="L50" t="n">
        <v>78910</v>
      </c>
      <c r="M50" t="n">
        <v>93528</v>
      </c>
      <c r="N50" t="n">
        <v>47759</v>
      </c>
      <c r="O50" t="n">
        <v>31192</v>
      </c>
      <c r="P50" t="n">
        <v>159</v>
      </c>
    </row>
    <row r="51">
      <c r="A51" t="inlineStr">
        <is>
          <t>9E</t>
        </is>
      </c>
      <c r="B51" t="n">
        <v>2022</v>
      </c>
      <c r="C51" t="n">
        <v>2</v>
      </c>
      <c r="D51" t="n">
        <v>18940</v>
      </c>
      <c r="E51" t="n">
        <v>771</v>
      </c>
      <c r="F51" t="n">
        <v>22</v>
      </c>
      <c r="G51" t="n">
        <v>18147</v>
      </c>
      <c r="H51" t="n">
        <v>15291</v>
      </c>
      <c r="I51" t="n">
        <v>38860</v>
      </c>
      <c r="J51" t="n">
        <v>371961.0999999981</v>
      </c>
      <c r="K51" t="n">
        <v>18880</v>
      </c>
      <c r="L51" t="n">
        <v>81364</v>
      </c>
      <c r="M51" t="n">
        <v>67040</v>
      </c>
      <c r="N51" t="n">
        <v>50344</v>
      </c>
      <c r="O51" t="n">
        <v>31099</v>
      </c>
      <c r="P51" t="n">
        <v>111</v>
      </c>
    </row>
    <row r="52">
      <c r="A52" t="inlineStr">
        <is>
          <t>9E</t>
        </is>
      </c>
      <c r="B52" t="n">
        <v>2022</v>
      </c>
      <c r="C52" t="n">
        <v>3</v>
      </c>
      <c r="D52" t="n">
        <v>21308</v>
      </c>
      <c r="E52" t="n">
        <v>341</v>
      </c>
      <c r="F52" t="n">
        <v>61</v>
      </c>
      <c r="G52" t="n">
        <v>20906</v>
      </c>
      <c r="H52" t="n">
        <v>17414</v>
      </c>
      <c r="I52" t="n">
        <v>89526</v>
      </c>
      <c r="J52" t="n">
        <v>367016.5000000012</v>
      </c>
      <c r="K52" t="n">
        <v>21244</v>
      </c>
      <c r="L52" t="n">
        <v>95722</v>
      </c>
      <c r="M52" t="n">
        <v>74983</v>
      </c>
      <c r="N52" t="n">
        <v>71122</v>
      </c>
      <c r="O52" t="n">
        <v>23816</v>
      </c>
      <c r="P52" t="n">
        <v>181</v>
      </c>
    </row>
    <row r="53">
      <c r="A53" t="inlineStr">
        <is>
          <t>9E</t>
        </is>
      </c>
      <c r="B53" t="n">
        <v>2022</v>
      </c>
      <c r="C53" t="n">
        <v>4</v>
      </c>
      <c r="D53" t="n">
        <v>20235</v>
      </c>
      <c r="E53" t="n">
        <v>209</v>
      </c>
      <c r="F53" t="n">
        <v>27</v>
      </c>
      <c r="G53" t="n">
        <v>19999</v>
      </c>
      <c r="H53" t="n">
        <v>17192</v>
      </c>
      <c r="I53" t="n">
        <v>15423</v>
      </c>
      <c r="J53" t="n">
        <v>343845.2999999996</v>
      </c>
      <c r="K53" t="n">
        <v>20153</v>
      </c>
      <c r="L53" t="n">
        <v>66892</v>
      </c>
      <c r="M53" t="n">
        <v>68674</v>
      </c>
      <c r="N53" t="n">
        <v>50032</v>
      </c>
      <c r="O53" t="n">
        <v>9898</v>
      </c>
      <c r="P53" t="n">
        <v>139</v>
      </c>
    </row>
    <row r="54">
      <c r="A54" t="inlineStr">
        <is>
          <t>9E</t>
        </is>
      </c>
      <c r="B54" t="n">
        <v>2022</v>
      </c>
      <c r="C54" t="n">
        <v>5</v>
      </c>
      <c r="D54" t="n">
        <v>20379</v>
      </c>
      <c r="E54" t="n">
        <v>624</v>
      </c>
      <c r="F54" t="n">
        <v>35</v>
      </c>
      <c r="G54" t="n">
        <v>19720</v>
      </c>
      <c r="H54" t="n">
        <v>16516</v>
      </c>
      <c r="I54" t="n">
        <v>108139</v>
      </c>
      <c r="J54" t="n">
        <v>346043.2000000009</v>
      </c>
      <c r="K54" t="n">
        <v>20268</v>
      </c>
      <c r="L54" t="n">
        <v>73971</v>
      </c>
      <c r="M54" t="n">
        <v>99997</v>
      </c>
      <c r="N54" t="n">
        <v>77485</v>
      </c>
      <c r="O54" t="n">
        <v>15364</v>
      </c>
      <c r="P54" t="n">
        <v>21</v>
      </c>
    </row>
    <row r="55">
      <c r="A55" t="inlineStr">
        <is>
          <t>9E</t>
        </is>
      </c>
      <c r="B55" t="n">
        <v>2022</v>
      </c>
      <c r="C55" t="n">
        <v>6</v>
      </c>
      <c r="D55" t="n">
        <v>19874</v>
      </c>
      <c r="E55" t="n">
        <v>1413</v>
      </c>
      <c r="F55" t="n">
        <v>56</v>
      </c>
      <c r="G55" t="n">
        <v>18405</v>
      </c>
      <c r="H55" t="n">
        <v>15231</v>
      </c>
      <c r="I55" t="n">
        <v>123230</v>
      </c>
      <c r="J55" t="n">
        <v>372544.1000000045</v>
      </c>
      <c r="K55" t="n">
        <v>19796</v>
      </c>
      <c r="L55" t="n">
        <v>94365</v>
      </c>
      <c r="M55" t="n">
        <v>107620</v>
      </c>
      <c r="N55" t="n">
        <v>75165</v>
      </c>
      <c r="O55" t="n">
        <v>18069</v>
      </c>
      <c r="P55" t="n">
        <v>0</v>
      </c>
    </row>
    <row r="56">
      <c r="A56" t="inlineStr">
        <is>
          <t>9E</t>
        </is>
      </c>
      <c r="B56" t="n">
        <v>2022</v>
      </c>
      <c r="C56" t="n">
        <v>7</v>
      </c>
      <c r="D56" t="n">
        <v>20166</v>
      </c>
      <c r="E56" t="n">
        <v>1117</v>
      </c>
      <c r="F56" t="n">
        <v>78</v>
      </c>
      <c r="G56" t="n">
        <v>18971</v>
      </c>
      <c r="H56" t="n">
        <v>15311</v>
      </c>
      <c r="I56" t="n">
        <v>139858</v>
      </c>
      <c r="J56" t="n">
        <v>391300.4000000039</v>
      </c>
      <c r="K56" t="n">
        <v>20141</v>
      </c>
      <c r="L56" t="n">
        <v>102406</v>
      </c>
      <c r="M56" t="n">
        <v>122018</v>
      </c>
      <c r="N56" t="n">
        <v>70060</v>
      </c>
      <c r="O56" t="n">
        <v>15618</v>
      </c>
      <c r="P56" t="n">
        <v>231</v>
      </c>
    </row>
    <row r="57">
      <c r="A57" t="inlineStr">
        <is>
          <t>9E</t>
        </is>
      </c>
      <c r="B57" t="n">
        <v>2022</v>
      </c>
      <c r="C57" t="n">
        <v>8</v>
      </c>
      <c r="D57" t="n">
        <v>19893</v>
      </c>
      <c r="E57" t="n">
        <v>1017</v>
      </c>
      <c r="F57" t="n">
        <v>26</v>
      </c>
      <c r="G57" t="n">
        <v>18850</v>
      </c>
      <c r="H57" t="n">
        <v>15550</v>
      </c>
      <c r="I57" t="n">
        <v>94502</v>
      </c>
      <c r="J57" t="n">
        <v>384245.8000000017</v>
      </c>
      <c r="K57" t="n">
        <v>19758</v>
      </c>
      <c r="L57" t="n">
        <v>73905</v>
      </c>
      <c r="M57" t="n">
        <v>95329</v>
      </c>
      <c r="N57" t="n">
        <v>82327</v>
      </c>
      <c r="O57" t="n">
        <v>18032</v>
      </c>
      <c r="P57" t="n">
        <v>73</v>
      </c>
    </row>
    <row r="58">
      <c r="A58" t="inlineStr">
        <is>
          <t>9E</t>
        </is>
      </c>
      <c r="B58" t="n">
        <v>2022</v>
      </c>
      <c r="C58" t="n">
        <v>9</v>
      </c>
      <c r="D58" t="n">
        <v>17960</v>
      </c>
      <c r="E58" t="n">
        <v>200</v>
      </c>
      <c r="F58" t="n">
        <v>17</v>
      </c>
      <c r="G58" t="n">
        <v>17743</v>
      </c>
      <c r="H58" t="n">
        <v>15535</v>
      </c>
      <c r="I58" t="n">
        <v>-35214</v>
      </c>
      <c r="J58" t="n">
        <v>362480.2999999978</v>
      </c>
      <c r="K58" t="n">
        <v>17871</v>
      </c>
      <c r="L58" t="n">
        <v>64433</v>
      </c>
      <c r="M58" t="n">
        <v>53946</v>
      </c>
      <c r="N58" t="n">
        <v>41341</v>
      </c>
      <c r="O58" t="n">
        <v>9474</v>
      </c>
      <c r="P58" t="n">
        <v>0</v>
      </c>
    </row>
    <row r="59">
      <c r="A59" t="inlineStr">
        <is>
          <t>9E</t>
        </is>
      </c>
      <c r="B59" t="n">
        <v>2022</v>
      </c>
      <c r="C59" t="n">
        <v>10</v>
      </c>
      <c r="D59" t="n">
        <v>18091</v>
      </c>
      <c r="E59" t="n">
        <v>302</v>
      </c>
      <c r="F59" t="n">
        <v>46</v>
      </c>
      <c r="G59" t="n">
        <v>17743</v>
      </c>
      <c r="H59" t="n">
        <v>15050</v>
      </c>
      <c r="I59" t="n">
        <v>27301</v>
      </c>
      <c r="J59" t="n">
        <v>370977.2999999989</v>
      </c>
      <c r="K59" t="n">
        <v>18015</v>
      </c>
      <c r="L59" t="n">
        <v>80125</v>
      </c>
      <c r="M59" t="n">
        <v>62186</v>
      </c>
      <c r="N59" t="n">
        <v>65335</v>
      </c>
      <c r="O59" t="n">
        <v>10676</v>
      </c>
      <c r="P59" t="n">
        <v>38</v>
      </c>
    </row>
    <row r="60">
      <c r="A60" t="inlineStr">
        <is>
          <t>9E</t>
        </is>
      </c>
      <c r="B60" t="n">
        <v>2022</v>
      </c>
      <c r="C60" t="n">
        <v>11</v>
      </c>
      <c r="D60" t="n">
        <v>16791</v>
      </c>
      <c r="E60" t="n">
        <v>270</v>
      </c>
      <c r="F60" t="n">
        <v>53</v>
      </c>
      <c r="G60" t="n">
        <v>16468</v>
      </c>
      <c r="H60" t="n">
        <v>13608</v>
      </c>
      <c r="I60" t="n">
        <v>56062</v>
      </c>
      <c r="J60" t="n">
        <v>325849.3999999992</v>
      </c>
      <c r="K60" t="n">
        <v>16555</v>
      </c>
      <c r="L60" t="n">
        <v>68019</v>
      </c>
      <c r="M60" t="n">
        <v>53231</v>
      </c>
      <c r="N60" t="n">
        <v>64203</v>
      </c>
      <c r="O60" t="n">
        <v>13019</v>
      </c>
      <c r="P60" t="n">
        <v>23</v>
      </c>
    </row>
    <row r="61">
      <c r="A61" t="inlineStr">
        <is>
          <t>9E</t>
        </is>
      </c>
      <c r="B61" t="n">
        <v>2022</v>
      </c>
      <c r="C61" t="n">
        <v>12</v>
      </c>
      <c r="D61" t="n">
        <v>16660</v>
      </c>
      <c r="E61" t="n">
        <v>592</v>
      </c>
      <c r="F61" t="n">
        <v>32</v>
      </c>
      <c r="G61" t="n">
        <v>16036</v>
      </c>
      <c r="H61" t="n">
        <v>13094</v>
      </c>
      <c r="I61" t="n">
        <v>63682</v>
      </c>
      <c r="J61" t="n">
        <v>373748.1000000008</v>
      </c>
      <c r="K61" t="n">
        <v>15968</v>
      </c>
      <c r="L61" t="n">
        <v>64779</v>
      </c>
      <c r="M61" t="n">
        <v>74373</v>
      </c>
      <c r="N61" t="n">
        <v>51539</v>
      </c>
      <c r="O61" t="n">
        <v>33945</v>
      </c>
      <c r="P61" t="n">
        <v>162</v>
      </c>
    </row>
    <row r="62">
      <c r="A62" t="inlineStr">
        <is>
          <t>9E</t>
        </is>
      </c>
      <c r="B62" t="n">
        <v>2023</v>
      </c>
      <c r="C62" t="n">
        <v>1</v>
      </c>
      <c r="D62" t="n">
        <v>16926</v>
      </c>
      <c r="E62" t="n">
        <v>249</v>
      </c>
      <c r="F62" t="n">
        <v>40</v>
      </c>
      <c r="G62" t="n">
        <v>16637</v>
      </c>
      <c r="H62" t="n">
        <v>13063</v>
      </c>
      <c r="I62" t="n">
        <v>119862</v>
      </c>
      <c r="J62" t="n">
        <v>343485.7999999999</v>
      </c>
      <c r="K62" t="n">
        <v>16068</v>
      </c>
      <c r="L62" t="n">
        <v>99638</v>
      </c>
      <c r="M62" t="n">
        <v>79795</v>
      </c>
      <c r="N62" t="n">
        <v>64925</v>
      </c>
      <c r="O62" t="n">
        <v>29651</v>
      </c>
      <c r="P62" t="n">
        <v>84</v>
      </c>
    </row>
    <row r="63">
      <c r="A63" t="inlineStr">
        <is>
          <t>9E</t>
        </is>
      </c>
      <c r="B63" t="n">
        <v>2023</v>
      </c>
      <c r="C63" t="n">
        <v>2</v>
      </c>
      <c r="D63" t="n">
        <v>14633</v>
      </c>
      <c r="E63" t="n">
        <v>356</v>
      </c>
      <c r="F63" t="n">
        <v>14</v>
      </c>
      <c r="G63" t="n">
        <v>14263</v>
      </c>
      <c r="H63" t="n">
        <v>12387</v>
      </c>
      <c r="I63" t="n">
        <v>-40884</v>
      </c>
      <c r="J63" t="n">
        <v>316580.0999999991</v>
      </c>
      <c r="K63" t="n">
        <v>13720</v>
      </c>
      <c r="L63" t="n">
        <v>45657</v>
      </c>
      <c r="M63" t="n">
        <v>42255</v>
      </c>
      <c r="N63" t="n">
        <v>34277</v>
      </c>
      <c r="O63" t="n">
        <v>13209</v>
      </c>
      <c r="P63" t="n">
        <v>0</v>
      </c>
    </row>
    <row r="64">
      <c r="A64" t="inlineStr">
        <is>
          <t>9E</t>
        </is>
      </c>
      <c r="B64" t="n">
        <v>2023</v>
      </c>
      <c r="C64" t="n">
        <v>3</v>
      </c>
      <c r="D64" t="n">
        <v>16941</v>
      </c>
      <c r="E64" t="n">
        <v>232</v>
      </c>
      <c r="F64" t="n">
        <v>31</v>
      </c>
      <c r="G64" t="n">
        <v>16678</v>
      </c>
      <c r="H64" t="n">
        <v>14199</v>
      </c>
      <c r="I64" t="n">
        <v>2796</v>
      </c>
      <c r="J64" t="n">
        <v>347641.2999999993</v>
      </c>
      <c r="K64" t="n">
        <v>15973</v>
      </c>
      <c r="L64" t="n">
        <v>54854</v>
      </c>
      <c r="M64" t="n">
        <v>54785</v>
      </c>
      <c r="N64" t="n">
        <v>43490</v>
      </c>
      <c r="O64" t="n">
        <v>15274</v>
      </c>
      <c r="P64" t="n">
        <v>201</v>
      </c>
    </row>
    <row r="65">
      <c r="A65" t="inlineStr">
        <is>
          <t>9E</t>
        </is>
      </c>
      <c r="B65" t="n">
        <v>2023</v>
      </c>
      <c r="C65" t="n">
        <v>4</v>
      </c>
      <c r="D65" t="n">
        <v>15572</v>
      </c>
      <c r="E65" t="n">
        <v>113</v>
      </c>
      <c r="F65" t="n">
        <v>37</v>
      </c>
      <c r="G65" t="n">
        <v>15422</v>
      </c>
      <c r="H65" t="n">
        <v>13124</v>
      </c>
      <c r="I65" t="n">
        <v>16268</v>
      </c>
      <c r="J65" t="n">
        <v>297352.1999999998</v>
      </c>
      <c r="K65" t="n">
        <v>14456</v>
      </c>
      <c r="L65" t="n">
        <v>70796</v>
      </c>
      <c r="M65" t="n">
        <v>43261</v>
      </c>
      <c r="N65" t="n">
        <v>46980</v>
      </c>
      <c r="O65" t="n">
        <v>10228</v>
      </c>
      <c r="P65" t="n">
        <v>105</v>
      </c>
    </row>
    <row r="66">
      <c r="A66" t="inlineStr">
        <is>
          <t>9E</t>
        </is>
      </c>
      <c r="B66" t="n">
        <v>2023</v>
      </c>
      <c r="C66" t="n">
        <v>5</v>
      </c>
      <c r="D66" t="n">
        <v>16005</v>
      </c>
      <c r="E66" t="n">
        <v>16</v>
      </c>
      <c r="F66" t="n">
        <v>13</v>
      </c>
      <c r="G66" t="n">
        <v>15976</v>
      </c>
      <c r="H66" t="n">
        <v>14731</v>
      </c>
      <c r="I66" t="n">
        <v>-131234</v>
      </c>
      <c r="J66" t="n">
        <v>329147.9000000006</v>
      </c>
      <c r="K66" t="n">
        <v>14927</v>
      </c>
      <c r="L66" t="n">
        <v>22136</v>
      </c>
      <c r="M66" t="n">
        <v>34074</v>
      </c>
      <c r="N66" t="n">
        <v>12095</v>
      </c>
      <c r="O66" t="n">
        <v>5398</v>
      </c>
      <c r="P66" t="n">
        <v>41</v>
      </c>
    </row>
    <row r="67">
      <c r="A67" t="inlineStr">
        <is>
          <t>9E</t>
        </is>
      </c>
      <c r="B67" t="n">
        <v>2023</v>
      </c>
      <c r="C67" t="n">
        <v>6</v>
      </c>
      <c r="D67" t="n">
        <v>17307</v>
      </c>
      <c r="E67" t="n">
        <v>894</v>
      </c>
      <c r="F67" t="n">
        <v>50</v>
      </c>
      <c r="G67" t="n">
        <v>16363</v>
      </c>
      <c r="H67" t="n">
        <v>13693</v>
      </c>
      <c r="I67" t="n">
        <v>36197</v>
      </c>
      <c r="J67" t="n">
        <v>368784.599999998</v>
      </c>
      <c r="K67" t="n">
        <v>16497</v>
      </c>
      <c r="L67" t="n">
        <v>69743</v>
      </c>
      <c r="M67" t="n">
        <v>62816</v>
      </c>
      <c r="N67" t="n">
        <v>63244</v>
      </c>
      <c r="O67" t="n">
        <v>14194</v>
      </c>
      <c r="P67" t="n">
        <v>120</v>
      </c>
    </row>
    <row r="68">
      <c r="A68" t="inlineStr">
        <is>
          <t>9E</t>
        </is>
      </c>
      <c r="B68" t="n">
        <v>2023</v>
      </c>
      <c r="C68" t="n">
        <v>7</v>
      </c>
      <c r="D68" t="n">
        <v>17633</v>
      </c>
      <c r="E68" t="n">
        <v>1124</v>
      </c>
      <c r="F68" t="n">
        <v>52</v>
      </c>
      <c r="G68" t="n">
        <v>16457</v>
      </c>
      <c r="H68" t="n">
        <v>13128</v>
      </c>
      <c r="I68" t="n">
        <v>125545</v>
      </c>
      <c r="J68" t="n">
        <v>378356.2999999989</v>
      </c>
      <c r="K68" t="n">
        <v>16837</v>
      </c>
      <c r="L68" t="n">
        <v>97232</v>
      </c>
      <c r="M68" t="n">
        <v>79194</v>
      </c>
      <c r="N68" t="n">
        <v>86693</v>
      </c>
      <c r="O68" t="n">
        <v>25225</v>
      </c>
      <c r="P68" t="n">
        <v>49</v>
      </c>
    </row>
    <row r="69">
      <c r="A69" t="inlineStr">
        <is>
          <t>9E</t>
        </is>
      </c>
      <c r="B69" t="n">
        <v>2023</v>
      </c>
      <c r="C69" t="n">
        <v>8</v>
      </c>
      <c r="D69" t="n">
        <v>18121</v>
      </c>
      <c r="E69" t="n">
        <v>325</v>
      </c>
      <c r="F69" t="n">
        <v>45</v>
      </c>
      <c r="G69" t="n">
        <v>17751</v>
      </c>
      <c r="H69" t="n">
        <v>14931</v>
      </c>
      <c r="I69" t="n">
        <v>30714</v>
      </c>
      <c r="J69" t="n">
        <v>384440.0999999993</v>
      </c>
      <c r="K69" t="n">
        <v>17302</v>
      </c>
      <c r="L69" t="n">
        <v>93293</v>
      </c>
      <c r="M69" t="n">
        <v>80298</v>
      </c>
      <c r="N69" t="n">
        <v>44959</v>
      </c>
      <c r="O69" t="n">
        <v>18914</v>
      </c>
      <c r="P69" t="n">
        <v>39</v>
      </c>
    </row>
    <row r="70">
      <c r="A70" t="inlineStr">
        <is>
          <t>9E</t>
        </is>
      </c>
      <c r="B70" t="n">
        <v>2023</v>
      </c>
      <c r="C70" t="n">
        <v>9</v>
      </c>
      <c r="D70" t="n">
        <v>17319</v>
      </c>
      <c r="E70" t="n">
        <v>777</v>
      </c>
      <c r="F70" t="n">
        <v>37</v>
      </c>
      <c r="G70" t="n">
        <v>16505</v>
      </c>
      <c r="H70" t="n">
        <v>13959</v>
      </c>
      <c r="I70" t="n">
        <v>36771</v>
      </c>
      <c r="J70" t="n">
        <v>340949.8999999984</v>
      </c>
      <c r="K70" t="n">
        <v>16474</v>
      </c>
      <c r="L70" t="n">
        <v>69312</v>
      </c>
      <c r="M70" t="n">
        <v>64930</v>
      </c>
      <c r="N70" t="n">
        <v>56562</v>
      </c>
      <c r="O70" t="n">
        <v>17458</v>
      </c>
      <c r="P70" t="n">
        <v>55</v>
      </c>
    </row>
    <row r="71">
      <c r="A71" t="inlineStr">
        <is>
          <t>9E</t>
        </is>
      </c>
      <c r="B71" t="n">
        <v>2023</v>
      </c>
      <c r="C71" t="n">
        <v>10</v>
      </c>
      <c r="D71" t="n">
        <v>17796</v>
      </c>
      <c r="E71" t="n">
        <v>0</v>
      </c>
      <c r="F71" t="n">
        <v>19</v>
      </c>
      <c r="G71" t="n">
        <v>17777</v>
      </c>
      <c r="H71" t="n">
        <v>16434</v>
      </c>
      <c r="I71" t="n">
        <v>-168471</v>
      </c>
      <c r="J71" t="n">
        <v>387079.2999999992</v>
      </c>
      <c r="K71" t="n">
        <v>16874</v>
      </c>
      <c r="L71" t="n">
        <v>31048</v>
      </c>
      <c r="M71" t="n">
        <v>41673</v>
      </c>
      <c r="N71" t="n">
        <v>11478</v>
      </c>
      <c r="O71" t="n">
        <v>7333</v>
      </c>
      <c r="P71" t="n">
        <v>0</v>
      </c>
    </row>
    <row r="72">
      <c r="A72" t="inlineStr">
        <is>
          <t>9E</t>
        </is>
      </c>
      <c r="B72" t="n">
        <v>2023</v>
      </c>
      <c r="C72" t="n">
        <v>11</v>
      </c>
      <c r="D72" t="n">
        <v>16379</v>
      </c>
      <c r="E72" t="n">
        <v>0</v>
      </c>
      <c r="F72" t="n">
        <v>5</v>
      </c>
      <c r="G72" t="n">
        <v>16374</v>
      </c>
      <c r="H72" t="n">
        <v>15033</v>
      </c>
      <c r="I72" t="n">
        <v>-162268</v>
      </c>
      <c r="J72" t="n">
        <v>378498.4999999986</v>
      </c>
      <c r="K72" t="n">
        <v>15526</v>
      </c>
      <c r="L72" t="n">
        <v>22437</v>
      </c>
      <c r="M72" t="n">
        <v>37235</v>
      </c>
      <c r="N72" t="n">
        <v>12886</v>
      </c>
      <c r="O72" t="n">
        <v>2553</v>
      </c>
      <c r="P72" t="n">
        <v>104</v>
      </c>
    </row>
    <row r="73">
      <c r="A73" t="inlineStr">
        <is>
          <t>9E</t>
        </is>
      </c>
      <c r="B73" t="n">
        <v>2023</v>
      </c>
      <c r="C73" t="n">
        <v>12</v>
      </c>
      <c r="D73" t="n">
        <v>16888</v>
      </c>
      <c r="E73" t="n">
        <v>156</v>
      </c>
      <c r="F73" t="n">
        <v>30</v>
      </c>
      <c r="G73" t="n">
        <v>16702</v>
      </c>
      <c r="H73" t="n">
        <v>14820</v>
      </c>
      <c r="I73" t="n">
        <v>-101934</v>
      </c>
      <c r="J73" t="n">
        <v>397366.9999999996</v>
      </c>
      <c r="K73" t="n">
        <v>16113</v>
      </c>
      <c r="L73" t="n">
        <v>52343</v>
      </c>
      <c r="M73" t="n">
        <v>55407</v>
      </c>
      <c r="N73" t="n">
        <v>23042</v>
      </c>
      <c r="O73" t="n">
        <v>15119</v>
      </c>
      <c r="P73" t="n">
        <v>251</v>
      </c>
    </row>
    <row r="74">
      <c r="A74" t="inlineStr">
        <is>
          <t>9E</t>
        </is>
      </c>
      <c r="B74" t="n">
        <v>2024</v>
      </c>
      <c r="C74" t="n">
        <v>1</v>
      </c>
      <c r="D74" t="n">
        <v>16972</v>
      </c>
      <c r="E74" t="n">
        <v>706</v>
      </c>
      <c r="F74" t="n">
        <v>47</v>
      </c>
      <c r="G74" t="n">
        <v>16219</v>
      </c>
      <c r="H74" t="n">
        <v>12448</v>
      </c>
      <c r="I74" t="n">
        <v>171352</v>
      </c>
      <c r="J74" t="n">
        <v>358419.0999999983</v>
      </c>
      <c r="K74" t="n">
        <v>16149</v>
      </c>
      <c r="L74" t="n">
        <v>138168</v>
      </c>
      <c r="M74" t="n">
        <v>90471</v>
      </c>
      <c r="N74" t="n">
        <v>64555</v>
      </c>
      <c r="O74" t="n">
        <v>46799</v>
      </c>
      <c r="P74" t="n">
        <v>73</v>
      </c>
    </row>
    <row r="75">
      <c r="A75" t="inlineStr">
        <is>
          <t>9E</t>
        </is>
      </c>
      <c r="B75" t="n">
        <v>2024</v>
      </c>
      <c r="C75" t="n">
        <v>2</v>
      </c>
      <c r="D75" t="n">
        <v>15656</v>
      </c>
      <c r="E75" t="n">
        <v>233</v>
      </c>
      <c r="F75" t="n">
        <v>31</v>
      </c>
      <c r="G75" t="n">
        <v>15392</v>
      </c>
      <c r="H75" t="n">
        <v>13804</v>
      </c>
      <c r="I75" t="n">
        <v>-99907</v>
      </c>
      <c r="J75" t="n">
        <v>327921.9999999982</v>
      </c>
      <c r="K75" t="n">
        <v>14797</v>
      </c>
      <c r="L75" t="n">
        <v>49823</v>
      </c>
      <c r="M75" t="n">
        <v>38964</v>
      </c>
      <c r="N75" t="n">
        <v>22241</v>
      </c>
      <c r="O75" t="n">
        <v>6812</v>
      </c>
      <c r="P75" t="n">
        <v>0</v>
      </c>
    </row>
    <row r="76">
      <c r="A76" t="inlineStr">
        <is>
          <t>9E</t>
        </is>
      </c>
      <c r="B76" t="n">
        <v>2024</v>
      </c>
      <c r="C76" t="n">
        <v>3</v>
      </c>
      <c r="D76" t="n">
        <v>17062</v>
      </c>
      <c r="E76" t="n">
        <v>14</v>
      </c>
      <c r="F76" t="n">
        <v>20</v>
      </c>
      <c r="G76" t="n">
        <v>17028</v>
      </c>
      <c r="H76" t="n">
        <v>14962</v>
      </c>
      <c r="I76" t="n">
        <v>-64543</v>
      </c>
      <c r="J76" t="n">
        <v>349357.8000000012</v>
      </c>
      <c r="K76" t="n">
        <v>16268</v>
      </c>
      <c r="L76" t="n">
        <v>53156</v>
      </c>
      <c r="M76" t="n">
        <v>50614</v>
      </c>
      <c r="N76" t="n">
        <v>28221</v>
      </c>
      <c r="O76" t="n">
        <v>7781</v>
      </c>
      <c r="P76" t="n">
        <v>115</v>
      </c>
    </row>
    <row r="77">
      <c r="A77" t="inlineStr">
        <is>
          <t>9E</t>
        </is>
      </c>
      <c r="B77" t="n">
        <v>2024</v>
      </c>
      <c r="C77" t="n">
        <v>4</v>
      </c>
      <c r="D77" t="n">
        <v>16964</v>
      </c>
      <c r="E77" t="n">
        <v>158</v>
      </c>
      <c r="F77" t="n">
        <v>28</v>
      </c>
      <c r="G77" t="n">
        <v>16778</v>
      </c>
      <c r="H77" t="n">
        <v>14669</v>
      </c>
      <c r="I77" t="n">
        <v>-37611</v>
      </c>
      <c r="J77" t="n">
        <v>330868.2999999993</v>
      </c>
      <c r="K77" t="n">
        <v>16159</v>
      </c>
      <c r="L77" t="n">
        <v>54154</v>
      </c>
      <c r="M77" t="n">
        <v>50122</v>
      </c>
      <c r="N77" t="n">
        <v>36615</v>
      </c>
      <c r="O77" t="n">
        <v>7390</v>
      </c>
      <c r="P77" t="n">
        <v>133</v>
      </c>
    </row>
    <row r="78">
      <c r="A78" t="inlineStr">
        <is>
          <t>9E</t>
        </is>
      </c>
      <c r="B78" t="n">
        <v>2024</v>
      </c>
      <c r="C78" t="n">
        <v>5</v>
      </c>
      <c r="D78" t="n">
        <v>16310</v>
      </c>
      <c r="E78" t="n">
        <v>203</v>
      </c>
      <c r="F78" t="n">
        <v>50</v>
      </c>
      <c r="G78" t="n">
        <v>16057</v>
      </c>
      <c r="H78" t="n">
        <v>13484</v>
      </c>
      <c r="I78" t="n">
        <v>50583</v>
      </c>
      <c r="J78" t="n">
        <v>304796.2999999971</v>
      </c>
      <c r="K78" t="n">
        <v>15432</v>
      </c>
      <c r="L78" t="n">
        <v>95118</v>
      </c>
      <c r="M78" t="n">
        <v>49818</v>
      </c>
      <c r="N78" t="n">
        <v>51726</v>
      </c>
      <c r="O78" t="n">
        <v>17582</v>
      </c>
      <c r="P78" t="n">
        <v>213</v>
      </c>
    </row>
    <row r="79">
      <c r="A79" t="inlineStr">
        <is>
          <t>9E</t>
        </is>
      </c>
      <c r="B79" t="n">
        <v>2024</v>
      </c>
      <c r="C79" t="n">
        <v>6</v>
      </c>
      <c r="D79" t="n">
        <v>16692</v>
      </c>
      <c r="E79" t="n">
        <v>542</v>
      </c>
      <c r="F79" t="n">
        <v>34</v>
      </c>
      <c r="G79" t="n">
        <v>16116</v>
      </c>
      <c r="H79" t="n">
        <v>12969</v>
      </c>
      <c r="I79" t="n">
        <v>88549</v>
      </c>
      <c r="J79" t="n">
        <v>318971.4000000019</v>
      </c>
      <c r="K79" t="n">
        <v>15667</v>
      </c>
      <c r="L79" t="n">
        <v>94832</v>
      </c>
      <c r="M79" t="n">
        <v>77918</v>
      </c>
      <c r="N79" t="n">
        <v>63746</v>
      </c>
      <c r="O79" t="n">
        <v>10336</v>
      </c>
      <c r="P79" t="n">
        <v>40</v>
      </c>
    </row>
    <row r="80">
      <c r="A80" t="inlineStr">
        <is>
          <t>9E</t>
        </is>
      </c>
      <c r="B80" t="n">
        <v>2024</v>
      </c>
      <c r="C80" t="n">
        <v>7</v>
      </c>
      <c r="D80" t="n">
        <v>17257</v>
      </c>
      <c r="E80" t="n">
        <v>1390</v>
      </c>
      <c r="F80" t="n">
        <v>71</v>
      </c>
      <c r="G80" t="n">
        <v>15796</v>
      </c>
      <c r="H80" t="n">
        <v>11237</v>
      </c>
      <c r="I80" t="n">
        <v>312117</v>
      </c>
      <c r="J80" t="n">
        <v>338907.6000000011</v>
      </c>
      <c r="K80" t="n">
        <v>16192</v>
      </c>
      <c r="L80" t="n">
        <v>192697</v>
      </c>
      <c r="M80" t="n">
        <v>140512</v>
      </c>
      <c r="N80" t="n">
        <v>89910</v>
      </c>
      <c r="O80" t="n">
        <v>14366</v>
      </c>
      <c r="P80" t="n">
        <v>71</v>
      </c>
    </row>
    <row r="81">
      <c r="A81" t="inlineStr">
        <is>
          <t>9E</t>
        </is>
      </c>
      <c r="B81" t="n">
        <v>2024</v>
      </c>
      <c r="C81" t="n">
        <v>8</v>
      </c>
      <c r="D81" t="n">
        <v>17102</v>
      </c>
      <c r="E81" t="n">
        <v>1186</v>
      </c>
      <c r="F81" t="n">
        <v>43</v>
      </c>
      <c r="G81" t="n">
        <v>15873</v>
      </c>
      <c r="H81" t="n">
        <v>12569</v>
      </c>
      <c r="I81" t="n">
        <v>130767</v>
      </c>
      <c r="J81" t="n">
        <v>335483.7000000008</v>
      </c>
      <c r="K81" t="n">
        <v>16106</v>
      </c>
      <c r="L81" t="n">
        <v>98774</v>
      </c>
      <c r="M81" t="n">
        <v>79604</v>
      </c>
      <c r="N81" t="n">
        <v>88336</v>
      </c>
      <c r="O81" t="n">
        <v>17306</v>
      </c>
      <c r="P81" t="n">
        <v>85</v>
      </c>
    </row>
    <row r="82">
      <c r="A82" t="inlineStr">
        <is>
          <t>9E</t>
        </is>
      </c>
      <c r="B82" t="n">
        <v>2024</v>
      </c>
      <c r="C82" t="n">
        <v>9</v>
      </c>
      <c r="D82" t="n">
        <v>15868</v>
      </c>
      <c r="E82" t="n">
        <v>109</v>
      </c>
      <c r="F82" t="n">
        <v>26</v>
      </c>
      <c r="G82" t="n">
        <v>15733</v>
      </c>
      <c r="H82" t="n">
        <v>14209</v>
      </c>
      <c r="I82" t="n">
        <v>-77888</v>
      </c>
      <c r="J82" t="n">
        <v>297955.3000000001</v>
      </c>
      <c r="K82" t="n">
        <v>15030</v>
      </c>
      <c r="L82" t="n">
        <v>40083</v>
      </c>
      <c r="M82" t="n">
        <v>38764</v>
      </c>
      <c r="N82" t="n">
        <v>21076</v>
      </c>
      <c r="O82" t="n">
        <v>9724</v>
      </c>
      <c r="P82" t="n">
        <v>27</v>
      </c>
    </row>
    <row r="83">
      <c r="A83" t="inlineStr">
        <is>
          <t>9E</t>
        </is>
      </c>
      <c r="B83" t="n">
        <v>2024</v>
      </c>
      <c r="C83" t="n">
        <v>10</v>
      </c>
      <c r="D83" t="n">
        <v>16841</v>
      </c>
      <c r="E83" t="n">
        <v>0</v>
      </c>
      <c r="F83" t="n">
        <v>8</v>
      </c>
      <c r="G83" t="n">
        <v>16833</v>
      </c>
      <c r="H83" t="n">
        <v>15507</v>
      </c>
      <c r="I83" t="n">
        <v>-119720</v>
      </c>
      <c r="J83" t="n">
        <v>312123.1999999998</v>
      </c>
      <c r="K83" t="n">
        <v>15988</v>
      </c>
      <c r="L83" t="n">
        <v>26333</v>
      </c>
      <c r="M83" t="n">
        <v>40789</v>
      </c>
      <c r="N83" t="n">
        <v>15191</v>
      </c>
      <c r="O83" t="n">
        <v>3230</v>
      </c>
      <c r="P83" t="n">
        <v>31</v>
      </c>
    </row>
    <row r="84">
      <c r="A84" t="inlineStr">
        <is>
          <t>9E</t>
        </is>
      </c>
      <c r="B84" t="n">
        <v>2024</v>
      </c>
      <c r="C84" t="n">
        <v>11</v>
      </c>
      <c r="D84" t="n">
        <v>16019</v>
      </c>
      <c r="E84" t="n">
        <v>4</v>
      </c>
      <c r="F84" t="n">
        <v>18</v>
      </c>
      <c r="G84" t="n">
        <v>15997</v>
      </c>
      <c r="H84" t="n">
        <v>14448</v>
      </c>
      <c r="I84" t="n">
        <v>-100390</v>
      </c>
      <c r="J84" t="n">
        <v>314380.4999999985</v>
      </c>
      <c r="K84" t="n">
        <v>15157</v>
      </c>
      <c r="L84" t="n">
        <v>33471</v>
      </c>
      <c r="M84" t="n">
        <v>33428</v>
      </c>
      <c r="N84" t="n">
        <v>22843</v>
      </c>
      <c r="O84" t="n">
        <v>5828</v>
      </c>
      <c r="P84" t="n">
        <v>53</v>
      </c>
    </row>
    <row r="85">
      <c r="A85" t="inlineStr">
        <is>
          <t>9E</t>
        </is>
      </c>
      <c r="B85" t="n">
        <v>2024</v>
      </c>
      <c r="C85" t="n">
        <v>12</v>
      </c>
      <c r="D85" t="n">
        <v>17351</v>
      </c>
      <c r="E85" t="n">
        <v>63</v>
      </c>
      <c r="F85" t="n">
        <v>38</v>
      </c>
      <c r="G85" t="n">
        <v>17250</v>
      </c>
      <c r="H85" t="n">
        <v>13884</v>
      </c>
      <c r="I85" t="n">
        <v>74785</v>
      </c>
      <c r="J85" t="n">
        <v>374127.6999999986</v>
      </c>
      <c r="K85" t="n">
        <v>16482</v>
      </c>
      <c r="L85" t="n">
        <v>107327</v>
      </c>
      <c r="M85" t="n">
        <v>70097</v>
      </c>
      <c r="N85" t="n">
        <v>51482</v>
      </c>
      <c r="O85" t="n">
        <v>19038</v>
      </c>
      <c r="P85" t="n">
        <v>204</v>
      </c>
    </row>
    <row r="86">
      <c r="A86" t="inlineStr">
        <is>
          <t>AA</t>
        </is>
      </c>
      <c r="B86" t="n">
        <v>2015</v>
      </c>
      <c r="C86" t="n">
        <v>1</v>
      </c>
      <c r="D86" t="n">
        <v>44059</v>
      </c>
      <c r="E86" t="n">
        <v>900</v>
      </c>
      <c r="F86" t="n">
        <v>85</v>
      </c>
      <c r="G86" t="n">
        <v>43074</v>
      </c>
      <c r="H86" t="n">
        <v>33545</v>
      </c>
      <c r="I86" t="n">
        <v>299616</v>
      </c>
      <c r="J86" t="n">
        <v>749433.6999999963</v>
      </c>
      <c r="K86" t="n">
        <v>44015</v>
      </c>
      <c r="L86" t="n">
        <v>225852</v>
      </c>
      <c r="M86" t="n">
        <v>203731</v>
      </c>
      <c r="N86" t="n">
        <v>100460</v>
      </c>
      <c r="O86" t="n">
        <v>24820</v>
      </c>
      <c r="P86" t="n">
        <v>636</v>
      </c>
    </row>
    <row r="87">
      <c r="A87" t="inlineStr">
        <is>
          <t>AA</t>
        </is>
      </c>
      <c r="B87" t="n">
        <v>2015</v>
      </c>
      <c r="C87" t="n">
        <v>2</v>
      </c>
      <c r="D87" t="n">
        <v>39835</v>
      </c>
      <c r="E87" t="n">
        <v>2554</v>
      </c>
      <c r="F87" t="n">
        <v>101</v>
      </c>
      <c r="G87" t="n">
        <v>37180</v>
      </c>
      <c r="H87" t="n">
        <v>29255</v>
      </c>
      <c r="I87" t="n">
        <v>279973</v>
      </c>
      <c r="J87" t="n">
        <v>680998.099999995</v>
      </c>
      <c r="K87" t="n">
        <v>39802</v>
      </c>
      <c r="L87" t="n">
        <v>159419</v>
      </c>
      <c r="M87" t="n">
        <v>166410</v>
      </c>
      <c r="N87" t="n">
        <v>124060</v>
      </c>
      <c r="O87" t="n">
        <v>51263</v>
      </c>
      <c r="P87" t="n">
        <v>511</v>
      </c>
    </row>
    <row r="88">
      <c r="A88" t="inlineStr">
        <is>
          <t>AA</t>
        </is>
      </c>
      <c r="B88" t="n">
        <v>2015</v>
      </c>
      <c r="C88" t="n">
        <v>3</v>
      </c>
      <c r="D88" t="n">
        <v>45966</v>
      </c>
      <c r="E88" t="n">
        <v>1428</v>
      </c>
      <c r="F88" t="n">
        <v>98</v>
      </c>
      <c r="G88" t="n">
        <v>44440</v>
      </c>
      <c r="H88" t="n">
        <v>34675</v>
      </c>
      <c r="I88" t="n">
        <v>297463</v>
      </c>
      <c r="J88" t="n">
        <v>821400.1999999997</v>
      </c>
      <c r="K88" t="n">
        <v>45830</v>
      </c>
      <c r="L88" t="n">
        <v>220425</v>
      </c>
      <c r="M88" t="n">
        <v>221901</v>
      </c>
      <c r="N88" t="n">
        <v>108849</v>
      </c>
      <c r="O88" t="n">
        <v>18417</v>
      </c>
      <c r="P88" t="n">
        <v>412</v>
      </c>
    </row>
    <row r="89">
      <c r="A89" t="inlineStr">
        <is>
          <t>AA</t>
        </is>
      </c>
      <c r="B89" t="n">
        <v>2015</v>
      </c>
      <c r="C89" t="n">
        <v>4</v>
      </c>
      <c r="D89" t="n">
        <v>44770</v>
      </c>
      <c r="E89" t="n">
        <v>354</v>
      </c>
      <c r="F89" t="n">
        <v>237</v>
      </c>
      <c r="G89" t="n">
        <v>44179</v>
      </c>
      <c r="H89" t="n">
        <v>35445</v>
      </c>
      <c r="I89" t="n">
        <v>217881</v>
      </c>
      <c r="J89" t="n">
        <v>928745.8000000212</v>
      </c>
      <c r="K89" t="n">
        <v>44761</v>
      </c>
      <c r="L89" t="n">
        <v>216927</v>
      </c>
      <c r="M89" t="n">
        <v>170301</v>
      </c>
      <c r="N89" t="n">
        <v>127282</v>
      </c>
      <c r="O89" t="n">
        <v>46744</v>
      </c>
      <c r="P89" t="n">
        <v>403</v>
      </c>
    </row>
    <row r="90">
      <c r="A90" t="inlineStr">
        <is>
          <t>AA</t>
        </is>
      </c>
      <c r="B90" t="n">
        <v>2015</v>
      </c>
      <c r="C90" t="n">
        <v>5</v>
      </c>
      <c r="D90" t="n">
        <v>44710</v>
      </c>
      <c r="E90" t="n">
        <v>884</v>
      </c>
      <c r="F90" t="n">
        <v>215</v>
      </c>
      <c r="G90" t="n">
        <v>43611</v>
      </c>
      <c r="H90" t="n">
        <v>34994</v>
      </c>
      <c r="I90" t="n">
        <v>225638</v>
      </c>
      <c r="J90" t="n">
        <v>924918.9000000067</v>
      </c>
      <c r="K90" t="n">
        <v>44675</v>
      </c>
      <c r="L90" t="n">
        <v>210342</v>
      </c>
      <c r="M90" t="n">
        <v>180196</v>
      </c>
      <c r="N90" t="n">
        <v>121168</v>
      </c>
      <c r="O90" t="n">
        <v>61860</v>
      </c>
      <c r="P90" t="n">
        <v>444</v>
      </c>
    </row>
    <row r="91">
      <c r="A91" t="inlineStr">
        <is>
          <t>AA</t>
        </is>
      </c>
      <c r="B91" t="n">
        <v>2015</v>
      </c>
      <c r="C91" t="n">
        <v>6</v>
      </c>
      <c r="D91" t="n">
        <v>44360</v>
      </c>
      <c r="E91" t="n">
        <v>539</v>
      </c>
      <c r="F91" t="n">
        <v>207</v>
      </c>
      <c r="G91" t="n">
        <v>43614</v>
      </c>
      <c r="H91" t="n">
        <v>33807</v>
      </c>
      <c r="I91" t="n">
        <v>357243</v>
      </c>
      <c r="J91" t="n">
        <v>877936.3999999972</v>
      </c>
      <c r="K91" t="n">
        <v>44321</v>
      </c>
      <c r="L91" t="n">
        <v>269894</v>
      </c>
      <c r="M91" t="n">
        <v>222632</v>
      </c>
      <c r="N91" t="n">
        <v>136498</v>
      </c>
      <c r="O91" t="n">
        <v>36383</v>
      </c>
      <c r="P91" t="n">
        <v>605</v>
      </c>
    </row>
    <row r="92">
      <c r="A92" t="inlineStr">
        <is>
          <t>AA</t>
        </is>
      </c>
      <c r="B92" t="n">
        <v>2015</v>
      </c>
      <c r="C92" t="n">
        <v>7</v>
      </c>
      <c r="D92" t="n">
        <v>81434</v>
      </c>
      <c r="E92" t="n">
        <v>562</v>
      </c>
      <c r="F92" t="n">
        <v>222</v>
      </c>
      <c r="G92" t="n">
        <v>80650</v>
      </c>
      <c r="H92" t="n">
        <v>65170</v>
      </c>
      <c r="I92" t="n">
        <v>312151</v>
      </c>
      <c r="J92" t="n">
        <v>1535336.000000001</v>
      </c>
      <c r="K92" t="n">
        <v>81342</v>
      </c>
      <c r="L92" t="n">
        <v>358271</v>
      </c>
      <c r="M92" t="n">
        <v>300368</v>
      </c>
      <c r="N92" t="n">
        <v>205446</v>
      </c>
      <c r="O92" t="n">
        <v>37235</v>
      </c>
      <c r="P92" t="n">
        <v>1610</v>
      </c>
    </row>
    <row r="93">
      <c r="A93" t="inlineStr">
        <is>
          <t>AA</t>
        </is>
      </c>
      <c r="B93" t="n">
        <v>2015</v>
      </c>
      <c r="C93" t="n">
        <v>8</v>
      </c>
      <c r="D93" t="n">
        <v>79748</v>
      </c>
      <c r="E93" t="n">
        <v>790</v>
      </c>
      <c r="F93" t="n">
        <v>250</v>
      </c>
      <c r="G93" t="n">
        <v>78708</v>
      </c>
      <c r="H93" t="n">
        <v>64260</v>
      </c>
      <c r="I93" t="n">
        <v>251386</v>
      </c>
      <c r="J93" t="n">
        <v>1513602.699999996</v>
      </c>
      <c r="K93" t="n">
        <v>79697</v>
      </c>
      <c r="L93" t="n">
        <v>298607</v>
      </c>
      <c r="M93" t="n">
        <v>319672</v>
      </c>
      <c r="N93" t="n">
        <v>198959</v>
      </c>
      <c r="O93" t="n">
        <v>43023</v>
      </c>
      <c r="P93" t="n">
        <v>2538</v>
      </c>
    </row>
    <row r="94">
      <c r="A94" t="inlineStr">
        <is>
          <t>AA</t>
        </is>
      </c>
      <c r="B94" t="n">
        <v>2015</v>
      </c>
      <c r="C94" t="n">
        <v>9</v>
      </c>
      <c r="D94" t="n">
        <v>73379</v>
      </c>
      <c r="E94" t="n">
        <v>353</v>
      </c>
      <c r="F94" t="n">
        <v>138</v>
      </c>
      <c r="G94" t="n">
        <v>72888</v>
      </c>
      <c r="H94" t="n">
        <v>62814</v>
      </c>
      <c r="I94" t="n">
        <v>-104429</v>
      </c>
      <c r="J94" t="n">
        <v>1434601.500000002</v>
      </c>
      <c r="K94" t="n">
        <v>73195</v>
      </c>
      <c r="L94" t="n">
        <v>176240</v>
      </c>
      <c r="M94" t="n">
        <v>219156</v>
      </c>
      <c r="N94" t="n">
        <v>132444</v>
      </c>
      <c r="O94" t="n">
        <v>26235</v>
      </c>
      <c r="P94" t="n">
        <v>1189</v>
      </c>
    </row>
    <row r="95">
      <c r="A95" t="inlineStr">
        <is>
          <t>AA</t>
        </is>
      </c>
      <c r="B95" t="n">
        <v>2015</v>
      </c>
      <c r="C95" t="n">
        <v>10</v>
      </c>
      <c r="D95" t="n">
        <v>77290</v>
      </c>
      <c r="E95" t="n">
        <v>725</v>
      </c>
      <c r="F95" t="n">
        <v>184</v>
      </c>
      <c r="G95" t="n">
        <v>76381</v>
      </c>
      <c r="H95" t="n">
        <v>66202</v>
      </c>
      <c r="I95" t="n">
        <v>-44372</v>
      </c>
      <c r="J95" t="n">
        <v>1503718.400000003</v>
      </c>
      <c r="K95" t="n">
        <v>77236</v>
      </c>
      <c r="L95" t="n">
        <v>192382</v>
      </c>
      <c r="M95" t="n">
        <v>220804</v>
      </c>
      <c r="N95" t="n">
        <v>139994</v>
      </c>
      <c r="O95" t="n">
        <v>34438</v>
      </c>
      <c r="P95" t="n">
        <v>1074</v>
      </c>
    </row>
    <row r="96">
      <c r="A96" t="inlineStr">
        <is>
          <t>AA</t>
        </is>
      </c>
      <c r="B96" t="n">
        <v>2015</v>
      </c>
      <c r="C96" t="n">
        <v>11</v>
      </c>
      <c r="D96" t="n">
        <v>73871</v>
      </c>
      <c r="E96" t="n">
        <v>552</v>
      </c>
      <c r="F96" t="n">
        <v>187</v>
      </c>
      <c r="G96" t="n">
        <v>73132</v>
      </c>
      <c r="H96" t="n">
        <v>61828</v>
      </c>
      <c r="I96" t="n">
        <v>56504</v>
      </c>
      <c r="J96" t="n">
        <v>1517527.600000006</v>
      </c>
      <c r="K96" t="n">
        <v>73663</v>
      </c>
      <c r="L96" t="n">
        <v>216298</v>
      </c>
      <c r="M96" t="n">
        <v>226795</v>
      </c>
      <c r="N96" t="n">
        <v>159511</v>
      </c>
      <c r="O96" t="n">
        <v>39566</v>
      </c>
      <c r="P96" t="n">
        <v>4324</v>
      </c>
    </row>
    <row r="97">
      <c r="A97" t="inlineStr">
        <is>
          <t>AA</t>
        </is>
      </c>
      <c r="B97" t="n">
        <v>2015</v>
      </c>
      <c r="C97" t="n">
        <v>12</v>
      </c>
      <c r="D97" t="n">
        <v>76562</v>
      </c>
      <c r="E97" t="n">
        <v>1278</v>
      </c>
      <c r="F97" t="n">
        <v>206</v>
      </c>
      <c r="G97" t="n">
        <v>75078</v>
      </c>
      <c r="H97" t="n">
        <v>60661</v>
      </c>
      <c r="I97" t="n">
        <v>311550</v>
      </c>
      <c r="J97" t="n">
        <v>1488554.699999988</v>
      </c>
      <c r="K97" t="n">
        <v>76266</v>
      </c>
      <c r="L97" t="n">
        <v>288645</v>
      </c>
      <c r="M97" t="n">
        <v>302028</v>
      </c>
      <c r="N97" t="n">
        <v>205890</v>
      </c>
      <c r="O97" t="n">
        <v>47436</v>
      </c>
      <c r="P97" t="n">
        <v>2412</v>
      </c>
    </row>
    <row r="98">
      <c r="A98" t="inlineStr">
        <is>
          <t>AA</t>
        </is>
      </c>
      <c r="B98" t="n">
        <v>2016</v>
      </c>
      <c r="C98" t="n">
        <v>1</v>
      </c>
      <c r="D98" t="n">
        <v>75580</v>
      </c>
      <c r="E98" t="n">
        <v>2720</v>
      </c>
      <c r="F98" t="n">
        <v>124</v>
      </c>
      <c r="G98" t="n">
        <v>72736</v>
      </c>
      <c r="H98" t="n">
        <v>60292</v>
      </c>
      <c r="I98" t="n">
        <v>140691</v>
      </c>
      <c r="J98" t="n">
        <v>1468666.799999989</v>
      </c>
      <c r="K98" t="n">
        <v>75459</v>
      </c>
      <c r="L98" t="n">
        <v>218133</v>
      </c>
      <c r="M98" t="n">
        <v>292253</v>
      </c>
      <c r="N98" t="n">
        <v>147387</v>
      </c>
      <c r="O98" t="n">
        <v>36255</v>
      </c>
      <c r="P98" t="n">
        <v>1440</v>
      </c>
    </row>
    <row r="99">
      <c r="A99" t="inlineStr">
        <is>
          <t>AA</t>
        </is>
      </c>
      <c r="B99" t="n">
        <v>2016</v>
      </c>
      <c r="C99" t="n">
        <v>2</v>
      </c>
      <c r="D99" t="n">
        <v>71440</v>
      </c>
      <c r="E99" t="n">
        <v>1003</v>
      </c>
      <c r="F99" t="n">
        <v>137</v>
      </c>
      <c r="G99" t="n">
        <v>70300</v>
      </c>
      <c r="H99" t="n">
        <v>59301</v>
      </c>
      <c r="I99" t="n">
        <v>62780</v>
      </c>
      <c r="J99" t="n">
        <v>1388134.599999996</v>
      </c>
      <c r="K99" t="n">
        <v>71375</v>
      </c>
      <c r="L99" t="n">
        <v>212412</v>
      </c>
      <c r="M99" t="n">
        <v>220116</v>
      </c>
      <c r="N99" t="n">
        <v>187327</v>
      </c>
      <c r="O99" t="n">
        <v>32547</v>
      </c>
      <c r="P99" t="n">
        <v>1012</v>
      </c>
    </row>
    <row r="100">
      <c r="A100" t="inlineStr">
        <is>
          <t>AA</t>
        </is>
      </c>
      <c r="B100" t="n">
        <v>2016</v>
      </c>
      <c r="C100" t="n">
        <v>3</v>
      </c>
      <c r="D100" t="n">
        <v>79119</v>
      </c>
      <c r="E100" t="n">
        <v>431</v>
      </c>
      <c r="F100" t="n">
        <v>174</v>
      </c>
      <c r="G100" t="n">
        <v>78514</v>
      </c>
      <c r="H100" t="n">
        <v>63812</v>
      </c>
      <c r="I100" t="n">
        <v>280778</v>
      </c>
      <c r="J100" t="n">
        <v>1549526.600000018</v>
      </c>
      <c r="K100" t="n">
        <v>78990</v>
      </c>
      <c r="L100" t="n">
        <v>313199</v>
      </c>
      <c r="M100" t="n">
        <v>282436</v>
      </c>
      <c r="N100" t="n">
        <v>210297</v>
      </c>
      <c r="O100" t="n">
        <v>33287</v>
      </c>
      <c r="P100" t="n">
        <v>3048</v>
      </c>
    </row>
    <row r="101">
      <c r="A101" t="inlineStr">
        <is>
          <t>AA</t>
        </is>
      </c>
      <c r="B101" t="n">
        <v>2016</v>
      </c>
      <c r="C101" t="n">
        <v>4</v>
      </c>
      <c r="D101" t="n">
        <v>74859</v>
      </c>
      <c r="E101" t="n">
        <v>660</v>
      </c>
      <c r="F101" t="n">
        <v>170</v>
      </c>
      <c r="G101" t="n">
        <v>74029</v>
      </c>
      <c r="H101" t="n">
        <v>62516</v>
      </c>
      <c r="I101" t="n">
        <v>137573</v>
      </c>
      <c r="J101" t="n">
        <v>1383527.100000011</v>
      </c>
      <c r="K101" t="n">
        <v>74846</v>
      </c>
      <c r="L101" t="n">
        <v>229446</v>
      </c>
      <c r="M101" t="n">
        <v>231551</v>
      </c>
      <c r="N101" t="n">
        <v>179911</v>
      </c>
      <c r="O101" t="n">
        <v>35443</v>
      </c>
      <c r="P101" t="n">
        <v>1105</v>
      </c>
    </row>
    <row r="102">
      <c r="A102" t="inlineStr">
        <is>
          <t>AA</t>
        </is>
      </c>
      <c r="B102" t="n">
        <v>2016</v>
      </c>
      <c r="C102" t="n">
        <v>5</v>
      </c>
      <c r="D102" t="n">
        <v>78678</v>
      </c>
      <c r="E102" t="n">
        <v>493</v>
      </c>
      <c r="F102" t="n">
        <v>263</v>
      </c>
      <c r="G102" t="n">
        <v>77922</v>
      </c>
      <c r="H102" t="n">
        <v>63482</v>
      </c>
      <c r="I102" t="n">
        <v>391323</v>
      </c>
      <c r="J102" t="n">
        <v>1451190.500000011</v>
      </c>
      <c r="K102" t="n">
        <v>78551</v>
      </c>
      <c r="L102" t="n">
        <v>311242</v>
      </c>
      <c r="M102" t="n">
        <v>299722</v>
      </c>
      <c r="N102" t="n">
        <v>222815</v>
      </c>
      <c r="O102" t="n">
        <v>68842</v>
      </c>
      <c r="P102" t="n">
        <v>1584</v>
      </c>
    </row>
    <row r="103">
      <c r="A103" t="inlineStr">
        <is>
          <t>AA</t>
        </is>
      </c>
      <c r="B103" t="n">
        <v>2016</v>
      </c>
      <c r="C103" t="n">
        <v>6</v>
      </c>
      <c r="D103" t="n">
        <v>79648</v>
      </c>
      <c r="E103" t="n">
        <v>831</v>
      </c>
      <c r="F103" t="n">
        <v>278</v>
      </c>
      <c r="G103" t="n">
        <v>78539</v>
      </c>
      <c r="H103" t="n">
        <v>57675</v>
      </c>
      <c r="I103" t="n">
        <v>1012411</v>
      </c>
      <c r="J103" t="n">
        <v>1368494.700000004</v>
      </c>
      <c r="K103" t="n">
        <v>79548</v>
      </c>
      <c r="L103" t="n">
        <v>555533</v>
      </c>
      <c r="M103" t="n">
        <v>454836</v>
      </c>
      <c r="N103" t="n">
        <v>299463</v>
      </c>
      <c r="O103" t="n">
        <v>81849</v>
      </c>
      <c r="P103" t="n">
        <v>1890</v>
      </c>
    </row>
    <row r="104">
      <c r="A104" t="inlineStr">
        <is>
          <t>AA</t>
        </is>
      </c>
      <c r="B104" t="n">
        <v>2016</v>
      </c>
      <c r="C104" t="n">
        <v>7</v>
      </c>
      <c r="D104" t="n">
        <v>81678</v>
      </c>
      <c r="E104" t="n">
        <v>1432</v>
      </c>
      <c r="F104" t="n">
        <v>334</v>
      </c>
      <c r="G104" t="n">
        <v>79912</v>
      </c>
      <c r="H104" t="n">
        <v>57721</v>
      </c>
      <c r="I104" t="n">
        <v>1130979</v>
      </c>
      <c r="J104" t="n">
        <v>1399309.199999999</v>
      </c>
      <c r="K104" t="n">
        <v>81556</v>
      </c>
      <c r="L104" t="n">
        <v>604530</v>
      </c>
      <c r="M104" t="n">
        <v>473587</v>
      </c>
      <c r="N104" t="n">
        <v>357317</v>
      </c>
      <c r="O104" t="n">
        <v>90892</v>
      </c>
      <c r="P104" t="n">
        <v>2323</v>
      </c>
    </row>
    <row r="105">
      <c r="A105" t="inlineStr">
        <is>
          <t>AA</t>
        </is>
      </c>
      <c r="B105" t="n">
        <v>2016</v>
      </c>
      <c r="C105" t="n">
        <v>8</v>
      </c>
      <c r="D105" t="n">
        <v>80241</v>
      </c>
      <c r="E105" t="n">
        <v>1498</v>
      </c>
      <c r="F105" t="n">
        <v>317</v>
      </c>
      <c r="G105" t="n">
        <v>78426</v>
      </c>
      <c r="H105" t="n">
        <v>57670</v>
      </c>
      <c r="I105" t="n">
        <v>985438</v>
      </c>
      <c r="J105" t="n">
        <v>1414895.4</v>
      </c>
      <c r="K105" t="n">
        <v>80163</v>
      </c>
      <c r="L105" t="n">
        <v>517566</v>
      </c>
      <c r="M105" t="n">
        <v>455494</v>
      </c>
      <c r="N105" t="n">
        <v>339962</v>
      </c>
      <c r="O105" t="n">
        <v>84790</v>
      </c>
      <c r="P105" t="n">
        <v>4094</v>
      </c>
    </row>
    <row r="106">
      <c r="A106" t="inlineStr">
        <is>
          <t>AA</t>
        </is>
      </c>
      <c r="B106" t="n">
        <v>2016</v>
      </c>
      <c r="C106" t="n">
        <v>9</v>
      </c>
      <c r="D106" t="n">
        <v>72460</v>
      </c>
      <c r="E106" t="n">
        <v>243</v>
      </c>
      <c r="F106" t="n">
        <v>114</v>
      </c>
      <c r="G106" t="n">
        <v>72103</v>
      </c>
      <c r="H106" t="n">
        <v>60121</v>
      </c>
      <c r="I106" t="n">
        <v>148749</v>
      </c>
      <c r="J106" t="n">
        <v>1358509.900000028</v>
      </c>
      <c r="K106" t="n">
        <v>72440</v>
      </c>
      <c r="L106" t="n">
        <v>218627</v>
      </c>
      <c r="M106" t="n">
        <v>233191</v>
      </c>
      <c r="N106" t="n">
        <v>189906</v>
      </c>
      <c r="O106" t="n">
        <v>32480</v>
      </c>
      <c r="P106" t="n">
        <v>923</v>
      </c>
    </row>
    <row r="107">
      <c r="A107" t="inlineStr">
        <is>
          <t>AA</t>
        </is>
      </c>
      <c r="B107" t="n">
        <v>2016</v>
      </c>
      <c r="C107" t="n">
        <v>10</v>
      </c>
      <c r="D107" t="n">
        <v>75171</v>
      </c>
      <c r="E107" t="n">
        <v>825</v>
      </c>
      <c r="F107" t="n">
        <v>86</v>
      </c>
      <c r="G107" t="n">
        <v>74260</v>
      </c>
      <c r="H107" t="n">
        <v>63657</v>
      </c>
      <c r="I107" t="n">
        <v>-1611</v>
      </c>
      <c r="J107" t="n">
        <v>1452250.899999993</v>
      </c>
      <c r="K107" t="n">
        <v>75153</v>
      </c>
      <c r="L107" t="n">
        <v>176503</v>
      </c>
      <c r="M107" t="n">
        <v>207907</v>
      </c>
      <c r="N107" t="n">
        <v>152090</v>
      </c>
      <c r="O107" t="n">
        <v>6869</v>
      </c>
      <c r="P107" t="n">
        <v>1061</v>
      </c>
    </row>
    <row r="108">
      <c r="A108" t="inlineStr">
        <is>
          <t>AA</t>
        </is>
      </c>
      <c r="B108" t="n">
        <v>2016</v>
      </c>
      <c r="C108" t="n">
        <v>11</v>
      </c>
      <c r="D108" t="n">
        <v>71819</v>
      </c>
      <c r="E108" t="n">
        <v>181</v>
      </c>
      <c r="F108" t="n">
        <v>87</v>
      </c>
      <c r="G108" t="n">
        <v>71551</v>
      </c>
      <c r="H108" t="n">
        <v>61344</v>
      </c>
      <c r="I108" t="n">
        <v>-121199</v>
      </c>
      <c r="J108" t="n">
        <v>1471189.800000004</v>
      </c>
      <c r="K108" t="n">
        <v>71601</v>
      </c>
      <c r="L108" t="n">
        <v>175517</v>
      </c>
      <c r="M108" t="n">
        <v>178474</v>
      </c>
      <c r="N108" t="n">
        <v>154813</v>
      </c>
      <c r="O108" t="n">
        <v>7950</v>
      </c>
      <c r="P108" t="n">
        <v>1465</v>
      </c>
    </row>
    <row r="109">
      <c r="A109" t="inlineStr">
        <is>
          <t>AA</t>
        </is>
      </c>
      <c r="B109" t="n">
        <v>2016</v>
      </c>
      <c r="C109" t="n">
        <v>12</v>
      </c>
      <c r="D109" t="n">
        <v>73802</v>
      </c>
      <c r="E109" t="n">
        <v>550</v>
      </c>
      <c r="F109" t="n">
        <v>132</v>
      </c>
      <c r="G109" t="n">
        <v>73120</v>
      </c>
      <c r="H109" t="n">
        <v>58368</v>
      </c>
      <c r="I109" t="n">
        <v>415848</v>
      </c>
      <c r="J109" t="n">
        <v>1450720.300000014</v>
      </c>
      <c r="K109" t="n">
        <v>73641</v>
      </c>
      <c r="L109" t="n">
        <v>327894</v>
      </c>
      <c r="M109" t="n">
        <v>300622</v>
      </c>
      <c r="N109" t="n">
        <v>204664</v>
      </c>
      <c r="O109" t="n">
        <v>39547</v>
      </c>
      <c r="P109" t="n">
        <v>1926</v>
      </c>
    </row>
    <row r="110">
      <c r="A110" t="inlineStr">
        <is>
          <t>AA</t>
        </is>
      </c>
      <c r="B110" t="n">
        <v>2017</v>
      </c>
      <c r="C110" t="n">
        <v>1</v>
      </c>
      <c r="D110" t="n">
        <v>73132</v>
      </c>
      <c r="E110" t="n">
        <v>980</v>
      </c>
      <c r="F110" t="n">
        <v>205</v>
      </c>
      <c r="G110" t="n">
        <v>71947</v>
      </c>
      <c r="H110" t="n">
        <v>57948</v>
      </c>
      <c r="I110" t="n">
        <v>237929</v>
      </c>
      <c r="J110" t="n">
        <v>1495751.399999994</v>
      </c>
      <c r="K110" t="n">
        <v>73081</v>
      </c>
      <c r="L110" t="n">
        <v>262373</v>
      </c>
      <c r="M110" t="n">
        <v>262291</v>
      </c>
      <c r="N110" t="n">
        <v>215165</v>
      </c>
      <c r="O110" t="n">
        <v>32928</v>
      </c>
      <c r="P110" t="n">
        <v>2494</v>
      </c>
    </row>
    <row r="111">
      <c r="A111" t="inlineStr">
        <is>
          <t>AA</t>
        </is>
      </c>
      <c r="B111" t="n">
        <v>2017</v>
      </c>
      <c r="C111" t="n">
        <v>2</v>
      </c>
      <c r="D111" t="n">
        <v>67123</v>
      </c>
      <c r="E111" t="n">
        <v>791</v>
      </c>
      <c r="F111" t="n">
        <v>115</v>
      </c>
      <c r="G111" t="n">
        <v>66217</v>
      </c>
      <c r="H111" t="n">
        <v>57171</v>
      </c>
      <c r="I111" t="n">
        <v>-81405</v>
      </c>
      <c r="J111" t="n">
        <v>1390655.599999992</v>
      </c>
      <c r="K111" t="n">
        <v>67082</v>
      </c>
      <c r="L111" t="n">
        <v>161090</v>
      </c>
      <c r="M111" t="n">
        <v>189352</v>
      </c>
      <c r="N111" t="n">
        <v>139540</v>
      </c>
      <c r="O111" t="n">
        <v>15534</v>
      </c>
      <c r="P111" t="n">
        <v>454</v>
      </c>
    </row>
    <row r="112">
      <c r="A112" t="inlineStr">
        <is>
          <t>AA</t>
        </is>
      </c>
      <c r="B112" t="n">
        <v>2017</v>
      </c>
      <c r="C112" t="n">
        <v>3</v>
      </c>
      <c r="D112" t="n">
        <v>78114</v>
      </c>
      <c r="E112" t="n">
        <v>1225</v>
      </c>
      <c r="F112" t="n">
        <v>134</v>
      </c>
      <c r="G112" t="n">
        <v>76755</v>
      </c>
      <c r="H112" t="n">
        <v>62642</v>
      </c>
      <c r="I112" t="n">
        <v>262198</v>
      </c>
      <c r="J112" t="n">
        <v>1636868.600000001</v>
      </c>
      <c r="K112" t="n">
        <v>77972</v>
      </c>
      <c r="L112" t="n">
        <v>297770</v>
      </c>
      <c r="M112" t="n">
        <v>280480</v>
      </c>
      <c r="N112" t="n">
        <v>207236</v>
      </c>
      <c r="O112" t="n">
        <v>17839</v>
      </c>
      <c r="P112" t="n">
        <v>1536</v>
      </c>
    </row>
    <row r="113">
      <c r="A113" t="inlineStr">
        <is>
          <t>AA</t>
        </is>
      </c>
      <c r="B113" t="n">
        <v>2017</v>
      </c>
      <c r="C113" t="n">
        <v>4</v>
      </c>
      <c r="D113" t="n">
        <v>73656</v>
      </c>
      <c r="E113" t="n">
        <v>745</v>
      </c>
      <c r="F113" t="n">
        <v>142</v>
      </c>
      <c r="G113" t="n">
        <v>72769</v>
      </c>
      <c r="H113" t="n">
        <v>57950</v>
      </c>
      <c r="I113" t="n">
        <v>436772</v>
      </c>
      <c r="J113" t="n">
        <v>1475200.200000004</v>
      </c>
      <c r="K113" t="n">
        <v>73636</v>
      </c>
      <c r="L113" t="n">
        <v>367915</v>
      </c>
      <c r="M113" t="n">
        <v>280228</v>
      </c>
      <c r="N113" t="n">
        <v>272635</v>
      </c>
      <c r="O113" t="n">
        <v>28976</v>
      </c>
      <c r="P113" t="n">
        <v>1100</v>
      </c>
    </row>
    <row r="114">
      <c r="A114" t="inlineStr">
        <is>
          <t>AA</t>
        </is>
      </c>
      <c r="B114" t="n">
        <v>2017</v>
      </c>
      <c r="C114" t="n">
        <v>5</v>
      </c>
      <c r="D114" t="n">
        <v>77328</v>
      </c>
      <c r="E114" t="n">
        <v>498</v>
      </c>
      <c r="F114" t="n">
        <v>161</v>
      </c>
      <c r="G114" t="n">
        <v>76669</v>
      </c>
      <c r="H114" t="n">
        <v>61970</v>
      </c>
      <c r="I114" t="n">
        <v>327590</v>
      </c>
      <c r="J114" t="n">
        <v>1555987.500000023</v>
      </c>
      <c r="K114" t="n">
        <v>77238</v>
      </c>
      <c r="L114" t="n">
        <v>313351</v>
      </c>
      <c r="M114" t="n">
        <v>270284</v>
      </c>
      <c r="N114" t="n">
        <v>264601</v>
      </c>
      <c r="O114" t="n">
        <v>17832</v>
      </c>
      <c r="P114" t="n">
        <v>1357</v>
      </c>
    </row>
    <row r="115">
      <c r="A115" t="inlineStr">
        <is>
          <t>AA</t>
        </is>
      </c>
      <c r="B115" t="n">
        <v>2017</v>
      </c>
      <c r="C115" t="n">
        <v>6</v>
      </c>
      <c r="D115" t="n">
        <v>77129</v>
      </c>
      <c r="E115" t="n">
        <v>1294</v>
      </c>
      <c r="F115" t="n">
        <v>241</v>
      </c>
      <c r="G115" t="n">
        <v>75594</v>
      </c>
      <c r="H115" t="n">
        <v>56451</v>
      </c>
      <c r="I115" t="n">
        <v>847592</v>
      </c>
      <c r="J115" t="n">
        <v>1497381.49999998</v>
      </c>
      <c r="K115" t="n">
        <v>77017</v>
      </c>
      <c r="L115" t="n">
        <v>509330</v>
      </c>
      <c r="M115" t="n">
        <v>361406</v>
      </c>
      <c r="N115" t="n">
        <v>337484</v>
      </c>
      <c r="O115" t="n">
        <v>75036</v>
      </c>
      <c r="P115" t="n">
        <v>1836</v>
      </c>
    </row>
    <row r="116">
      <c r="A116" t="inlineStr">
        <is>
          <t>AA</t>
        </is>
      </c>
      <c r="B116" t="n">
        <v>2017</v>
      </c>
      <c r="C116" t="n">
        <v>7</v>
      </c>
      <c r="D116" t="n">
        <v>79403</v>
      </c>
      <c r="E116" t="n">
        <v>1506</v>
      </c>
      <c r="F116" t="n">
        <v>330</v>
      </c>
      <c r="G116" t="n">
        <v>77567</v>
      </c>
      <c r="H116" t="n">
        <v>58040</v>
      </c>
      <c r="I116" t="n">
        <v>867689</v>
      </c>
      <c r="J116" t="n">
        <v>1539169.500000005</v>
      </c>
      <c r="K116" t="n">
        <v>79185</v>
      </c>
      <c r="L116" t="n">
        <v>527143</v>
      </c>
      <c r="M116" t="n">
        <v>404061</v>
      </c>
      <c r="N116" t="n">
        <v>313719</v>
      </c>
      <c r="O116" t="n">
        <v>90966</v>
      </c>
      <c r="P116" t="n">
        <v>3345</v>
      </c>
    </row>
    <row r="117">
      <c r="A117" t="inlineStr">
        <is>
          <t>AA</t>
        </is>
      </c>
      <c r="B117" t="n">
        <v>2017</v>
      </c>
      <c r="C117" t="n">
        <v>8</v>
      </c>
      <c r="D117" t="n">
        <v>79269</v>
      </c>
      <c r="E117" t="n">
        <v>994</v>
      </c>
      <c r="F117" t="n">
        <v>236</v>
      </c>
      <c r="G117" t="n">
        <v>78039</v>
      </c>
      <c r="H117" t="n">
        <v>61568</v>
      </c>
      <c r="I117" t="n">
        <v>510286</v>
      </c>
      <c r="J117" t="n">
        <v>1491073.199999993</v>
      </c>
      <c r="K117" t="n">
        <v>79158</v>
      </c>
      <c r="L117" t="n">
        <v>361097</v>
      </c>
      <c r="M117" t="n">
        <v>307719</v>
      </c>
      <c r="N117" t="n">
        <v>266876</v>
      </c>
      <c r="O117" t="n">
        <v>45074</v>
      </c>
      <c r="P117" t="n">
        <v>2437</v>
      </c>
    </row>
    <row r="118">
      <c r="A118" t="inlineStr">
        <is>
          <t>AA</t>
        </is>
      </c>
      <c r="B118" t="n">
        <v>2017</v>
      </c>
      <c r="C118" t="n">
        <v>9</v>
      </c>
      <c r="D118" t="n">
        <v>72061</v>
      </c>
      <c r="E118" t="n">
        <v>3328</v>
      </c>
      <c r="F118" t="n">
        <v>113</v>
      </c>
      <c r="G118" t="n">
        <v>68620</v>
      </c>
      <c r="H118" t="n">
        <v>59686</v>
      </c>
      <c r="I118" t="n">
        <v>-42907</v>
      </c>
      <c r="J118" t="n">
        <v>1349726.500000001</v>
      </c>
      <c r="K118" t="n">
        <v>72049</v>
      </c>
      <c r="L118" t="n">
        <v>159993</v>
      </c>
      <c r="M118" t="n">
        <v>191177</v>
      </c>
      <c r="N118" t="n">
        <v>128703</v>
      </c>
      <c r="O118" t="n">
        <v>22351</v>
      </c>
      <c r="P118" t="n">
        <v>1442</v>
      </c>
    </row>
    <row r="119">
      <c r="A119" t="inlineStr">
        <is>
          <t>AA</t>
        </is>
      </c>
      <c r="B119" t="n">
        <v>2017</v>
      </c>
      <c r="C119" t="n">
        <v>10</v>
      </c>
      <c r="D119" t="n">
        <v>75712</v>
      </c>
      <c r="E119" t="n">
        <v>362</v>
      </c>
      <c r="F119" t="n">
        <v>119</v>
      </c>
      <c r="G119" t="n">
        <v>75231</v>
      </c>
      <c r="H119" t="n">
        <v>64428</v>
      </c>
      <c r="I119" t="n">
        <v>74373</v>
      </c>
      <c r="J119" t="n">
        <v>1420656.299999999</v>
      </c>
      <c r="K119" t="n">
        <v>75697</v>
      </c>
      <c r="L119" t="n">
        <v>201191</v>
      </c>
      <c r="M119" t="n">
        <v>219471</v>
      </c>
      <c r="N119" t="n">
        <v>160783</v>
      </c>
      <c r="O119" t="n">
        <v>12016</v>
      </c>
      <c r="P119" t="n">
        <v>1534</v>
      </c>
    </row>
    <row r="120">
      <c r="A120" t="inlineStr">
        <is>
          <t>AA</t>
        </is>
      </c>
      <c r="B120" t="n">
        <v>2017</v>
      </c>
      <c r="C120" t="n">
        <v>11</v>
      </c>
      <c r="D120" t="n">
        <v>69677</v>
      </c>
      <c r="E120" t="n">
        <v>103</v>
      </c>
      <c r="F120" t="n">
        <v>80</v>
      </c>
      <c r="G120" t="n">
        <v>69494</v>
      </c>
      <c r="H120" t="n">
        <v>61856</v>
      </c>
      <c r="I120" t="n">
        <v>-244720</v>
      </c>
      <c r="J120" t="n">
        <v>1519652.000000007</v>
      </c>
      <c r="K120" t="n">
        <v>69514</v>
      </c>
      <c r="L120" t="n">
        <v>135721</v>
      </c>
      <c r="M120" t="n">
        <v>167366</v>
      </c>
      <c r="N120" t="n">
        <v>83816</v>
      </c>
      <c r="O120" t="n">
        <v>5578</v>
      </c>
      <c r="P120" t="n">
        <v>4339</v>
      </c>
    </row>
    <row r="121">
      <c r="A121" t="inlineStr">
        <is>
          <t>AA</t>
        </is>
      </c>
      <c r="B121" t="n">
        <v>2017</v>
      </c>
      <c r="C121" t="n">
        <v>12</v>
      </c>
      <c r="D121" t="n">
        <v>73744</v>
      </c>
      <c r="E121" t="n">
        <v>312</v>
      </c>
      <c r="F121" t="n">
        <v>116</v>
      </c>
      <c r="G121" t="n">
        <v>73316</v>
      </c>
      <c r="H121" t="n">
        <v>60482</v>
      </c>
      <c r="I121" t="n">
        <v>201820</v>
      </c>
      <c r="J121" t="n">
        <v>1593635.3</v>
      </c>
      <c r="K121" t="n">
        <v>73495</v>
      </c>
      <c r="L121" t="n">
        <v>270496</v>
      </c>
      <c r="M121" t="n">
        <v>265343</v>
      </c>
      <c r="N121" t="n">
        <v>180593</v>
      </c>
      <c r="O121" t="n">
        <v>43889</v>
      </c>
      <c r="P121" t="n">
        <v>1260</v>
      </c>
    </row>
    <row r="122">
      <c r="A122" t="inlineStr">
        <is>
          <t>AA</t>
        </is>
      </c>
      <c r="B122" t="n">
        <v>2018</v>
      </c>
      <c r="C122" t="n">
        <v>1</v>
      </c>
      <c r="D122" t="n">
        <v>73598</v>
      </c>
      <c r="E122" t="n">
        <v>1478</v>
      </c>
      <c r="F122" t="n">
        <v>106</v>
      </c>
      <c r="G122" t="n">
        <v>72014</v>
      </c>
      <c r="H122" t="n">
        <v>60695</v>
      </c>
      <c r="I122" t="n">
        <v>30903</v>
      </c>
      <c r="J122" t="n">
        <v>1686540.199999992</v>
      </c>
      <c r="K122" t="n">
        <v>73453</v>
      </c>
      <c r="L122" t="n">
        <v>231271</v>
      </c>
      <c r="M122" t="n">
        <v>254933</v>
      </c>
      <c r="N122" t="n">
        <v>151264</v>
      </c>
      <c r="O122" t="n">
        <v>37252</v>
      </c>
      <c r="P122" t="n">
        <v>1189</v>
      </c>
    </row>
    <row r="123">
      <c r="A123" t="inlineStr">
        <is>
          <t>AA</t>
        </is>
      </c>
      <c r="B123" t="n">
        <v>2018</v>
      </c>
      <c r="C123" t="n">
        <v>2</v>
      </c>
      <c r="D123" t="n">
        <v>68389</v>
      </c>
      <c r="E123" t="n">
        <v>855</v>
      </c>
      <c r="F123" t="n">
        <v>173</v>
      </c>
      <c r="G123" t="n">
        <v>67361</v>
      </c>
      <c r="H123" t="n">
        <v>55230</v>
      </c>
      <c r="I123" t="n">
        <v>135375</v>
      </c>
      <c r="J123" t="n">
        <v>1580045.599999988</v>
      </c>
      <c r="K123" t="n">
        <v>68299</v>
      </c>
      <c r="L123" t="n">
        <v>248001</v>
      </c>
      <c r="M123" t="n">
        <v>222586</v>
      </c>
      <c r="N123" t="n">
        <v>196917</v>
      </c>
      <c r="O123" t="n">
        <v>36389</v>
      </c>
      <c r="P123" t="n">
        <v>798</v>
      </c>
    </row>
    <row r="124">
      <c r="A124" t="inlineStr">
        <is>
          <t>AA</t>
        </is>
      </c>
      <c r="B124" t="n">
        <v>2018</v>
      </c>
      <c r="C124" t="n">
        <v>3</v>
      </c>
      <c r="D124" t="n">
        <v>78208</v>
      </c>
      <c r="E124" t="n">
        <v>2489</v>
      </c>
      <c r="F124" t="n">
        <v>117</v>
      </c>
      <c r="G124" t="n">
        <v>75602</v>
      </c>
      <c r="H124" t="n">
        <v>64402</v>
      </c>
      <c r="I124" t="n">
        <v>-16166</v>
      </c>
      <c r="J124" t="n">
        <v>1773353.399999991</v>
      </c>
      <c r="K124" t="n">
        <v>78026</v>
      </c>
      <c r="L124" t="n">
        <v>225735</v>
      </c>
      <c r="M124" t="n">
        <v>243550</v>
      </c>
      <c r="N124" t="n">
        <v>122518</v>
      </c>
      <c r="O124" t="n">
        <v>17616</v>
      </c>
      <c r="P124" t="n">
        <v>1424</v>
      </c>
    </row>
    <row r="125">
      <c r="A125" t="inlineStr">
        <is>
          <t>AA</t>
        </is>
      </c>
      <c r="B125" t="n">
        <v>2018</v>
      </c>
      <c r="C125" t="n">
        <v>4</v>
      </c>
      <c r="D125" t="n">
        <v>74384</v>
      </c>
      <c r="E125" t="n">
        <v>456</v>
      </c>
      <c r="F125" t="n">
        <v>161</v>
      </c>
      <c r="G125" t="n">
        <v>73767</v>
      </c>
      <c r="H125" t="n">
        <v>62430</v>
      </c>
      <c r="I125" t="n">
        <v>38006</v>
      </c>
      <c r="J125" t="n">
        <v>1646692.100000002</v>
      </c>
      <c r="K125" t="n">
        <v>74351</v>
      </c>
      <c r="L125" t="n">
        <v>242304</v>
      </c>
      <c r="M125" t="n">
        <v>242185</v>
      </c>
      <c r="N125" t="n">
        <v>158718</v>
      </c>
      <c r="O125" t="n">
        <v>28982</v>
      </c>
      <c r="P125" t="n">
        <v>812</v>
      </c>
    </row>
    <row r="126">
      <c r="A126" t="inlineStr">
        <is>
          <t>AA</t>
        </is>
      </c>
      <c r="B126" t="n">
        <v>2018</v>
      </c>
      <c r="C126" t="n">
        <v>5</v>
      </c>
      <c r="D126" t="n">
        <v>77957</v>
      </c>
      <c r="E126" t="n">
        <v>966</v>
      </c>
      <c r="F126" t="n">
        <v>240</v>
      </c>
      <c r="G126" t="n">
        <v>76751</v>
      </c>
      <c r="H126" t="n">
        <v>61279</v>
      </c>
      <c r="I126" t="n">
        <v>456674</v>
      </c>
      <c r="J126" t="n">
        <v>1628362.200000013</v>
      </c>
      <c r="K126" t="n">
        <v>77876</v>
      </c>
      <c r="L126" t="n">
        <v>410229</v>
      </c>
      <c r="M126" t="n">
        <v>323080</v>
      </c>
      <c r="N126" t="n">
        <v>247064</v>
      </c>
      <c r="O126" t="n">
        <v>57843</v>
      </c>
      <c r="P126" t="n">
        <v>773</v>
      </c>
    </row>
    <row r="127">
      <c r="A127" t="inlineStr">
        <is>
          <t>AA</t>
        </is>
      </c>
      <c r="B127" t="n">
        <v>2018</v>
      </c>
      <c r="C127" t="n">
        <v>6</v>
      </c>
      <c r="D127" t="n">
        <v>78363</v>
      </c>
      <c r="E127" t="n">
        <v>1397</v>
      </c>
      <c r="F127" t="n">
        <v>254</v>
      </c>
      <c r="G127" t="n">
        <v>76712</v>
      </c>
      <c r="H127" t="n">
        <v>57787</v>
      </c>
      <c r="I127" t="n">
        <v>751692</v>
      </c>
      <c r="J127" t="n">
        <v>1557671.699999992</v>
      </c>
      <c r="K127" t="n">
        <v>78277</v>
      </c>
      <c r="L127" t="n">
        <v>499293</v>
      </c>
      <c r="M127" t="n">
        <v>381238</v>
      </c>
      <c r="N127" t="n">
        <v>249569</v>
      </c>
      <c r="O127" t="n">
        <v>85504</v>
      </c>
      <c r="P127" t="n">
        <v>1137</v>
      </c>
    </row>
    <row r="128">
      <c r="A128" t="inlineStr">
        <is>
          <t>AA</t>
        </is>
      </c>
      <c r="B128" t="n">
        <v>2018</v>
      </c>
      <c r="C128" t="n">
        <v>7</v>
      </c>
      <c r="D128" t="n">
        <v>80736</v>
      </c>
      <c r="E128" t="n">
        <v>1873</v>
      </c>
      <c r="F128" t="n">
        <v>265</v>
      </c>
      <c r="G128" t="n">
        <v>78598</v>
      </c>
      <c r="H128" t="n">
        <v>56550</v>
      </c>
      <c r="I128" t="n">
        <v>1022704</v>
      </c>
      <c r="J128" t="n">
        <v>1618384.100000005</v>
      </c>
      <c r="K128" t="n">
        <v>80722</v>
      </c>
      <c r="L128" t="n">
        <v>597944</v>
      </c>
      <c r="M128" t="n">
        <v>446046</v>
      </c>
      <c r="N128" t="n">
        <v>332175</v>
      </c>
      <c r="O128" t="n">
        <v>104148</v>
      </c>
      <c r="P128" t="n">
        <v>2277</v>
      </c>
    </row>
    <row r="129">
      <c r="A129" t="inlineStr">
        <is>
          <t>AA</t>
        </is>
      </c>
      <c r="B129" t="n">
        <v>2018</v>
      </c>
      <c r="C129" t="n">
        <v>8</v>
      </c>
      <c r="D129" t="n">
        <v>80406</v>
      </c>
      <c r="E129" t="n">
        <v>1417</v>
      </c>
      <c r="F129" t="n">
        <v>297</v>
      </c>
      <c r="G129" t="n">
        <v>78692</v>
      </c>
      <c r="H129" t="n">
        <v>58316</v>
      </c>
      <c r="I129" t="n">
        <v>883355</v>
      </c>
      <c r="J129" t="n">
        <v>1603225.399999998</v>
      </c>
      <c r="K129" t="n">
        <v>80353</v>
      </c>
      <c r="L129" t="n">
        <v>511197</v>
      </c>
      <c r="M129" t="n">
        <v>416681</v>
      </c>
      <c r="N129" t="n">
        <v>346709</v>
      </c>
      <c r="O129" t="n">
        <v>87430</v>
      </c>
      <c r="P129" t="n">
        <v>1393</v>
      </c>
    </row>
    <row r="130">
      <c r="A130" t="inlineStr">
        <is>
          <t>AA</t>
        </is>
      </c>
      <c r="B130" t="n">
        <v>2018</v>
      </c>
      <c r="C130" t="n">
        <v>9</v>
      </c>
      <c r="D130" t="n">
        <v>75129</v>
      </c>
      <c r="E130" t="n">
        <v>1442</v>
      </c>
      <c r="F130" t="n">
        <v>235</v>
      </c>
      <c r="G130" t="n">
        <v>73452</v>
      </c>
      <c r="H130" t="n">
        <v>58834</v>
      </c>
      <c r="I130" t="n">
        <v>429192</v>
      </c>
      <c r="J130" t="n">
        <v>1455952.400000008</v>
      </c>
      <c r="K130" t="n">
        <v>75071</v>
      </c>
      <c r="L130" t="n">
        <v>328853</v>
      </c>
      <c r="M130" t="n">
        <v>309229</v>
      </c>
      <c r="N130" t="n">
        <v>253623</v>
      </c>
      <c r="O130" t="n">
        <v>63471</v>
      </c>
      <c r="P130" t="n">
        <v>8805</v>
      </c>
    </row>
    <row r="131">
      <c r="A131" t="inlineStr">
        <is>
          <t>AA</t>
        </is>
      </c>
      <c r="B131" t="n">
        <v>2018</v>
      </c>
      <c r="C131" t="n">
        <v>10</v>
      </c>
      <c r="D131" t="n">
        <v>78963</v>
      </c>
      <c r="E131" t="n">
        <v>676</v>
      </c>
      <c r="F131" t="n">
        <v>195</v>
      </c>
      <c r="G131" t="n">
        <v>78092</v>
      </c>
      <c r="H131" t="n">
        <v>62258</v>
      </c>
      <c r="I131" t="n">
        <v>500094</v>
      </c>
      <c r="J131" t="n">
        <v>1530454.900000005</v>
      </c>
      <c r="K131" t="n">
        <v>78953</v>
      </c>
      <c r="L131" t="n">
        <v>392378</v>
      </c>
      <c r="M131" t="n">
        <v>323298</v>
      </c>
      <c r="N131" t="n">
        <v>225072</v>
      </c>
      <c r="O131" t="n">
        <v>52750</v>
      </c>
      <c r="P131" t="n">
        <v>835</v>
      </c>
    </row>
    <row r="132">
      <c r="A132" t="inlineStr">
        <is>
          <t>AA</t>
        </is>
      </c>
      <c r="B132" t="n">
        <v>2018</v>
      </c>
      <c r="C132" t="n">
        <v>11</v>
      </c>
      <c r="D132" t="n">
        <v>74564</v>
      </c>
      <c r="E132" t="n">
        <v>510</v>
      </c>
      <c r="F132" t="n">
        <v>119</v>
      </c>
      <c r="G132" t="n">
        <v>73935</v>
      </c>
      <c r="H132" t="n">
        <v>60356</v>
      </c>
      <c r="I132" t="n">
        <v>364046</v>
      </c>
      <c r="J132" t="n">
        <v>1535646.3</v>
      </c>
      <c r="K132" t="n">
        <v>74233</v>
      </c>
      <c r="L132" t="n">
        <v>286119</v>
      </c>
      <c r="M132" t="n">
        <v>297767</v>
      </c>
      <c r="N132" t="n">
        <v>200162</v>
      </c>
      <c r="O132" t="n">
        <v>36307</v>
      </c>
      <c r="P132" t="n">
        <v>1216</v>
      </c>
    </row>
    <row r="133">
      <c r="A133" t="inlineStr">
        <is>
          <t>AA</t>
        </is>
      </c>
      <c r="B133" t="n">
        <v>2018</v>
      </c>
      <c r="C133" t="n">
        <v>12</v>
      </c>
      <c r="D133" t="n">
        <v>76121</v>
      </c>
      <c r="E133" t="n">
        <v>1386</v>
      </c>
      <c r="F133" t="n">
        <v>184</v>
      </c>
      <c r="G133" t="n">
        <v>74551</v>
      </c>
      <c r="H133" t="n">
        <v>60596</v>
      </c>
      <c r="I133" t="n">
        <v>290414</v>
      </c>
      <c r="J133" t="n">
        <v>1527141.99999998</v>
      </c>
      <c r="K133" t="n">
        <v>75966</v>
      </c>
      <c r="L133" t="n">
        <v>282640</v>
      </c>
      <c r="M133" t="n">
        <v>274767</v>
      </c>
      <c r="N133" t="n">
        <v>189665</v>
      </c>
      <c r="O133" t="n">
        <v>41538</v>
      </c>
      <c r="P133" t="n">
        <v>1788</v>
      </c>
    </row>
    <row r="134">
      <c r="A134" t="inlineStr">
        <is>
          <t>AA</t>
        </is>
      </c>
      <c r="B134" t="n">
        <v>2019</v>
      </c>
      <c r="C134" t="n">
        <v>1</v>
      </c>
      <c r="D134" t="n">
        <v>77017</v>
      </c>
      <c r="E134" t="n">
        <v>1511</v>
      </c>
      <c r="F134" t="n">
        <v>152</v>
      </c>
      <c r="G134" t="n">
        <v>75354</v>
      </c>
      <c r="H134" t="n">
        <v>61613</v>
      </c>
      <c r="I134" t="n">
        <v>247140</v>
      </c>
      <c r="J134" t="n">
        <v>1607195.699999996</v>
      </c>
      <c r="K134" t="n">
        <v>76854</v>
      </c>
      <c r="L134" t="n">
        <v>274148</v>
      </c>
      <c r="M134" t="n">
        <v>270663</v>
      </c>
      <c r="N134" t="n">
        <v>216248</v>
      </c>
      <c r="O134" t="n">
        <v>42914</v>
      </c>
      <c r="P134" t="n">
        <v>1603</v>
      </c>
    </row>
    <row r="135">
      <c r="A135" t="inlineStr">
        <is>
          <t>AA</t>
        </is>
      </c>
      <c r="B135" t="n">
        <v>2019</v>
      </c>
      <c r="C135" t="n">
        <v>2</v>
      </c>
      <c r="D135" t="n">
        <v>71059</v>
      </c>
      <c r="E135" t="n">
        <v>860</v>
      </c>
      <c r="F135" t="n">
        <v>167</v>
      </c>
      <c r="G135" t="n">
        <v>70032</v>
      </c>
      <c r="H135" t="n">
        <v>53829</v>
      </c>
      <c r="I135" t="n">
        <v>502450</v>
      </c>
      <c r="J135" t="n">
        <v>1507689.099999998</v>
      </c>
      <c r="K135" t="n">
        <v>70979</v>
      </c>
      <c r="L135" t="n">
        <v>366252</v>
      </c>
      <c r="M135" t="n">
        <v>303360</v>
      </c>
      <c r="N135" t="n">
        <v>250326</v>
      </c>
      <c r="O135" t="n">
        <v>38317</v>
      </c>
      <c r="P135" t="n">
        <v>1341</v>
      </c>
    </row>
    <row r="136">
      <c r="A136" t="inlineStr">
        <is>
          <t>AA</t>
        </is>
      </c>
      <c r="B136" t="n">
        <v>2019</v>
      </c>
      <c r="C136" t="n">
        <v>3</v>
      </c>
      <c r="D136" t="n">
        <v>80027</v>
      </c>
      <c r="E136" t="n">
        <v>1719</v>
      </c>
      <c r="F136" t="n">
        <v>86</v>
      </c>
      <c r="G136" t="n">
        <v>78222</v>
      </c>
      <c r="H136" t="n">
        <v>62642</v>
      </c>
      <c r="I136" t="n">
        <v>475428</v>
      </c>
      <c r="J136" t="n">
        <v>1673096.60000001</v>
      </c>
      <c r="K136" t="n">
        <v>79859</v>
      </c>
      <c r="L136" t="n">
        <v>436579</v>
      </c>
      <c r="M136" t="n">
        <v>357541</v>
      </c>
      <c r="N136" t="n">
        <v>173228</v>
      </c>
      <c r="O136" t="n">
        <v>36076</v>
      </c>
      <c r="P136" t="n">
        <v>1117</v>
      </c>
    </row>
    <row r="137">
      <c r="A137" t="inlineStr">
        <is>
          <t>AA</t>
        </is>
      </c>
      <c r="B137" t="n">
        <v>2019</v>
      </c>
      <c r="C137" t="n">
        <v>4</v>
      </c>
      <c r="D137" t="n">
        <v>76765</v>
      </c>
      <c r="E137" t="n">
        <v>2634</v>
      </c>
      <c r="F137" t="n">
        <v>213</v>
      </c>
      <c r="G137" t="n">
        <v>73918</v>
      </c>
      <c r="H137" t="n">
        <v>58021</v>
      </c>
      <c r="I137" t="n">
        <v>588140</v>
      </c>
      <c r="J137" t="n">
        <v>1586995.099999998</v>
      </c>
      <c r="K137" t="n">
        <v>76714</v>
      </c>
      <c r="L137" t="n">
        <v>428728</v>
      </c>
      <c r="M137" t="n">
        <v>373600</v>
      </c>
      <c r="N137" t="n">
        <v>238300</v>
      </c>
      <c r="O137" t="n">
        <v>58039</v>
      </c>
      <c r="P137" t="n">
        <v>1351</v>
      </c>
    </row>
    <row r="138">
      <c r="A138" t="inlineStr">
        <is>
          <t>AA</t>
        </is>
      </c>
      <c r="B138" t="n">
        <v>2019</v>
      </c>
      <c r="C138" t="n">
        <v>5</v>
      </c>
      <c r="D138" t="n">
        <v>81666</v>
      </c>
      <c r="E138" t="n">
        <v>2772</v>
      </c>
      <c r="F138" t="n">
        <v>246</v>
      </c>
      <c r="G138" t="n">
        <v>78648</v>
      </c>
      <c r="H138" t="n">
        <v>57530</v>
      </c>
      <c r="I138" t="n">
        <v>1106529</v>
      </c>
      <c r="J138" t="n">
        <v>1566433.800000022</v>
      </c>
      <c r="K138" t="n">
        <v>81482</v>
      </c>
      <c r="L138" t="n">
        <v>643959</v>
      </c>
      <c r="M138" t="n">
        <v>455936</v>
      </c>
      <c r="N138" t="n">
        <v>339010</v>
      </c>
      <c r="O138" t="n">
        <v>110260</v>
      </c>
      <c r="P138" t="n">
        <v>1079</v>
      </c>
    </row>
    <row r="139">
      <c r="A139" t="inlineStr">
        <is>
          <t>AA</t>
        </is>
      </c>
      <c r="B139" t="n">
        <v>2019</v>
      </c>
      <c r="C139" t="n">
        <v>6</v>
      </c>
      <c r="D139" t="n">
        <v>80090</v>
      </c>
      <c r="E139" t="n">
        <v>3671</v>
      </c>
      <c r="F139" t="n">
        <v>351</v>
      </c>
      <c r="G139" t="n">
        <v>76068</v>
      </c>
      <c r="H139" t="n">
        <v>53703</v>
      </c>
      <c r="I139" t="n">
        <v>1163151</v>
      </c>
      <c r="J139" t="n">
        <v>1571954.39999999</v>
      </c>
      <c r="K139" t="n">
        <v>80012</v>
      </c>
      <c r="L139" t="n">
        <v>646665</v>
      </c>
      <c r="M139" t="n">
        <v>512086</v>
      </c>
      <c r="N139" t="n">
        <v>330886</v>
      </c>
      <c r="O139" t="n">
        <v>84518</v>
      </c>
      <c r="P139" t="n">
        <v>3305</v>
      </c>
    </row>
    <row r="140">
      <c r="A140" t="inlineStr">
        <is>
          <t>AA</t>
        </is>
      </c>
      <c r="B140" t="n">
        <v>2019</v>
      </c>
      <c r="C140" t="n">
        <v>7</v>
      </c>
      <c r="D140" t="n">
        <v>81801</v>
      </c>
      <c r="E140" t="n">
        <v>2554</v>
      </c>
      <c r="F140" t="n">
        <v>353</v>
      </c>
      <c r="G140" t="n">
        <v>78894</v>
      </c>
      <c r="H140" t="n">
        <v>60317</v>
      </c>
      <c r="I140" t="n">
        <v>794492</v>
      </c>
      <c r="J140" t="n">
        <v>1648030.79999999</v>
      </c>
      <c r="K140" t="n">
        <v>81762</v>
      </c>
      <c r="L140" t="n">
        <v>562320</v>
      </c>
      <c r="M140" t="n">
        <v>449424</v>
      </c>
      <c r="N140" t="n">
        <v>272900</v>
      </c>
      <c r="O140" t="n">
        <v>90248</v>
      </c>
      <c r="P140" t="n">
        <v>1753</v>
      </c>
    </row>
    <row r="141">
      <c r="A141" t="inlineStr">
        <is>
          <t>AA</t>
        </is>
      </c>
      <c r="B141" t="n">
        <v>2019</v>
      </c>
      <c r="C141" t="n">
        <v>8</v>
      </c>
      <c r="D141" t="n">
        <v>82689</v>
      </c>
      <c r="E141" t="n">
        <v>1869</v>
      </c>
      <c r="F141" t="n">
        <v>263</v>
      </c>
      <c r="G141" t="n">
        <v>80557</v>
      </c>
      <c r="H141" t="n">
        <v>61657</v>
      </c>
      <c r="I141" t="n">
        <v>745095</v>
      </c>
      <c r="J141" t="n">
        <v>1676583.699999999</v>
      </c>
      <c r="K141" t="n">
        <v>82614</v>
      </c>
      <c r="L141" t="n">
        <v>530155</v>
      </c>
      <c r="M141" t="n">
        <v>417206</v>
      </c>
      <c r="N141" t="n">
        <v>309858</v>
      </c>
      <c r="O141" t="n">
        <v>80021</v>
      </c>
      <c r="P141" t="n">
        <v>3166</v>
      </c>
    </row>
    <row r="142">
      <c r="A142" t="inlineStr">
        <is>
          <t>AA</t>
        </is>
      </c>
      <c r="B142" t="n">
        <v>2019</v>
      </c>
      <c r="C142" t="n">
        <v>9</v>
      </c>
      <c r="D142" t="n">
        <v>77663</v>
      </c>
      <c r="E142" t="n">
        <v>1130</v>
      </c>
      <c r="F142" t="n">
        <v>110</v>
      </c>
      <c r="G142" t="n">
        <v>76423</v>
      </c>
      <c r="H142" t="n">
        <v>64400</v>
      </c>
      <c r="I142" t="n">
        <v>120152</v>
      </c>
      <c r="J142" t="n">
        <v>1523403.300000024</v>
      </c>
      <c r="K142" t="n">
        <v>77553</v>
      </c>
      <c r="L142" t="n">
        <v>305000</v>
      </c>
      <c r="M142" t="n">
        <v>280990</v>
      </c>
      <c r="N142" t="n">
        <v>196615</v>
      </c>
      <c r="O142" t="n">
        <v>19779</v>
      </c>
      <c r="P142" t="n">
        <v>1186</v>
      </c>
    </row>
    <row r="143">
      <c r="A143" t="inlineStr">
        <is>
          <t>AA</t>
        </is>
      </c>
      <c r="B143" t="n">
        <v>2019</v>
      </c>
      <c r="C143" t="n">
        <v>10</v>
      </c>
      <c r="D143" t="n">
        <v>81028</v>
      </c>
      <c r="E143" t="n">
        <v>867</v>
      </c>
      <c r="F143" t="n">
        <v>204</v>
      </c>
      <c r="G143" t="n">
        <v>79957</v>
      </c>
      <c r="H143" t="n">
        <v>65249</v>
      </c>
      <c r="I143" t="n">
        <v>338014</v>
      </c>
      <c r="J143" t="n">
        <v>1616021.100000003</v>
      </c>
      <c r="K143" t="n">
        <v>81005</v>
      </c>
      <c r="L143" t="n">
        <v>365324</v>
      </c>
      <c r="M143" t="n">
        <v>323997</v>
      </c>
      <c r="N143" t="n">
        <v>218240</v>
      </c>
      <c r="O143" t="n">
        <v>34308</v>
      </c>
      <c r="P143" t="n">
        <v>965</v>
      </c>
    </row>
    <row r="144">
      <c r="A144" t="inlineStr">
        <is>
          <t>AA</t>
        </is>
      </c>
      <c r="B144" t="n">
        <v>2019</v>
      </c>
      <c r="C144" t="n">
        <v>11</v>
      </c>
      <c r="D144" t="n">
        <v>77566</v>
      </c>
      <c r="E144" t="n">
        <v>387</v>
      </c>
      <c r="F144" t="n">
        <v>104</v>
      </c>
      <c r="G144" t="n">
        <v>77075</v>
      </c>
      <c r="H144" t="n">
        <v>65707</v>
      </c>
      <c r="I144" t="n">
        <v>51503</v>
      </c>
      <c r="J144" t="n">
        <v>1694537.800000016</v>
      </c>
      <c r="K144" t="n">
        <v>77114</v>
      </c>
      <c r="L144" t="n">
        <v>283323</v>
      </c>
      <c r="M144" t="n">
        <v>297484</v>
      </c>
      <c r="N144" t="n">
        <v>129217</v>
      </c>
      <c r="O144" t="n">
        <v>18176</v>
      </c>
      <c r="P144" t="n">
        <v>1070</v>
      </c>
    </row>
    <row r="145">
      <c r="A145" t="inlineStr">
        <is>
          <t>AA</t>
        </is>
      </c>
      <c r="B145" t="n">
        <v>2019</v>
      </c>
      <c r="C145" t="n">
        <v>12</v>
      </c>
      <c r="D145" t="n">
        <v>79405</v>
      </c>
      <c r="E145" t="n">
        <v>177</v>
      </c>
      <c r="F145" t="n">
        <v>134</v>
      </c>
      <c r="G145" t="n">
        <v>79094</v>
      </c>
      <c r="H145" t="n">
        <v>64477</v>
      </c>
      <c r="I145" t="n">
        <v>305632</v>
      </c>
      <c r="J145" t="n">
        <v>1675211.499999997</v>
      </c>
      <c r="K145" t="n">
        <v>78766</v>
      </c>
      <c r="L145" t="n">
        <v>357265</v>
      </c>
      <c r="M145" t="n">
        <v>321322</v>
      </c>
      <c r="N145" t="n">
        <v>203348</v>
      </c>
      <c r="O145" t="n">
        <v>23198</v>
      </c>
      <c r="P145" t="n">
        <v>1361</v>
      </c>
    </row>
    <row r="146">
      <c r="A146" t="inlineStr">
        <is>
          <t>AA</t>
        </is>
      </c>
      <c r="B146" t="n">
        <v>2020</v>
      </c>
      <c r="C146" t="n">
        <v>1</v>
      </c>
      <c r="D146" t="n">
        <v>76276</v>
      </c>
      <c r="E146" t="n">
        <v>685</v>
      </c>
      <c r="F146" t="n">
        <v>119</v>
      </c>
      <c r="G146" t="n">
        <v>75472</v>
      </c>
      <c r="H146" t="n">
        <v>64124</v>
      </c>
      <c r="I146" t="n">
        <v>20610</v>
      </c>
      <c r="J146" t="n">
        <v>1700486.699999984</v>
      </c>
      <c r="K146" t="n">
        <v>76113</v>
      </c>
      <c r="L146" t="n">
        <v>274339</v>
      </c>
      <c r="M146" t="n">
        <v>307687</v>
      </c>
      <c r="N146" t="n">
        <v>133656</v>
      </c>
      <c r="O146" t="n">
        <v>29139</v>
      </c>
      <c r="P146" t="n">
        <v>1818</v>
      </c>
    </row>
    <row r="147">
      <c r="A147" t="inlineStr">
        <is>
          <t>AA</t>
        </is>
      </c>
      <c r="B147" t="n">
        <v>2020</v>
      </c>
      <c r="C147" t="n">
        <v>2</v>
      </c>
      <c r="D147" t="n">
        <v>72402</v>
      </c>
      <c r="E147" t="n">
        <v>725</v>
      </c>
      <c r="F147" t="n">
        <v>100</v>
      </c>
      <c r="G147" t="n">
        <v>71577</v>
      </c>
      <c r="H147" t="n">
        <v>60230</v>
      </c>
      <c r="I147" t="n">
        <v>84185</v>
      </c>
      <c r="J147" t="n">
        <v>1630662.50000002</v>
      </c>
      <c r="K147" t="n">
        <v>72261</v>
      </c>
      <c r="L147" t="n">
        <v>289558</v>
      </c>
      <c r="M147" t="n">
        <v>314045</v>
      </c>
      <c r="N147" t="n">
        <v>160952</v>
      </c>
      <c r="O147" t="n">
        <v>24147</v>
      </c>
      <c r="P147" t="n">
        <v>1177</v>
      </c>
    </row>
    <row r="148">
      <c r="A148" t="inlineStr">
        <is>
          <t>AA</t>
        </is>
      </c>
      <c r="B148" t="n">
        <v>2020</v>
      </c>
      <c r="C148" t="n">
        <v>3</v>
      </c>
      <c r="D148" t="n">
        <v>80330</v>
      </c>
      <c r="E148" t="n">
        <v>15282</v>
      </c>
      <c r="F148" t="n">
        <v>95</v>
      </c>
      <c r="G148" t="n">
        <v>64953</v>
      </c>
      <c r="H148" t="n">
        <v>57193</v>
      </c>
      <c r="I148" t="n">
        <v>-280726</v>
      </c>
      <c r="J148" t="n">
        <v>1699420.700000001</v>
      </c>
      <c r="K148" t="n">
        <v>80035</v>
      </c>
      <c r="L148" t="n">
        <v>158299</v>
      </c>
      <c r="M148" t="n">
        <v>205294</v>
      </c>
      <c r="N148" t="n">
        <v>105153</v>
      </c>
      <c r="O148" t="n">
        <v>10841</v>
      </c>
      <c r="P148" t="n">
        <v>562</v>
      </c>
    </row>
    <row r="149">
      <c r="A149" t="inlineStr">
        <is>
          <t>AA</t>
        </is>
      </c>
      <c r="B149" t="n">
        <v>2020</v>
      </c>
      <c r="C149" t="n">
        <v>4</v>
      </c>
      <c r="D149" t="n">
        <v>42362</v>
      </c>
      <c r="E149" t="n">
        <v>16574</v>
      </c>
      <c r="F149" t="n">
        <v>25</v>
      </c>
      <c r="G149" t="n">
        <v>25763</v>
      </c>
      <c r="H149" t="n">
        <v>24276</v>
      </c>
      <c r="I149" t="n">
        <v>-402684</v>
      </c>
      <c r="J149" t="n">
        <v>871372.6999999993</v>
      </c>
      <c r="K149" t="n">
        <v>42291</v>
      </c>
      <c r="L149" t="n">
        <v>17882</v>
      </c>
      <c r="M149" t="n">
        <v>64660</v>
      </c>
      <c r="N149" t="n">
        <v>10306</v>
      </c>
      <c r="O149" t="n">
        <v>3124</v>
      </c>
      <c r="P149" t="n">
        <v>215</v>
      </c>
    </row>
    <row r="150">
      <c r="A150" t="inlineStr">
        <is>
          <t>AA</t>
        </is>
      </c>
      <c r="B150" t="n">
        <v>2020</v>
      </c>
      <c r="C150" t="n">
        <v>5</v>
      </c>
      <c r="D150" t="n">
        <v>21904</v>
      </c>
      <c r="E150" t="n">
        <v>21</v>
      </c>
      <c r="F150" t="n">
        <v>30</v>
      </c>
      <c r="G150" t="n">
        <v>21853</v>
      </c>
      <c r="H150" t="n">
        <v>20866</v>
      </c>
      <c r="I150" t="n">
        <v>-328906</v>
      </c>
      <c r="J150" t="n">
        <v>438138.6999999993</v>
      </c>
      <c r="K150" t="n">
        <v>21879</v>
      </c>
      <c r="L150" t="n">
        <v>15194</v>
      </c>
      <c r="M150" t="n">
        <v>34303</v>
      </c>
      <c r="N150" t="n">
        <v>6497</v>
      </c>
      <c r="O150" t="n">
        <v>3881</v>
      </c>
      <c r="P150" t="n">
        <v>1022</v>
      </c>
    </row>
    <row r="151">
      <c r="A151" t="inlineStr">
        <is>
          <t>AA</t>
        </is>
      </c>
      <c r="B151" t="n">
        <v>2020</v>
      </c>
      <c r="C151" t="n">
        <v>6</v>
      </c>
      <c r="D151" t="n">
        <v>27054</v>
      </c>
      <c r="E151" t="n">
        <v>8</v>
      </c>
      <c r="F151" t="n">
        <v>56</v>
      </c>
      <c r="G151" t="n">
        <v>26990</v>
      </c>
      <c r="H151" t="n">
        <v>25203</v>
      </c>
      <c r="I151" t="n">
        <v>-230953</v>
      </c>
      <c r="J151" t="n">
        <v>443154.8999999965</v>
      </c>
      <c r="K151" t="n">
        <v>27040</v>
      </c>
      <c r="L151" t="n">
        <v>23056</v>
      </c>
      <c r="M151" t="n">
        <v>60249</v>
      </c>
      <c r="N151" t="n">
        <v>16743</v>
      </c>
      <c r="O151" t="n">
        <v>10068</v>
      </c>
      <c r="P151" t="n">
        <v>271</v>
      </c>
    </row>
    <row r="152">
      <c r="A152" t="inlineStr">
        <is>
          <t>AA</t>
        </is>
      </c>
      <c r="B152" t="n">
        <v>2020</v>
      </c>
      <c r="C152" t="n">
        <v>7</v>
      </c>
      <c r="D152" t="n">
        <v>46161</v>
      </c>
      <c r="E152" t="n">
        <v>307</v>
      </c>
      <c r="F152" t="n">
        <v>137</v>
      </c>
      <c r="G152" t="n">
        <v>45717</v>
      </c>
      <c r="H152" t="n">
        <v>41312</v>
      </c>
      <c r="I152" t="n">
        <v>-198736</v>
      </c>
      <c r="J152" t="n">
        <v>722792.5999999997</v>
      </c>
      <c r="K152" t="n">
        <v>46146</v>
      </c>
      <c r="L152" t="n">
        <v>74222</v>
      </c>
      <c r="M152" t="n">
        <v>119694</v>
      </c>
      <c r="N152" t="n">
        <v>57441</v>
      </c>
      <c r="O152" t="n">
        <v>29032</v>
      </c>
      <c r="P152" t="n">
        <v>768</v>
      </c>
    </row>
    <row r="153">
      <c r="A153" t="inlineStr">
        <is>
          <t>AA</t>
        </is>
      </c>
      <c r="B153" t="n">
        <v>2020</v>
      </c>
      <c r="C153" t="n">
        <v>8</v>
      </c>
      <c r="D153" t="n">
        <v>46807</v>
      </c>
      <c r="E153" t="n">
        <v>198</v>
      </c>
      <c r="F153" t="n">
        <v>143</v>
      </c>
      <c r="G153" t="n">
        <v>46466</v>
      </c>
      <c r="H153" t="n">
        <v>42177</v>
      </c>
      <c r="I153" t="n">
        <v>-241652</v>
      </c>
      <c r="J153" t="n">
        <v>725631.3999999969</v>
      </c>
      <c r="K153" t="n">
        <v>46771</v>
      </c>
      <c r="L153" t="n">
        <v>51214</v>
      </c>
      <c r="M153" t="n">
        <v>102235</v>
      </c>
      <c r="N153" t="n">
        <v>60183</v>
      </c>
      <c r="O153" t="n">
        <v>25402</v>
      </c>
      <c r="P153" t="n">
        <v>1738</v>
      </c>
    </row>
    <row r="154">
      <c r="A154" t="inlineStr">
        <is>
          <t>AA</t>
        </is>
      </c>
      <c r="B154" t="n">
        <v>2020</v>
      </c>
      <c r="C154" t="n">
        <v>9</v>
      </c>
      <c r="D154" t="n">
        <v>38890</v>
      </c>
      <c r="E154" t="n">
        <v>169</v>
      </c>
      <c r="F154" t="n">
        <v>90</v>
      </c>
      <c r="G154" t="n">
        <v>38631</v>
      </c>
      <c r="H154" t="n">
        <v>35161</v>
      </c>
      <c r="I154" t="n">
        <v>-187925</v>
      </c>
      <c r="J154" t="n">
        <v>634840.299999997</v>
      </c>
      <c r="K154" t="n">
        <v>38831</v>
      </c>
      <c r="L154" t="n">
        <v>39117</v>
      </c>
      <c r="M154" t="n">
        <v>87461</v>
      </c>
      <c r="N154" t="n">
        <v>51790</v>
      </c>
      <c r="O154" t="n">
        <v>15455</v>
      </c>
      <c r="P154" t="n">
        <v>1945</v>
      </c>
    </row>
    <row r="155">
      <c r="A155" t="inlineStr">
        <is>
          <t>AA</t>
        </is>
      </c>
      <c r="B155" t="n">
        <v>2020</v>
      </c>
      <c r="C155" t="n">
        <v>10</v>
      </c>
      <c r="D155" t="n">
        <v>40644</v>
      </c>
      <c r="E155" t="n">
        <v>38</v>
      </c>
      <c r="F155" t="n">
        <v>42</v>
      </c>
      <c r="G155" t="n">
        <v>40564</v>
      </c>
      <c r="H155" t="n">
        <v>35748</v>
      </c>
      <c r="I155" t="n">
        <v>-73081</v>
      </c>
      <c r="J155" t="n">
        <v>706836.8999999955</v>
      </c>
      <c r="K155" t="n">
        <v>40597</v>
      </c>
      <c r="L155" t="n">
        <v>79832</v>
      </c>
      <c r="M155" t="n">
        <v>124503</v>
      </c>
      <c r="N155" t="n">
        <v>57472</v>
      </c>
      <c r="O155" t="n">
        <v>13139</v>
      </c>
      <c r="P155" t="n">
        <v>1634</v>
      </c>
    </row>
    <row r="156">
      <c r="A156" t="inlineStr">
        <is>
          <t>AA</t>
        </is>
      </c>
      <c r="B156" t="n">
        <v>2020</v>
      </c>
      <c r="C156" t="n">
        <v>11</v>
      </c>
      <c r="D156" t="n">
        <v>38480</v>
      </c>
      <c r="E156" t="n">
        <v>45</v>
      </c>
      <c r="F156" t="n">
        <v>43</v>
      </c>
      <c r="G156" t="n">
        <v>38392</v>
      </c>
      <c r="H156" t="n">
        <v>34864</v>
      </c>
      <c r="I156" t="n">
        <v>-253549</v>
      </c>
      <c r="J156" t="n">
        <v>838178.1000000008</v>
      </c>
      <c r="K156" t="n">
        <v>38249</v>
      </c>
      <c r="L156" t="n">
        <v>50157</v>
      </c>
      <c r="M156" t="n">
        <v>107406</v>
      </c>
      <c r="N156" t="n">
        <v>40189</v>
      </c>
      <c r="O156" t="n">
        <v>6151</v>
      </c>
      <c r="P156" t="n">
        <v>1251</v>
      </c>
    </row>
    <row r="157">
      <c r="A157" t="inlineStr">
        <is>
          <t>AA</t>
        </is>
      </c>
      <c r="B157" t="n">
        <v>2020</v>
      </c>
      <c r="C157" t="n">
        <v>12</v>
      </c>
      <c r="D157" t="n">
        <v>38496</v>
      </c>
      <c r="E157" t="n">
        <v>210</v>
      </c>
      <c r="F157" t="n">
        <v>55</v>
      </c>
      <c r="G157" t="n">
        <v>38231</v>
      </c>
      <c r="H157" t="n">
        <v>33904</v>
      </c>
      <c r="I157" t="n">
        <v>-142561</v>
      </c>
      <c r="J157" t="n">
        <v>821057.6999999858</v>
      </c>
      <c r="K157" t="n">
        <v>38368</v>
      </c>
      <c r="L157" t="n">
        <v>66564</v>
      </c>
      <c r="M157" t="n">
        <v>127147</v>
      </c>
      <c r="N157" t="n">
        <v>68509</v>
      </c>
      <c r="O157" t="n">
        <v>16071</v>
      </c>
      <c r="P157" t="n">
        <v>560</v>
      </c>
    </row>
    <row r="158">
      <c r="A158" t="inlineStr">
        <is>
          <t>AA</t>
        </is>
      </c>
      <c r="B158" t="n">
        <v>2021</v>
      </c>
      <c r="C158" t="n">
        <v>1</v>
      </c>
      <c r="D158" t="n">
        <v>38226</v>
      </c>
      <c r="E158" t="n">
        <v>258</v>
      </c>
      <c r="F158" t="n">
        <v>62</v>
      </c>
      <c r="G158" t="n">
        <v>37906</v>
      </c>
      <c r="H158" t="n">
        <v>33979</v>
      </c>
      <c r="I158" t="n">
        <v>-230350</v>
      </c>
      <c r="J158" t="n">
        <v>876137.1999999859</v>
      </c>
      <c r="K158" t="n">
        <v>38147</v>
      </c>
      <c r="L158" t="n">
        <v>63297</v>
      </c>
      <c r="M158" t="n">
        <v>115829</v>
      </c>
      <c r="N158" t="n">
        <v>78123</v>
      </c>
      <c r="O158" t="n">
        <v>24452</v>
      </c>
      <c r="P158" t="n">
        <v>1096</v>
      </c>
    </row>
    <row r="159">
      <c r="A159" t="inlineStr">
        <is>
          <t>AA</t>
        </is>
      </c>
      <c r="B159" t="n">
        <v>2021</v>
      </c>
      <c r="C159" t="n">
        <v>2</v>
      </c>
      <c r="D159" t="n">
        <v>34256</v>
      </c>
      <c r="E159" t="n">
        <v>2140</v>
      </c>
      <c r="F159" t="n">
        <v>68</v>
      </c>
      <c r="G159" t="n">
        <v>32048</v>
      </c>
      <c r="H159" t="n">
        <v>27644</v>
      </c>
      <c r="I159" t="n">
        <v>-66490</v>
      </c>
      <c r="J159" t="n">
        <v>811432.8999999979</v>
      </c>
      <c r="K159" t="n">
        <v>34178</v>
      </c>
      <c r="L159" t="n">
        <v>75683</v>
      </c>
      <c r="M159" t="n">
        <v>126419</v>
      </c>
      <c r="N159" t="n">
        <v>69169</v>
      </c>
      <c r="O159" t="n">
        <v>57584</v>
      </c>
      <c r="P159" t="n">
        <v>1273</v>
      </c>
    </row>
    <row r="160">
      <c r="A160" t="inlineStr">
        <is>
          <t>AA</t>
        </is>
      </c>
      <c r="B160" t="n">
        <v>2021</v>
      </c>
      <c r="C160" t="n">
        <v>3</v>
      </c>
      <c r="D160" t="n">
        <v>47648</v>
      </c>
      <c r="E160" t="n">
        <v>296</v>
      </c>
      <c r="F160" t="n">
        <v>95</v>
      </c>
      <c r="G160" t="n">
        <v>47257</v>
      </c>
      <c r="H160" t="n">
        <v>42600</v>
      </c>
      <c r="I160" t="n">
        <v>-289925</v>
      </c>
      <c r="J160" t="n">
        <v>1188742.999999997</v>
      </c>
      <c r="K160" t="n">
        <v>47350</v>
      </c>
      <c r="L160" t="n">
        <v>97473</v>
      </c>
      <c r="M160" t="n">
        <v>156763</v>
      </c>
      <c r="N160" t="n">
        <v>70630</v>
      </c>
      <c r="O160" t="n">
        <v>15362</v>
      </c>
      <c r="P160" t="n">
        <v>1739</v>
      </c>
    </row>
    <row r="161">
      <c r="A161" t="inlineStr">
        <is>
          <t>AA</t>
        </is>
      </c>
      <c r="B161" t="n">
        <v>2021</v>
      </c>
      <c r="C161" t="n">
        <v>4</v>
      </c>
      <c r="D161" t="n">
        <v>52305</v>
      </c>
      <c r="E161" t="n">
        <v>336</v>
      </c>
      <c r="F161" t="n">
        <v>75</v>
      </c>
      <c r="G161" t="n">
        <v>51894</v>
      </c>
      <c r="H161" t="n">
        <v>46125</v>
      </c>
      <c r="I161" t="n">
        <v>-259842</v>
      </c>
      <c r="J161" t="n">
        <v>1233021.099999988</v>
      </c>
      <c r="K161" t="n">
        <v>52237</v>
      </c>
      <c r="L161" t="n">
        <v>114486</v>
      </c>
      <c r="M161" t="n">
        <v>172380</v>
      </c>
      <c r="N161" t="n">
        <v>78397</v>
      </c>
      <c r="O161" t="n">
        <v>18915</v>
      </c>
      <c r="P161" t="n">
        <v>3825</v>
      </c>
    </row>
    <row r="162">
      <c r="A162" t="inlineStr">
        <is>
          <t>AA</t>
        </is>
      </c>
      <c r="B162" t="n">
        <v>2021</v>
      </c>
      <c r="C162" t="n">
        <v>5</v>
      </c>
      <c r="D162" t="n">
        <v>61032</v>
      </c>
      <c r="E162" t="n">
        <v>607</v>
      </c>
      <c r="F162" t="n">
        <v>263</v>
      </c>
      <c r="G162" t="n">
        <v>60162</v>
      </c>
      <c r="H162" t="n">
        <v>51253</v>
      </c>
      <c r="I162" t="n">
        <v>82802</v>
      </c>
      <c r="J162" t="n">
        <v>1318390.000000003</v>
      </c>
      <c r="K162" t="n">
        <v>60699</v>
      </c>
      <c r="L162" t="n">
        <v>241514</v>
      </c>
      <c r="M162" t="n">
        <v>281557</v>
      </c>
      <c r="N162" t="n">
        <v>134647</v>
      </c>
      <c r="O162" t="n">
        <v>60163</v>
      </c>
      <c r="P162" t="n">
        <v>2427</v>
      </c>
    </row>
    <row r="163">
      <c r="A163" t="inlineStr">
        <is>
          <t>AA</t>
        </is>
      </c>
      <c r="B163" t="n">
        <v>2021</v>
      </c>
      <c r="C163" t="n">
        <v>6</v>
      </c>
      <c r="D163" t="n">
        <v>70426</v>
      </c>
      <c r="E163" t="n">
        <v>2400</v>
      </c>
      <c r="F163" t="n">
        <v>262</v>
      </c>
      <c r="G163" t="n">
        <v>67764</v>
      </c>
      <c r="H163" t="n">
        <v>50173</v>
      </c>
      <c r="I163" t="n">
        <v>909724</v>
      </c>
      <c r="J163" t="n">
        <v>1434643.800000003</v>
      </c>
      <c r="K163" t="n">
        <v>70319</v>
      </c>
      <c r="L163" t="n">
        <v>550123</v>
      </c>
      <c r="M163" t="n">
        <v>526942</v>
      </c>
      <c r="N163" t="n">
        <v>207486</v>
      </c>
      <c r="O163" t="n">
        <v>92065</v>
      </c>
      <c r="P163" t="n">
        <v>4635</v>
      </c>
    </row>
    <row r="164">
      <c r="A164" t="inlineStr">
        <is>
          <t>AA</t>
        </is>
      </c>
      <c r="B164" t="n">
        <v>2021</v>
      </c>
      <c r="C164" t="n">
        <v>7</v>
      </c>
      <c r="D164" t="n">
        <v>72965</v>
      </c>
      <c r="E164" t="n">
        <v>1223</v>
      </c>
      <c r="F164" t="n">
        <v>360</v>
      </c>
      <c r="G164" t="n">
        <v>71382</v>
      </c>
      <c r="H164" t="n">
        <v>53447</v>
      </c>
      <c r="I164" t="n">
        <v>854985</v>
      </c>
      <c r="J164" t="n">
        <v>1483210.800000001</v>
      </c>
      <c r="K164" t="n">
        <v>72893</v>
      </c>
      <c r="L164" t="n">
        <v>581457</v>
      </c>
      <c r="M164" t="n">
        <v>517268</v>
      </c>
      <c r="N164" t="n">
        <v>187685</v>
      </c>
      <c r="O164" t="n">
        <v>85123</v>
      </c>
      <c r="P164" t="n">
        <v>4547</v>
      </c>
    </row>
    <row r="165">
      <c r="A165" t="inlineStr">
        <is>
          <t>AA</t>
        </is>
      </c>
      <c r="B165" t="n">
        <v>2021</v>
      </c>
      <c r="C165" t="n">
        <v>8</v>
      </c>
      <c r="D165" t="n">
        <v>73448</v>
      </c>
      <c r="E165" t="n">
        <v>3551</v>
      </c>
      <c r="F165" t="n">
        <v>390</v>
      </c>
      <c r="G165" t="n">
        <v>69507</v>
      </c>
      <c r="H165" t="n">
        <v>53157</v>
      </c>
      <c r="I165" t="n">
        <v>727255</v>
      </c>
      <c r="J165" t="n">
        <v>1479436.200000004</v>
      </c>
      <c r="K165" t="n">
        <v>73215</v>
      </c>
      <c r="L165" t="n">
        <v>482686</v>
      </c>
      <c r="M165" t="n">
        <v>514757</v>
      </c>
      <c r="N165" t="n">
        <v>191941</v>
      </c>
      <c r="O165" t="n">
        <v>104649</v>
      </c>
      <c r="P165" t="n">
        <v>3675</v>
      </c>
    </row>
    <row r="166">
      <c r="A166" t="inlineStr">
        <is>
          <t>AA</t>
        </is>
      </c>
      <c r="B166" t="n">
        <v>2021</v>
      </c>
      <c r="C166" t="n">
        <v>9</v>
      </c>
      <c r="D166" t="n">
        <v>67576</v>
      </c>
      <c r="E166" t="n">
        <v>759</v>
      </c>
      <c r="F166" t="n">
        <v>132</v>
      </c>
      <c r="G166" t="n">
        <v>66685</v>
      </c>
      <c r="H166" t="n">
        <v>57495</v>
      </c>
      <c r="I166" t="n">
        <v>-38136</v>
      </c>
      <c r="J166" t="n">
        <v>1359694.199999986</v>
      </c>
      <c r="K166" t="n">
        <v>67352</v>
      </c>
      <c r="L166" t="n">
        <v>250142</v>
      </c>
      <c r="M166" t="n">
        <v>284358</v>
      </c>
      <c r="N166" t="n">
        <v>98562</v>
      </c>
      <c r="O166" t="n">
        <v>28440</v>
      </c>
      <c r="P166" t="n">
        <v>2629</v>
      </c>
    </row>
    <row r="167">
      <c r="A167" t="inlineStr">
        <is>
          <t>AA</t>
        </is>
      </c>
      <c r="B167" t="n">
        <v>2021</v>
      </c>
      <c r="C167" t="n">
        <v>10</v>
      </c>
      <c r="D167" t="n">
        <v>73778</v>
      </c>
      <c r="E167" t="n">
        <v>3106</v>
      </c>
      <c r="F167" t="n">
        <v>147</v>
      </c>
      <c r="G167" t="n">
        <v>70525</v>
      </c>
      <c r="H167" t="n">
        <v>57226</v>
      </c>
      <c r="I167" t="n">
        <v>356552</v>
      </c>
      <c r="J167" t="n">
        <v>1530262.999999968</v>
      </c>
      <c r="K167" t="n">
        <v>73641</v>
      </c>
      <c r="L167" t="n">
        <v>382109</v>
      </c>
      <c r="M167" t="n">
        <v>432892</v>
      </c>
      <c r="N167" t="n">
        <v>135970</v>
      </c>
      <c r="O167" t="n">
        <v>24701</v>
      </c>
      <c r="P167" t="n">
        <v>3383</v>
      </c>
    </row>
    <row r="168">
      <c r="A168" t="inlineStr">
        <is>
          <t>AA</t>
        </is>
      </c>
      <c r="B168" t="n">
        <v>2021</v>
      </c>
      <c r="C168" t="n">
        <v>11</v>
      </c>
      <c r="D168" t="n">
        <v>72908</v>
      </c>
      <c r="E168" t="n">
        <v>1347</v>
      </c>
      <c r="F168" t="n">
        <v>106</v>
      </c>
      <c r="G168" t="n">
        <v>71455</v>
      </c>
      <c r="H168" t="n">
        <v>60286</v>
      </c>
      <c r="I168" t="n">
        <v>40115</v>
      </c>
      <c r="J168" t="n">
        <v>1615979.700000013</v>
      </c>
      <c r="K168" t="n">
        <v>72361</v>
      </c>
      <c r="L168" t="n">
        <v>304145</v>
      </c>
      <c r="M168" t="n">
        <v>355404</v>
      </c>
      <c r="N168" t="n">
        <v>65305</v>
      </c>
      <c r="O168" t="n">
        <v>8226</v>
      </c>
      <c r="P168" t="n">
        <v>3185</v>
      </c>
    </row>
    <row r="169">
      <c r="A169" t="inlineStr">
        <is>
          <t>AA</t>
        </is>
      </c>
      <c r="B169" t="n">
        <v>2021</v>
      </c>
      <c r="C169" t="n">
        <v>12</v>
      </c>
      <c r="D169" t="n">
        <v>71824</v>
      </c>
      <c r="E169" t="n">
        <v>455</v>
      </c>
      <c r="F169" t="n">
        <v>130</v>
      </c>
      <c r="G169" t="n">
        <v>71239</v>
      </c>
      <c r="H169" t="n">
        <v>59661</v>
      </c>
      <c r="I169" t="n">
        <v>113010</v>
      </c>
      <c r="J169" t="n">
        <v>1522649.400000006</v>
      </c>
      <c r="K169" t="n">
        <v>71457</v>
      </c>
      <c r="L169" t="n">
        <v>317044</v>
      </c>
      <c r="M169" t="n">
        <v>336696</v>
      </c>
      <c r="N169" t="n">
        <v>105294</v>
      </c>
      <c r="O169" t="n">
        <v>12282</v>
      </c>
      <c r="P169" t="n">
        <v>3577</v>
      </c>
    </row>
    <row r="170">
      <c r="A170" t="inlineStr">
        <is>
          <t>AA</t>
        </is>
      </c>
      <c r="B170" t="n">
        <v>2022</v>
      </c>
      <c r="C170" t="n">
        <v>1</v>
      </c>
      <c r="D170" t="n">
        <v>69400</v>
      </c>
      <c r="E170" t="n">
        <v>2939</v>
      </c>
      <c r="F170" t="n">
        <v>91</v>
      </c>
      <c r="G170" t="n">
        <v>66370</v>
      </c>
      <c r="H170" t="n">
        <v>56607</v>
      </c>
      <c r="I170" t="n">
        <v>-71403</v>
      </c>
      <c r="J170" t="n">
        <v>1560792.800000023</v>
      </c>
      <c r="K170" t="n">
        <v>69330</v>
      </c>
      <c r="L170" t="n">
        <v>245968</v>
      </c>
      <c r="M170" t="n">
        <v>341638</v>
      </c>
      <c r="N170" t="n">
        <v>99241</v>
      </c>
      <c r="O170" t="n">
        <v>28206</v>
      </c>
      <c r="P170" t="n">
        <v>1733</v>
      </c>
    </row>
    <row r="171">
      <c r="A171" t="inlineStr">
        <is>
          <t>AA</t>
        </is>
      </c>
      <c r="B171" t="n">
        <v>2022</v>
      </c>
      <c r="C171" t="n">
        <v>2</v>
      </c>
      <c r="D171" t="n">
        <v>64867</v>
      </c>
      <c r="E171" t="n">
        <v>5362</v>
      </c>
      <c r="F171" t="n">
        <v>102</v>
      </c>
      <c r="G171" t="n">
        <v>59403</v>
      </c>
      <c r="H171" t="n">
        <v>46654</v>
      </c>
      <c r="I171" t="n">
        <v>502390</v>
      </c>
      <c r="J171" t="n">
        <v>1154397.299999997</v>
      </c>
      <c r="K171" t="n">
        <v>64789</v>
      </c>
      <c r="L171" t="n">
        <v>310399</v>
      </c>
      <c r="M171" t="n">
        <v>392979</v>
      </c>
      <c r="N171" t="n">
        <v>161138</v>
      </c>
      <c r="O171" t="n">
        <v>60842</v>
      </c>
      <c r="P171" t="n">
        <v>2625</v>
      </c>
    </row>
    <row r="172">
      <c r="A172" t="inlineStr">
        <is>
          <t>AA</t>
        </is>
      </c>
      <c r="B172" t="n">
        <v>2022</v>
      </c>
      <c r="C172" t="n">
        <v>3</v>
      </c>
      <c r="D172" t="n">
        <v>71264</v>
      </c>
      <c r="E172" t="n">
        <v>770</v>
      </c>
      <c r="F172" t="n">
        <v>192</v>
      </c>
      <c r="G172" t="n">
        <v>70302</v>
      </c>
      <c r="H172" t="n">
        <v>57528</v>
      </c>
      <c r="I172" t="n">
        <v>318392</v>
      </c>
      <c r="J172" t="n">
        <v>1366884.900000008</v>
      </c>
      <c r="K172" t="n">
        <v>71076</v>
      </c>
      <c r="L172" t="n">
        <v>318260</v>
      </c>
      <c r="M172" t="n">
        <v>344517</v>
      </c>
      <c r="N172" t="n">
        <v>175142</v>
      </c>
      <c r="O172" t="n">
        <v>25581</v>
      </c>
      <c r="P172" t="n">
        <v>2533</v>
      </c>
    </row>
    <row r="173">
      <c r="A173" t="inlineStr">
        <is>
          <t>AA</t>
        </is>
      </c>
      <c r="B173" t="n">
        <v>2022</v>
      </c>
      <c r="C173" t="n">
        <v>4</v>
      </c>
      <c r="D173" t="n">
        <v>67177</v>
      </c>
      <c r="E173" t="n">
        <v>1350</v>
      </c>
      <c r="F173" t="n">
        <v>198</v>
      </c>
      <c r="G173" t="n">
        <v>65629</v>
      </c>
      <c r="H173" t="n">
        <v>52098</v>
      </c>
      <c r="I173" t="n">
        <v>510142</v>
      </c>
      <c r="J173" t="n">
        <v>1298405.699999996</v>
      </c>
      <c r="K173" t="n">
        <v>67125</v>
      </c>
      <c r="L173" t="n">
        <v>405587</v>
      </c>
      <c r="M173" t="n">
        <v>360191</v>
      </c>
      <c r="N173" t="n">
        <v>173427</v>
      </c>
      <c r="O173" t="n">
        <v>38200</v>
      </c>
      <c r="P173" t="n">
        <v>1938</v>
      </c>
    </row>
    <row r="174">
      <c r="A174" t="inlineStr">
        <is>
          <t>AA</t>
        </is>
      </c>
      <c r="B174" t="n">
        <v>2022</v>
      </c>
      <c r="C174" t="n">
        <v>5</v>
      </c>
      <c r="D174" t="n">
        <v>71652</v>
      </c>
      <c r="E174" t="n">
        <v>1154</v>
      </c>
      <c r="F174" t="n">
        <v>215</v>
      </c>
      <c r="G174" t="n">
        <v>70283</v>
      </c>
      <c r="H174" t="n">
        <v>54893</v>
      </c>
      <c r="I174" t="n">
        <v>634265</v>
      </c>
      <c r="J174" t="n">
        <v>1320871.899999991</v>
      </c>
      <c r="K174" t="n">
        <v>71530</v>
      </c>
      <c r="L174" t="n">
        <v>451018</v>
      </c>
      <c r="M174" t="n">
        <v>403334</v>
      </c>
      <c r="N174" t="n">
        <v>189886</v>
      </c>
      <c r="O174" t="n">
        <v>68856</v>
      </c>
      <c r="P174" t="n">
        <v>1212</v>
      </c>
    </row>
    <row r="175">
      <c r="A175" t="inlineStr">
        <is>
          <t>AA</t>
        </is>
      </c>
      <c r="B175" t="n">
        <v>2022</v>
      </c>
      <c r="C175" t="n">
        <v>6</v>
      </c>
      <c r="D175" t="n">
        <v>74979</v>
      </c>
      <c r="E175" t="n">
        <v>4713</v>
      </c>
      <c r="F175" t="n">
        <v>285</v>
      </c>
      <c r="G175" t="n">
        <v>69981</v>
      </c>
      <c r="H175" t="n">
        <v>48104</v>
      </c>
      <c r="I175" t="n">
        <v>1366656</v>
      </c>
      <c r="J175" t="n">
        <v>1247572.800000013</v>
      </c>
      <c r="K175" t="n">
        <v>74902</v>
      </c>
      <c r="L175" t="n">
        <v>717403</v>
      </c>
      <c r="M175" t="n">
        <v>651688</v>
      </c>
      <c r="N175" t="n">
        <v>235775</v>
      </c>
      <c r="O175" t="n">
        <v>102471</v>
      </c>
      <c r="P175" t="n">
        <v>2363</v>
      </c>
    </row>
    <row r="176">
      <c r="A176" t="inlineStr">
        <is>
          <t>AA</t>
        </is>
      </c>
      <c r="B176" t="n">
        <v>2022</v>
      </c>
      <c r="C176" t="n">
        <v>7</v>
      </c>
      <c r="D176" t="n">
        <v>76614</v>
      </c>
      <c r="E176" t="n">
        <v>2448</v>
      </c>
      <c r="F176" t="n">
        <v>263</v>
      </c>
      <c r="G176" t="n">
        <v>73903</v>
      </c>
      <c r="H176" t="n">
        <v>52093</v>
      </c>
      <c r="I176" t="n">
        <v>1273988</v>
      </c>
      <c r="J176" t="n">
        <v>1266222.000000014</v>
      </c>
      <c r="K176" t="n">
        <v>76562</v>
      </c>
      <c r="L176" t="n">
        <v>764782</v>
      </c>
      <c r="M176" t="n">
        <v>606730</v>
      </c>
      <c r="N176" t="n">
        <v>220919</v>
      </c>
      <c r="O176" t="n">
        <v>89805</v>
      </c>
      <c r="P176" t="n">
        <v>2909</v>
      </c>
    </row>
    <row r="177">
      <c r="A177" t="inlineStr">
        <is>
          <t>AA</t>
        </is>
      </c>
      <c r="B177" t="n">
        <v>2022</v>
      </c>
      <c r="C177" t="n">
        <v>8</v>
      </c>
      <c r="D177" t="n">
        <v>78327</v>
      </c>
      <c r="E177" t="n">
        <v>3302</v>
      </c>
      <c r="F177" t="n">
        <v>333</v>
      </c>
      <c r="G177" t="n">
        <v>74692</v>
      </c>
      <c r="H177" t="n">
        <v>55173</v>
      </c>
      <c r="I177" t="n">
        <v>1005428</v>
      </c>
      <c r="J177" t="n">
        <v>1293980.899999993</v>
      </c>
      <c r="K177" t="n">
        <v>78158</v>
      </c>
      <c r="L177" t="n">
        <v>585473</v>
      </c>
      <c r="M177" t="n">
        <v>534621</v>
      </c>
      <c r="N177" t="n">
        <v>235488</v>
      </c>
      <c r="O177" t="n">
        <v>108880</v>
      </c>
      <c r="P177" t="n">
        <v>3314</v>
      </c>
    </row>
    <row r="178">
      <c r="A178" t="inlineStr">
        <is>
          <t>AA</t>
        </is>
      </c>
      <c r="B178" t="n">
        <v>2022</v>
      </c>
      <c r="C178" t="n">
        <v>9</v>
      </c>
      <c r="D178" t="n">
        <v>72211</v>
      </c>
      <c r="E178" t="n">
        <v>1303</v>
      </c>
      <c r="F178" t="n">
        <v>163</v>
      </c>
      <c r="G178" t="n">
        <v>70745</v>
      </c>
      <c r="H178" t="n">
        <v>56923</v>
      </c>
      <c r="I178" t="n">
        <v>515413</v>
      </c>
      <c r="J178" t="n">
        <v>1234314.199999996</v>
      </c>
      <c r="K178" t="n">
        <v>72091</v>
      </c>
      <c r="L178" t="n">
        <v>438594</v>
      </c>
      <c r="M178" t="n">
        <v>426693</v>
      </c>
      <c r="N178" t="n">
        <v>141248</v>
      </c>
      <c r="O178" t="n">
        <v>46163</v>
      </c>
      <c r="P178" t="n">
        <v>1484</v>
      </c>
    </row>
    <row r="179">
      <c r="A179" t="inlineStr">
        <is>
          <t>AA</t>
        </is>
      </c>
      <c r="B179" t="n">
        <v>2022</v>
      </c>
      <c r="C179" t="n">
        <v>10</v>
      </c>
      <c r="D179" t="n">
        <v>77601</v>
      </c>
      <c r="E179" t="n">
        <v>578</v>
      </c>
      <c r="F179" t="n">
        <v>148</v>
      </c>
      <c r="G179" t="n">
        <v>76875</v>
      </c>
      <c r="H179" t="n">
        <v>63307</v>
      </c>
      <c r="I179" t="n">
        <v>503984</v>
      </c>
      <c r="J179" t="n">
        <v>1376163.200000001</v>
      </c>
      <c r="K179" t="n">
        <v>77454</v>
      </c>
      <c r="L179" t="n">
        <v>486899</v>
      </c>
      <c r="M179" t="n">
        <v>413362</v>
      </c>
      <c r="N179" t="n">
        <v>140577</v>
      </c>
      <c r="O179" t="n">
        <v>37965</v>
      </c>
      <c r="P179" t="n">
        <v>2084</v>
      </c>
    </row>
    <row r="180">
      <c r="A180" t="inlineStr">
        <is>
          <t>AA</t>
        </is>
      </c>
      <c r="B180" t="n">
        <v>2022</v>
      </c>
      <c r="C180" t="n">
        <v>11</v>
      </c>
      <c r="D180" t="n">
        <v>73904</v>
      </c>
      <c r="E180" t="n">
        <v>801</v>
      </c>
      <c r="F180" t="n">
        <v>150</v>
      </c>
      <c r="G180" t="n">
        <v>72953</v>
      </c>
      <c r="H180" t="n">
        <v>57574</v>
      </c>
      <c r="I180" t="n">
        <v>698703</v>
      </c>
      <c r="J180" t="n">
        <v>1399162.100000002</v>
      </c>
      <c r="K180" t="n">
        <v>73596</v>
      </c>
      <c r="L180" t="n">
        <v>535472</v>
      </c>
      <c r="M180" t="n">
        <v>448246</v>
      </c>
      <c r="N180" t="n">
        <v>162988</v>
      </c>
      <c r="O180" t="n">
        <v>36787</v>
      </c>
      <c r="P180" t="n">
        <v>1994</v>
      </c>
    </row>
    <row r="181">
      <c r="A181" t="inlineStr">
        <is>
          <t>AA</t>
        </is>
      </c>
      <c r="B181" t="n">
        <v>2022</v>
      </c>
      <c r="C181" t="n">
        <v>12</v>
      </c>
      <c r="D181" t="n">
        <v>76149</v>
      </c>
      <c r="E181" t="n">
        <v>1174</v>
      </c>
      <c r="F181" t="n">
        <v>174</v>
      </c>
      <c r="G181" t="n">
        <v>74801</v>
      </c>
      <c r="H181" t="n">
        <v>54111</v>
      </c>
      <c r="I181" t="n">
        <v>1264847</v>
      </c>
      <c r="J181" t="n">
        <v>1389123.499999996</v>
      </c>
      <c r="K181" t="n">
        <v>75524</v>
      </c>
      <c r="L181" t="n">
        <v>826539</v>
      </c>
      <c r="M181" t="n">
        <v>594206</v>
      </c>
      <c r="N181" t="n">
        <v>195220</v>
      </c>
      <c r="O181" t="n">
        <v>84385</v>
      </c>
      <c r="P181" t="n">
        <v>2879</v>
      </c>
    </row>
    <row r="182">
      <c r="A182" t="inlineStr">
        <is>
          <t>AA</t>
        </is>
      </c>
      <c r="B182" t="n">
        <v>2023</v>
      </c>
      <c r="C182" t="n">
        <v>1</v>
      </c>
      <c r="D182" t="n">
        <v>74999</v>
      </c>
      <c r="E182" t="n">
        <v>1417</v>
      </c>
      <c r="F182" t="n">
        <v>128</v>
      </c>
      <c r="G182" t="n">
        <v>73454</v>
      </c>
      <c r="H182" t="n">
        <v>56763</v>
      </c>
      <c r="I182" t="n">
        <v>792354</v>
      </c>
      <c r="J182" t="n">
        <v>1383282.000000013</v>
      </c>
      <c r="K182" t="n">
        <v>74463</v>
      </c>
      <c r="L182" t="n">
        <v>512505</v>
      </c>
      <c r="M182" t="n">
        <v>445582</v>
      </c>
      <c r="N182" t="n">
        <v>291922</v>
      </c>
      <c r="O182" t="n">
        <v>56400</v>
      </c>
      <c r="P182" t="n">
        <v>3567</v>
      </c>
    </row>
    <row r="183">
      <c r="A183" t="inlineStr">
        <is>
          <t>AA</t>
        </is>
      </c>
      <c r="B183" t="n">
        <v>2023</v>
      </c>
      <c r="C183" t="n">
        <v>2</v>
      </c>
      <c r="D183" t="n">
        <v>71289</v>
      </c>
      <c r="E183" t="n">
        <v>1447</v>
      </c>
      <c r="F183" t="n">
        <v>110</v>
      </c>
      <c r="G183" t="n">
        <v>69732</v>
      </c>
      <c r="H183" t="n">
        <v>54608</v>
      </c>
      <c r="I183" t="n">
        <v>661797</v>
      </c>
      <c r="J183" t="n">
        <v>1331932.299999998</v>
      </c>
      <c r="K183" t="n">
        <v>70622</v>
      </c>
      <c r="L183" t="n">
        <v>549093</v>
      </c>
      <c r="M183" t="n">
        <v>431323</v>
      </c>
      <c r="N183" t="n">
        <v>147569</v>
      </c>
      <c r="O183" t="n">
        <v>41282</v>
      </c>
      <c r="P183" t="n">
        <v>3160</v>
      </c>
    </row>
    <row r="184">
      <c r="A184" t="inlineStr">
        <is>
          <t>AA</t>
        </is>
      </c>
      <c r="B184" t="n">
        <v>2023</v>
      </c>
      <c r="C184" t="n">
        <v>3</v>
      </c>
      <c r="D184" t="n">
        <v>78705</v>
      </c>
      <c r="E184" t="n">
        <v>859</v>
      </c>
      <c r="F184" t="n">
        <v>216</v>
      </c>
      <c r="G184" t="n">
        <v>77630</v>
      </c>
      <c r="H184" t="n">
        <v>56820</v>
      </c>
      <c r="I184" t="n">
        <v>1215079</v>
      </c>
      <c r="J184" t="n">
        <v>1431584.199999982</v>
      </c>
      <c r="K184" t="n">
        <v>77812</v>
      </c>
      <c r="L184" t="n">
        <v>787665</v>
      </c>
      <c r="M184" t="n">
        <v>556169</v>
      </c>
      <c r="N184" t="n">
        <v>247090</v>
      </c>
      <c r="O184" t="n">
        <v>60977</v>
      </c>
      <c r="P184" t="n">
        <v>2378</v>
      </c>
    </row>
    <row r="185">
      <c r="A185" t="inlineStr">
        <is>
          <t>AA</t>
        </is>
      </c>
      <c r="B185" t="n">
        <v>2023</v>
      </c>
      <c r="C185" t="n">
        <v>4</v>
      </c>
      <c r="D185" t="n">
        <v>77039</v>
      </c>
      <c r="E185" t="n">
        <v>1235</v>
      </c>
      <c r="F185" t="n">
        <v>241</v>
      </c>
      <c r="G185" t="n">
        <v>75563</v>
      </c>
      <c r="H185" t="n">
        <v>56178</v>
      </c>
      <c r="I185" t="n">
        <v>1154345</v>
      </c>
      <c r="J185" t="n">
        <v>1390877.500000013</v>
      </c>
      <c r="K185" t="n">
        <v>76354</v>
      </c>
      <c r="L185" t="n">
        <v>771189</v>
      </c>
      <c r="M185" t="n">
        <v>548035</v>
      </c>
      <c r="N185" t="n">
        <v>242656</v>
      </c>
      <c r="O185" t="n">
        <v>72156</v>
      </c>
      <c r="P185" t="n">
        <v>2460</v>
      </c>
    </row>
    <row r="186">
      <c r="A186" t="inlineStr">
        <is>
          <t>AA</t>
        </is>
      </c>
      <c r="B186" t="n">
        <v>2023</v>
      </c>
      <c r="C186" t="n">
        <v>5</v>
      </c>
      <c r="D186" t="n">
        <v>79782</v>
      </c>
      <c r="E186" t="n">
        <v>401</v>
      </c>
      <c r="F186" t="n">
        <v>223</v>
      </c>
      <c r="G186" t="n">
        <v>79158</v>
      </c>
      <c r="H186" t="n">
        <v>62656</v>
      </c>
      <c r="I186" t="n">
        <v>797375</v>
      </c>
      <c r="J186" t="n">
        <v>1532237.399999987</v>
      </c>
      <c r="K186" t="n">
        <v>79017</v>
      </c>
      <c r="L186" t="n">
        <v>670904</v>
      </c>
      <c r="M186" t="n">
        <v>546582</v>
      </c>
      <c r="N186" t="n">
        <v>146486</v>
      </c>
      <c r="O186" t="n">
        <v>65039</v>
      </c>
      <c r="P186" t="n">
        <v>3585</v>
      </c>
    </row>
    <row r="187">
      <c r="A187" t="inlineStr">
        <is>
          <t>AA</t>
        </is>
      </c>
      <c r="B187" t="n">
        <v>2023</v>
      </c>
      <c r="C187" t="n">
        <v>6</v>
      </c>
      <c r="D187" t="n">
        <v>80416</v>
      </c>
      <c r="E187" t="n">
        <v>954</v>
      </c>
      <c r="F187" t="n">
        <v>426</v>
      </c>
      <c r="G187" t="n">
        <v>79036</v>
      </c>
      <c r="H187" t="n">
        <v>54887</v>
      </c>
      <c r="I187" t="n">
        <v>1794177</v>
      </c>
      <c r="J187" t="n">
        <v>1503693.300000017</v>
      </c>
      <c r="K187" t="n">
        <v>79113</v>
      </c>
      <c r="L187" t="n">
        <v>1112779</v>
      </c>
      <c r="M187" t="n">
        <v>723730</v>
      </c>
      <c r="N187" t="n">
        <v>303839</v>
      </c>
      <c r="O187" t="n">
        <v>138369</v>
      </c>
      <c r="P187" t="n">
        <v>2794</v>
      </c>
    </row>
    <row r="188">
      <c r="A188" t="inlineStr">
        <is>
          <t>AA</t>
        </is>
      </c>
      <c r="B188" t="n">
        <v>2023</v>
      </c>
      <c r="C188" t="n">
        <v>7</v>
      </c>
      <c r="D188" t="n">
        <v>83013</v>
      </c>
      <c r="E188" t="n">
        <v>1346</v>
      </c>
      <c r="F188" t="n">
        <v>290</v>
      </c>
      <c r="G188" t="n">
        <v>81377</v>
      </c>
      <c r="H188" t="n">
        <v>55422</v>
      </c>
      <c r="I188" t="n">
        <v>2033191</v>
      </c>
      <c r="J188" t="n">
        <v>1516959.800000008</v>
      </c>
      <c r="K188" t="n">
        <v>81577</v>
      </c>
      <c r="L188" t="n">
        <v>1258371</v>
      </c>
      <c r="M188" t="n">
        <v>848318</v>
      </c>
      <c r="N188" t="n">
        <v>300200</v>
      </c>
      <c r="O188" t="n">
        <v>118094</v>
      </c>
      <c r="P188" t="n">
        <v>3188</v>
      </c>
    </row>
    <row r="189">
      <c r="A189" t="inlineStr">
        <is>
          <t>AA</t>
        </is>
      </c>
      <c r="B189" t="n">
        <v>2023</v>
      </c>
      <c r="C189" t="n">
        <v>8</v>
      </c>
      <c r="D189" t="n">
        <v>85157</v>
      </c>
      <c r="E189" t="n">
        <v>1198</v>
      </c>
      <c r="F189" t="n">
        <v>266</v>
      </c>
      <c r="G189" t="n">
        <v>83693</v>
      </c>
      <c r="H189" t="n">
        <v>62415</v>
      </c>
      <c r="I189" t="n">
        <v>1480175</v>
      </c>
      <c r="J189" t="n">
        <v>1639202.700000003</v>
      </c>
      <c r="K189" t="n">
        <v>83616</v>
      </c>
      <c r="L189" t="n">
        <v>1142854</v>
      </c>
      <c r="M189" t="n">
        <v>764449</v>
      </c>
      <c r="N189" t="n">
        <v>188922</v>
      </c>
      <c r="O189" t="n">
        <v>82747</v>
      </c>
      <c r="P189" t="n">
        <v>3844</v>
      </c>
    </row>
    <row r="190">
      <c r="A190" t="inlineStr">
        <is>
          <t>AA</t>
        </is>
      </c>
      <c r="B190" t="n">
        <v>2023</v>
      </c>
      <c r="C190" t="n">
        <v>9</v>
      </c>
      <c r="D190" t="n">
        <v>76972</v>
      </c>
      <c r="E190" t="n">
        <v>640</v>
      </c>
      <c r="F190" t="n">
        <v>259</v>
      </c>
      <c r="G190" t="n">
        <v>76073</v>
      </c>
      <c r="H190" t="n">
        <v>60503</v>
      </c>
      <c r="I190" t="n">
        <v>655109</v>
      </c>
      <c r="J190" t="n">
        <v>1568584.700000004</v>
      </c>
      <c r="K190" t="n">
        <v>75913</v>
      </c>
      <c r="L190" t="n">
        <v>589307</v>
      </c>
      <c r="M190" t="n">
        <v>462599</v>
      </c>
      <c r="N190" t="n">
        <v>190528</v>
      </c>
      <c r="O190" t="n">
        <v>60740</v>
      </c>
      <c r="P190" t="n">
        <v>2367</v>
      </c>
    </row>
    <row r="191">
      <c r="A191" t="inlineStr">
        <is>
          <t>AA</t>
        </is>
      </c>
      <c r="B191" t="n">
        <v>2023</v>
      </c>
      <c r="C191" t="n">
        <v>10</v>
      </c>
      <c r="D191" t="n">
        <v>81344</v>
      </c>
      <c r="E191" t="n">
        <v>434</v>
      </c>
      <c r="F191" t="n">
        <v>139</v>
      </c>
      <c r="G191" t="n">
        <v>80771</v>
      </c>
      <c r="H191" t="n">
        <v>67250</v>
      </c>
      <c r="I191" t="n">
        <v>369359</v>
      </c>
      <c r="J191" t="n">
        <v>1632318.599999996</v>
      </c>
      <c r="K191" t="n">
        <v>80061</v>
      </c>
      <c r="L191" t="n">
        <v>492496</v>
      </c>
      <c r="M191" t="n">
        <v>405969</v>
      </c>
      <c r="N191" t="n">
        <v>122544</v>
      </c>
      <c r="O191" t="n">
        <v>34140</v>
      </c>
      <c r="P191" t="n">
        <v>2417</v>
      </c>
    </row>
    <row r="192">
      <c r="A192" t="inlineStr">
        <is>
          <t>AA</t>
        </is>
      </c>
      <c r="B192" t="n">
        <v>2023</v>
      </c>
      <c r="C192" t="n">
        <v>11</v>
      </c>
      <c r="D192" t="n">
        <v>76407</v>
      </c>
      <c r="E192" t="n">
        <v>11</v>
      </c>
      <c r="F192" t="n">
        <v>73</v>
      </c>
      <c r="G192" t="n">
        <v>76323</v>
      </c>
      <c r="H192" t="n">
        <v>64790</v>
      </c>
      <c r="I192" t="n">
        <v>158732</v>
      </c>
      <c r="J192" t="n">
        <v>1595509.099999986</v>
      </c>
      <c r="K192" t="n">
        <v>74885</v>
      </c>
      <c r="L192" t="n">
        <v>328179</v>
      </c>
      <c r="M192" t="n">
        <v>364933</v>
      </c>
      <c r="N192" t="n">
        <v>102373</v>
      </c>
      <c r="O192" t="n">
        <v>12255</v>
      </c>
      <c r="P192" t="n">
        <v>2725</v>
      </c>
    </row>
    <row r="193">
      <c r="A193" t="inlineStr">
        <is>
          <t>AA</t>
        </is>
      </c>
      <c r="B193" t="n">
        <v>2023</v>
      </c>
      <c r="C193" t="n">
        <v>12</v>
      </c>
      <c r="D193" t="n">
        <v>75408</v>
      </c>
      <c r="E193" t="n">
        <v>36</v>
      </c>
      <c r="F193" t="n">
        <v>124</v>
      </c>
      <c r="G193" t="n">
        <v>75248</v>
      </c>
      <c r="H193" t="n">
        <v>61916</v>
      </c>
      <c r="I193" t="n">
        <v>305718</v>
      </c>
      <c r="J193" t="n">
        <v>1551126.099999992</v>
      </c>
      <c r="K193" t="n">
        <v>73804</v>
      </c>
      <c r="L193" t="n">
        <v>413114</v>
      </c>
      <c r="M193" t="n">
        <v>370219</v>
      </c>
      <c r="N193" t="n">
        <v>125154</v>
      </c>
      <c r="O193" t="n">
        <v>12019</v>
      </c>
      <c r="P193" t="n">
        <v>3057</v>
      </c>
    </row>
    <row r="194">
      <c r="A194" t="inlineStr">
        <is>
          <t>AA</t>
        </is>
      </c>
      <c r="B194" t="n">
        <v>2024</v>
      </c>
      <c r="C194" t="n">
        <v>1</v>
      </c>
      <c r="D194" t="n">
        <v>77345</v>
      </c>
      <c r="E194" t="n">
        <v>1248</v>
      </c>
      <c r="F194" t="n">
        <v>209</v>
      </c>
      <c r="G194" t="n">
        <v>75888</v>
      </c>
      <c r="H194" t="n">
        <v>53597</v>
      </c>
      <c r="I194" t="n">
        <v>1454116</v>
      </c>
      <c r="J194" t="n">
        <v>1545637.300000022</v>
      </c>
      <c r="K194" t="n">
        <v>75705</v>
      </c>
      <c r="L194" t="n">
        <v>889904</v>
      </c>
      <c r="M194" t="n">
        <v>610041</v>
      </c>
      <c r="N194" t="n">
        <v>283334</v>
      </c>
      <c r="O194" t="n">
        <v>148854</v>
      </c>
      <c r="P194" t="n">
        <v>6127</v>
      </c>
    </row>
    <row r="195">
      <c r="A195" t="inlineStr">
        <is>
          <t>AA</t>
        </is>
      </c>
      <c r="B195" t="n">
        <v>2024</v>
      </c>
      <c r="C195" t="n">
        <v>2</v>
      </c>
      <c r="D195" t="n">
        <v>74869</v>
      </c>
      <c r="E195" t="n">
        <v>125</v>
      </c>
      <c r="F195" t="n">
        <v>110</v>
      </c>
      <c r="G195" t="n">
        <v>74634</v>
      </c>
      <c r="H195" t="n">
        <v>60671</v>
      </c>
      <c r="I195" t="n">
        <v>360787</v>
      </c>
      <c r="J195" t="n">
        <v>1499666.000000026</v>
      </c>
      <c r="K195" t="n">
        <v>73311</v>
      </c>
      <c r="L195" t="n">
        <v>435467</v>
      </c>
      <c r="M195" t="n">
        <v>375354</v>
      </c>
      <c r="N195" t="n">
        <v>139266</v>
      </c>
      <c r="O195" t="n">
        <v>26320</v>
      </c>
      <c r="P195" t="n">
        <v>2765</v>
      </c>
    </row>
    <row r="196">
      <c r="A196" t="inlineStr">
        <is>
          <t>AA</t>
        </is>
      </c>
      <c r="B196" t="n">
        <v>2024</v>
      </c>
      <c r="C196" t="n">
        <v>3</v>
      </c>
      <c r="D196" t="n">
        <v>82259</v>
      </c>
      <c r="E196" t="n">
        <v>892</v>
      </c>
      <c r="F196" t="n">
        <v>250</v>
      </c>
      <c r="G196" t="n">
        <v>81117</v>
      </c>
      <c r="H196" t="n">
        <v>59139</v>
      </c>
      <c r="I196" t="n">
        <v>1342334</v>
      </c>
      <c r="J196" t="n">
        <v>1705821.400000014</v>
      </c>
      <c r="K196" t="n">
        <v>80409</v>
      </c>
      <c r="L196" t="n">
        <v>977981</v>
      </c>
      <c r="M196" t="n">
        <v>587696</v>
      </c>
      <c r="N196" t="n">
        <v>250409</v>
      </c>
      <c r="O196" t="n">
        <v>84440</v>
      </c>
      <c r="P196" t="n">
        <v>3844</v>
      </c>
    </row>
    <row r="197">
      <c r="A197" t="inlineStr">
        <is>
          <t>AA</t>
        </is>
      </c>
      <c r="B197" t="n">
        <v>2024</v>
      </c>
      <c r="C197" t="n">
        <v>4</v>
      </c>
      <c r="D197" t="n">
        <v>81215</v>
      </c>
      <c r="E197" t="n">
        <v>787</v>
      </c>
      <c r="F197" t="n">
        <v>217</v>
      </c>
      <c r="G197" t="n">
        <v>80211</v>
      </c>
      <c r="H197" t="n">
        <v>60832</v>
      </c>
      <c r="I197" t="n">
        <v>1022990</v>
      </c>
      <c r="J197" t="n">
        <v>1580350.600000016</v>
      </c>
      <c r="K197" t="n">
        <v>79735</v>
      </c>
      <c r="L197" t="n">
        <v>758109</v>
      </c>
      <c r="M197" t="n">
        <v>489810</v>
      </c>
      <c r="N197" t="n">
        <v>232667</v>
      </c>
      <c r="O197" t="n">
        <v>94310</v>
      </c>
      <c r="P197" t="n">
        <v>2900</v>
      </c>
    </row>
    <row r="198">
      <c r="A198" t="inlineStr">
        <is>
          <t>AA</t>
        </is>
      </c>
      <c r="B198" t="n">
        <v>2024</v>
      </c>
      <c r="C198" t="n">
        <v>5</v>
      </c>
      <c r="D198" t="n">
        <v>86764</v>
      </c>
      <c r="E198" t="n">
        <v>3005</v>
      </c>
      <c r="F198" t="n">
        <v>481</v>
      </c>
      <c r="G198" t="n">
        <v>83278</v>
      </c>
      <c r="H198" t="n">
        <v>52543</v>
      </c>
      <c r="I198" t="n">
        <v>2518061</v>
      </c>
      <c r="J198" t="n">
        <v>1557657.600000001</v>
      </c>
      <c r="K198" t="n">
        <v>85102</v>
      </c>
      <c r="L198" t="n">
        <v>1376580</v>
      </c>
      <c r="M198" t="n">
        <v>898176</v>
      </c>
      <c r="N198" t="n">
        <v>428573</v>
      </c>
      <c r="O198" t="n">
        <v>207232</v>
      </c>
      <c r="P198" t="n">
        <v>4791</v>
      </c>
    </row>
    <row r="199">
      <c r="A199" t="inlineStr">
        <is>
          <t>AA</t>
        </is>
      </c>
      <c r="B199" t="n">
        <v>2024</v>
      </c>
      <c r="C199" t="n">
        <v>6</v>
      </c>
      <c r="D199" t="n">
        <v>85578</v>
      </c>
      <c r="E199" t="n">
        <v>1942</v>
      </c>
      <c r="F199" t="n">
        <v>349</v>
      </c>
      <c r="G199" t="n">
        <v>83287</v>
      </c>
      <c r="H199" t="n">
        <v>56488</v>
      </c>
      <c r="I199" t="n">
        <v>1918109</v>
      </c>
      <c r="J199" t="n">
        <v>1667424.200000027</v>
      </c>
      <c r="K199" t="n">
        <v>83597</v>
      </c>
      <c r="L199" t="n">
        <v>1228511</v>
      </c>
      <c r="M199" t="n">
        <v>803553</v>
      </c>
      <c r="N199" t="n">
        <v>264561</v>
      </c>
      <c r="O199" t="n">
        <v>137429</v>
      </c>
      <c r="P199" t="n">
        <v>3718</v>
      </c>
    </row>
    <row r="200">
      <c r="A200" t="inlineStr">
        <is>
          <t>AA</t>
        </is>
      </c>
      <c r="B200" t="n">
        <v>2024</v>
      </c>
      <c r="C200" t="n">
        <v>7</v>
      </c>
      <c r="D200" t="n">
        <v>88291</v>
      </c>
      <c r="E200" t="n">
        <v>2208</v>
      </c>
      <c r="F200" t="n">
        <v>376</v>
      </c>
      <c r="G200" t="n">
        <v>85707</v>
      </c>
      <c r="H200" t="n">
        <v>53181</v>
      </c>
      <c r="I200" t="n">
        <v>2724206</v>
      </c>
      <c r="J200" t="n">
        <v>1654055.000000025</v>
      </c>
      <c r="K200" t="n">
        <v>85870</v>
      </c>
      <c r="L200" t="n">
        <v>1741806</v>
      </c>
      <c r="M200" t="n">
        <v>982025</v>
      </c>
      <c r="N200" t="n">
        <v>322929</v>
      </c>
      <c r="O200" t="n">
        <v>130419</v>
      </c>
      <c r="P200" t="n">
        <v>4278</v>
      </c>
    </row>
    <row r="201">
      <c r="A201" t="inlineStr">
        <is>
          <t>AA</t>
        </is>
      </c>
      <c r="B201" t="n">
        <v>2024</v>
      </c>
      <c r="C201" t="n">
        <v>8</v>
      </c>
      <c r="D201" t="n">
        <v>85963</v>
      </c>
      <c r="E201" t="n">
        <v>2461</v>
      </c>
      <c r="F201" t="n">
        <v>313</v>
      </c>
      <c r="G201" t="n">
        <v>83189</v>
      </c>
      <c r="H201" t="n">
        <v>57364</v>
      </c>
      <c r="I201" t="n">
        <v>1796850</v>
      </c>
      <c r="J201" t="n">
        <v>1583463.100000008</v>
      </c>
      <c r="K201" t="n">
        <v>83960</v>
      </c>
      <c r="L201" t="n">
        <v>1127776</v>
      </c>
      <c r="M201" t="n">
        <v>754133</v>
      </c>
      <c r="N201" t="n">
        <v>286112</v>
      </c>
      <c r="O201" t="n">
        <v>135519</v>
      </c>
      <c r="P201" t="n">
        <v>3457</v>
      </c>
    </row>
    <row r="202">
      <c r="A202" t="inlineStr">
        <is>
          <t>AA</t>
        </is>
      </c>
      <c r="B202" t="n">
        <v>2024</v>
      </c>
      <c r="C202" t="n">
        <v>9</v>
      </c>
      <c r="D202" t="n">
        <v>80709</v>
      </c>
      <c r="E202" t="n">
        <v>546</v>
      </c>
      <c r="F202" t="n">
        <v>112</v>
      </c>
      <c r="G202" t="n">
        <v>80051</v>
      </c>
      <c r="H202" t="n">
        <v>64566</v>
      </c>
      <c r="I202" t="n">
        <v>452113</v>
      </c>
      <c r="J202" t="n">
        <v>1625401.900000002</v>
      </c>
      <c r="K202" t="n">
        <v>79390</v>
      </c>
      <c r="L202" t="n">
        <v>473939</v>
      </c>
      <c r="M202" t="n">
        <v>412152</v>
      </c>
      <c r="N202" t="n">
        <v>160444</v>
      </c>
      <c r="O202" t="n">
        <v>47421</v>
      </c>
      <c r="P202" t="n">
        <v>1902</v>
      </c>
    </row>
    <row r="203">
      <c r="A203" t="inlineStr">
        <is>
          <t>AA</t>
        </is>
      </c>
      <c r="B203" t="n">
        <v>2024</v>
      </c>
      <c r="C203" t="n">
        <v>10</v>
      </c>
      <c r="D203" t="n">
        <v>86812</v>
      </c>
      <c r="E203" t="n">
        <v>766</v>
      </c>
      <c r="F203" t="n">
        <v>91</v>
      </c>
      <c r="G203" t="n">
        <v>85955</v>
      </c>
      <c r="H203" t="n">
        <v>72377</v>
      </c>
      <c r="I203" t="n">
        <v>176042</v>
      </c>
      <c r="J203" t="n">
        <v>1803632.899999969</v>
      </c>
      <c r="K203" t="n">
        <v>85172</v>
      </c>
      <c r="L203" t="n">
        <v>422756</v>
      </c>
      <c r="M203" t="n">
        <v>382989</v>
      </c>
      <c r="N203" t="n">
        <v>115485</v>
      </c>
      <c r="O203" t="n">
        <v>28767</v>
      </c>
      <c r="P203" t="n">
        <v>2212</v>
      </c>
    </row>
    <row r="204">
      <c r="A204" t="inlineStr">
        <is>
          <t>AA</t>
        </is>
      </c>
      <c r="B204" t="n">
        <v>2024</v>
      </c>
      <c r="C204" t="n">
        <v>11</v>
      </c>
      <c r="D204" t="n">
        <v>76757</v>
      </c>
      <c r="E204" t="n">
        <v>491</v>
      </c>
      <c r="F204" t="n">
        <v>157</v>
      </c>
      <c r="G204" t="n">
        <v>76109</v>
      </c>
      <c r="H204" t="n">
        <v>63580</v>
      </c>
      <c r="I204" t="n">
        <v>195857</v>
      </c>
      <c r="J204" t="n">
        <v>1684655.399999992</v>
      </c>
      <c r="K204" t="n">
        <v>75173</v>
      </c>
      <c r="L204" t="n">
        <v>389528</v>
      </c>
      <c r="M204" t="n">
        <v>333487</v>
      </c>
      <c r="N204" t="n">
        <v>136819</v>
      </c>
      <c r="O204" t="n">
        <v>34265</v>
      </c>
      <c r="P204" t="n">
        <v>2359</v>
      </c>
    </row>
    <row r="205">
      <c r="A205" t="inlineStr">
        <is>
          <t>AA</t>
        </is>
      </c>
      <c r="B205" t="n">
        <v>2024</v>
      </c>
      <c r="C205" t="n">
        <v>12</v>
      </c>
      <c r="D205" t="n">
        <v>77737</v>
      </c>
      <c r="E205" t="n">
        <v>781</v>
      </c>
      <c r="F205" t="n">
        <v>273</v>
      </c>
      <c r="G205" t="n">
        <v>76683</v>
      </c>
      <c r="H205" t="n">
        <v>59293</v>
      </c>
      <c r="I205" t="n">
        <v>824210</v>
      </c>
      <c r="J205" t="n">
        <v>1723875.000000039</v>
      </c>
      <c r="K205" t="n">
        <v>76182</v>
      </c>
      <c r="L205" t="n">
        <v>666468</v>
      </c>
      <c r="M205" t="n">
        <v>491238</v>
      </c>
      <c r="N205" t="n">
        <v>194684</v>
      </c>
      <c r="O205" t="n">
        <v>98339</v>
      </c>
      <c r="P205" t="n">
        <v>2334</v>
      </c>
    </row>
    <row r="206">
      <c r="A206" t="inlineStr">
        <is>
          <t>AA</t>
        </is>
      </c>
      <c r="B206" t="n">
        <v>2025</v>
      </c>
      <c r="C206" t="n">
        <v>1</v>
      </c>
      <c r="D206" t="n">
        <v>75088</v>
      </c>
      <c r="E206" t="n">
        <v>2802</v>
      </c>
      <c r="F206" t="n">
        <v>204</v>
      </c>
      <c r="G206" t="n">
        <v>72082</v>
      </c>
      <c r="H206" t="n">
        <v>58222</v>
      </c>
      <c r="I206" t="n">
        <v>401255</v>
      </c>
      <c r="J206" t="n">
        <v>1737155.700000002</v>
      </c>
      <c r="K206" t="n">
        <v>73733</v>
      </c>
      <c r="L206" t="n">
        <v>424388</v>
      </c>
      <c r="M206" t="n">
        <v>413376</v>
      </c>
      <c r="N206" t="n">
        <v>188499</v>
      </c>
      <c r="O206" t="n">
        <v>81734</v>
      </c>
      <c r="P206" t="n">
        <v>1969</v>
      </c>
    </row>
    <row r="207">
      <c r="A207" t="inlineStr">
        <is>
          <t>AA</t>
        </is>
      </c>
      <c r="B207" t="n">
        <v>2025</v>
      </c>
      <c r="C207" t="n">
        <v>2</v>
      </c>
      <c r="D207" t="n">
        <v>69876</v>
      </c>
      <c r="E207" t="n">
        <v>925</v>
      </c>
      <c r="F207" t="n">
        <v>143</v>
      </c>
      <c r="G207" t="n">
        <v>68808</v>
      </c>
      <c r="H207" t="n">
        <v>54673</v>
      </c>
      <c r="I207" t="n">
        <v>483028</v>
      </c>
      <c r="J207" t="n">
        <v>1527239.799999992</v>
      </c>
      <c r="K207" t="n">
        <v>68698</v>
      </c>
      <c r="L207" t="n">
        <v>443149</v>
      </c>
      <c r="M207" t="n">
        <v>412062</v>
      </c>
      <c r="N207" t="n">
        <v>199331</v>
      </c>
      <c r="O207" t="n">
        <v>57510</v>
      </c>
      <c r="P207" t="n">
        <v>1668</v>
      </c>
    </row>
    <row r="208">
      <c r="A208" t="inlineStr">
        <is>
          <t>AA</t>
        </is>
      </c>
      <c r="B208" t="n">
        <v>2025</v>
      </c>
      <c r="C208" t="n">
        <v>3</v>
      </c>
      <c r="D208" t="n">
        <v>82536</v>
      </c>
      <c r="E208" t="n">
        <v>1255</v>
      </c>
      <c r="F208" t="n">
        <v>238</v>
      </c>
      <c r="G208" t="n">
        <v>81043</v>
      </c>
      <c r="H208" t="n">
        <v>62300</v>
      </c>
      <c r="I208" t="n">
        <v>869617</v>
      </c>
      <c r="J208" t="n">
        <v>1761817.300000028</v>
      </c>
      <c r="K208" t="n">
        <v>80713</v>
      </c>
      <c r="L208" t="n">
        <v>669660</v>
      </c>
      <c r="M208" t="n">
        <v>485938</v>
      </c>
      <c r="N208" t="n">
        <v>266089</v>
      </c>
      <c r="O208" t="n">
        <v>85461</v>
      </c>
      <c r="P208" t="n">
        <v>1800</v>
      </c>
    </row>
    <row r="209">
      <c r="A209" t="inlineStr">
        <is>
          <t>AA</t>
        </is>
      </c>
      <c r="B209" t="n">
        <v>2025</v>
      </c>
      <c r="C209" t="n">
        <v>4</v>
      </c>
      <c r="D209" t="n">
        <v>82261</v>
      </c>
      <c r="E209" t="n">
        <v>1178</v>
      </c>
      <c r="F209" t="n">
        <v>226</v>
      </c>
      <c r="G209" t="n">
        <v>80857</v>
      </c>
      <c r="H209" t="n">
        <v>61091</v>
      </c>
      <c r="I209" t="n">
        <v>964755</v>
      </c>
      <c r="J209" t="n">
        <v>1592010.299999991</v>
      </c>
      <c r="K209" t="n">
        <v>80375</v>
      </c>
      <c r="L209" t="n">
        <v>705011</v>
      </c>
      <c r="M209" t="n">
        <v>491631</v>
      </c>
      <c r="N209" t="n">
        <v>244861</v>
      </c>
      <c r="O209" t="n">
        <v>82080</v>
      </c>
      <c r="P209" t="n">
        <v>1733</v>
      </c>
    </row>
    <row r="210">
      <c r="A210" t="inlineStr">
        <is>
          <t>AA</t>
        </is>
      </c>
      <c r="B210" t="n">
        <v>2025</v>
      </c>
      <c r="C210" t="n">
        <v>5</v>
      </c>
      <c r="D210" t="n">
        <v>86123</v>
      </c>
      <c r="E210" t="n">
        <v>1309</v>
      </c>
      <c r="F210" t="n">
        <v>318</v>
      </c>
      <c r="G210" t="n">
        <v>84496</v>
      </c>
      <c r="H210" t="n">
        <v>62098</v>
      </c>
      <c r="I210" t="n">
        <v>1181502</v>
      </c>
      <c r="J210" t="n">
        <v>1670528.499999987</v>
      </c>
      <c r="K210" t="n">
        <v>84372</v>
      </c>
      <c r="L210" t="n">
        <v>782286</v>
      </c>
      <c r="M210" t="n">
        <v>536873</v>
      </c>
      <c r="N210" t="n">
        <v>330584</v>
      </c>
      <c r="O210" t="n">
        <v>146627</v>
      </c>
      <c r="P210" t="n">
        <v>2258</v>
      </c>
    </row>
    <row r="211">
      <c r="A211" t="inlineStr">
        <is>
          <t>AA</t>
        </is>
      </c>
      <c r="B211" t="n">
        <v>2025</v>
      </c>
      <c r="C211" t="n">
        <v>6</v>
      </c>
      <c r="D211" t="n">
        <v>85419</v>
      </c>
      <c r="E211" t="n">
        <v>2096</v>
      </c>
      <c r="F211" t="n">
        <v>340</v>
      </c>
      <c r="G211" t="n">
        <v>82983</v>
      </c>
      <c r="H211" t="n">
        <v>55770</v>
      </c>
      <c r="I211" t="n">
        <v>1916026</v>
      </c>
      <c r="J211" t="n">
        <v>1603700.199999996</v>
      </c>
      <c r="K211" t="n">
        <v>83042</v>
      </c>
      <c r="L211" t="n">
        <v>1127962</v>
      </c>
      <c r="M211" t="n">
        <v>715003</v>
      </c>
      <c r="N211" t="n">
        <v>373066</v>
      </c>
      <c r="O211" t="n">
        <v>192717</v>
      </c>
      <c r="P211" t="n">
        <v>2082</v>
      </c>
    </row>
    <row r="212">
      <c r="A212" t="inlineStr">
        <is>
          <t>AA</t>
        </is>
      </c>
      <c r="B212" t="n">
        <v>2025</v>
      </c>
      <c r="C212" t="n">
        <v>7</v>
      </c>
      <c r="D212" t="n">
        <v>87852</v>
      </c>
      <c r="E212" t="n">
        <v>2959</v>
      </c>
      <c r="F212" t="n">
        <v>515</v>
      </c>
      <c r="G212" t="n">
        <v>84378</v>
      </c>
      <c r="H212" t="n">
        <v>54862</v>
      </c>
      <c r="I212" t="n">
        <v>2276232</v>
      </c>
      <c r="J212" t="n">
        <v>1698443.200000003</v>
      </c>
      <c r="K212" t="n">
        <v>85203</v>
      </c>
      <c r="L212" t="n">
        <v>1364362</v>
      </c>
      <c r="M212" t="n">
        <v>863804</v>
      </c>
      <c r="N212" t="n">
        <v>377609</v>
      </c>
      <c r="O212" t="n">
        <v>181286</v>
      </c>
      <c r="P212" t="n">
        <v>2238</v>
      </c>
    </row>
    <row r="213">
      <c r="A213" t="inlineStr">
        <is>
          <t>AA</t>
        </is>
      </c>
      <c r="B213" t="n">
        <v>2025</v>
      </c>
      <c r="C213" t="n">
        <v>8</v>
      </c>
      <c r="D213" t="n">
        <v>83024</v>
      </c>
      <c r="E213" t="n">
        <v>1603</v>
      </c>
      <c r="F213" t="n">
        <v>424</v>
      </c>
      <c r="G213" t="n">
        <v>80997</v>
      </c>
      <c r="H213" t="n">
        <v>56262</v>
      </c>
      <c r="I213" t="n">
        <v>1656125</v>
      </c>
      <c r="J213" t="n">
        <v>1524871.900000005</v>
      </c>
      <c r="K213" t="n">
        <v>80846</v>
      </c>
      <c r="L213" t="n">
        <v>1074559</v>
      </c>
      <c r="M213" t="n">
        <v>675438</v>
      </c>
      <c r="N213" t="n">
        <v>280011</v>
      </c>
      <c r="O213" t="n">
        <v>140605</v>
      </c>
      <c r="P213" t="n">
        <v>2722</v>
      </c>
    </row>
    <row r="214">
      <c r="A214" t="inlineStr">
        <is>
          <t>AA</t>
        </is>
      </c>
      <c r="B214" t="n">
        <v>2025</v>
      </c>
      <c r="C214" t="n">
        <v>9</v>
      </c>
      <c r="D214" t="n">
        <v>77306</v>
      </c>
      <c r="E214" t="n">
        <v>933</v>
      </c>
      <c r="F214" t="n">
        <v>251</v>
      </c>
      <c r="G214" t="n">
        <v>76122</v>
      </c>
      <c r="H214" t="n">
        <v>60180</v>
      </c>
      <c r="I214" t="n">
        <v>635500</v>
      </c>
      <c r="J214" t="n">
        <v>1608126.399999985</v>
      </c>
      <c r="K214" t="n">
        <v>76012</v>
      </c>
      <c r="L214" t="n">
        <v>577881</v>
      </c>
      <c r="M214" t="n">
        <v>495380</v>
      </c>
      <c r="N214" t="n">
        <v>193450</v>
      </c>
      <c r="O214" t="n">
        <v>81842</v>
      </c>
      <c r="P214" t="n">
        <v>1667</v>
      </c>
    </row>
    <row r="215">
      <c r="A215" t="inlineStr">
        <is>
          <t>AA</t>
        </is>
      </c>
      <c r="B215" t="n">
        <v>2025</v>
      </c>
      <c r="C215" t="n">
        <v>10</v>
      </c>
      <c r="D215" t="n">
        <v>85483</v>
      </c>
      <c r="E215" t="n">
        <v>556</v>
      </c>
      <c r="F215" t="n">
        <v>167</v>
      </c>
      <c r="G215" t="n">
        <v>84760</v>
      </c>
      <c r="H215" t="n">
        <v>65080</v>
      </c>
      <c r="I215" t="n">
        <v>857437</v>
      </c>
      <c r="J215" t="n">
        <v>1758496.699999962</v>
      </c>
      <c r="K215" t="n">
        <v>83838</v>
      </c>
      <c r="L215" t="n">
        <v>744072</v>
      </c>
      <c r="M215" t="n">
        <v>519047</v>
      </c>
      <c r="N215" t="n">
        <v>234298</v>
      </c>
      <c r="O215" t="n">
        <v>46644</v>
      </c>
      <c r="P215" t="n">
        <v>1913</v>
      </c>
    </row>
    <row r="216">
      <c r="A216" t="inlineStr">
        <is>
          <t>AA</t>
        </is>
      </c>
      <c r="B216" t="n">
        <v>2025</v>
      </c>
      <c r="C216" t="n">
        <v>11</v>
      </c>
      <c r="D216" t="n">
        <v>78826</v>
      </c>
      <c r="E216" t="n">
        <v>1670</v>
      </c>
      <c r="F216" t="n">
        <v>156</v>
      </c>
      <c r="G216" t="n">
        <v>77000</v>
      </c>
      <c r="H216" t="n">
        <v>58931</v>
      </c>
      <c r="I216" t="n">
        <v>769297</v>
      </c>
      <c r="J216" t="n">
        <v>1795606.999999995</v>
      </c>
      <c r="K216" t="n">
        <v>77149</v>
      </c>
      <c r="L216" t="n">
        <v>628350</v>
      </c>
      <c r="M216" t="n">
        <v>496137</v>
      </c>
      <c r="N216" t="n">
        <v>275124</v>
      </c>
      <c r="O216" t="n">
        <v>51074</v>
      </c>
      <c r="P216" t="n">
        <v>2284</v>
      </c>
    </row>
    <row r="217">
      <c r="A217" t="inlineStr">
        <is>
          <t>AA</t>
        </is>
      </c>
      <c r="B217" t="n">
        <v>2025</v>
      </c>
      <c r="C217" t="n">
        <v>12</v>
      </c>
      <c r="D217" t="n">
        <v>79859</v>
      </c>
      <c r="E217" t="n">
        <v>393</v>
      </c>
      <c r="F217" t="n">
        <v>151</v>
      </c>
      <c r="G217" t="n">
        <v>79315</v>
      </c>
      <c r="H217" t="n">
        <v>58383</v>
      </c>
      <c r="I217" t="n">
        <v>1038189</v>
      </c>
      <c r="J217" t="n">
        <v>1760133.4</v>
      </c>
      <c r="K217" t="n">
        <v>78240</v>
      </c>
      <c r="L217" t="n">
        <v>790462</v>
      </c>
      <c r="M217" t="n">
        <v>560450</v>
      </c>
      <c r="N217" t="n">
        <v>212207</v>
      </c>
      <c r="O217" t="n">
        <v>63844</v>
      </c>
      <c r="P217" t="n">
        <v>2532</v>
      </c>
    </row>
    <row r="218">
      <c r="A218" t="inlineStr">
        <is>
          <t>AA</t>
        </is>
      </c>
      <c r="B218" t="n">
        <v>2026</v>
      </c>
      <c r="C218" t="n">
        <v>1</v>
      </c>
      <c r="D218" t="n">
        <v>76772</v>
      </c>
      <c r="E218" t="n">
        <v>6854</v>
      </c>
      <c r="F218" t="n">
        <v>178</v>
      </c>
      <c r="G218" t="n">
        <v>69740</v>
      </c>
      <c r="H218" t="n">
        <v>53023</v>
      </c>
      <c r="I218" t="n">
        <v>963300</v>
      </c>
      <c r="J218" t="n">
        <v>1790885.099999993</v>
      </c>
      <c r="K218" t="n">
        <v>75564</v>
      </c>
      <c r="L218" t="n">
        <v>604627</v>
      </c>
      <c r="M218" t="n">
        <v>614161</v>
      </c>
      <c r="N218" t="n">
        <v>187029</v>
      </c>
      <c r="O218" t="n">
        <v>167358</v>
      </c>
      <c r="P218" t="n">
        <v>3243</v>
      </c>
    </row>
    <row r="219">
      <c r="A219" t="inlineStr">
        <is>
          <t>AA</t>
        </is>
      </c>
      <c r="B219" t="n">
        <v>2026</v>
      </c>
      <c r="C219" t="n">
        <v>2</v>
      </c>
      <c r="D219" t="n">
        <v>72786</v>
      </c>
      <c r="E219" t="n">
        <v>1561</v>
      </c>
      <c r="F219" t="n">
        <v>162</v>
      </c>
      <c r="G219" t="n">
        <v>71063</v>
      </c>
      <c r="H219" t="n">
        <v>56047</v>
      </c>
      <c r="I219" t="n">
        <v>467276</v>
      </c>
      <c r="J219" t="n">
        <v>1767313.299999989</v>
      </c>
      <c r="K219" t="n">
        <v>71494</v>
      </c>
      <c r="L219" t="n">
        <v>523935</v>
      </c>
      <c r="M219" t="n">
        <v>449497</v>
      </c>
      <c r="N219" t="n">
        <v>142567</v>
      </c>
      <c r="O219" t="n">
        <v>44289</v>
      </c>
      <c r="P219" t="n">
        <v>1461</v>
      </c>
    </row>
    <row r="220">
      <c r="A220" t="inlineStr">
        <is>
          <t>AA</t>
        </is>
      </c>
      <c r="B220" t="n">
        <v>2026</v>
      </c>
      <c r="C220" t="n">
        <v>3</v>
      </c>
      <c r="D220" t="n">
        <v>84647</v>
      </c>
      <c r="E220" t="n">
        <v>1726</v>
      </c>
      <c r="F220" t="n">
        <v>371</v>
      </c>
      <c r="G220" t="n">
        <v>82550</v>
      </c>
      <c r="H220" t="n">
        <v>61647</v>
      </c>
      <c r="I220" t="n">
        <v>1049302</v>
      </c>
      <c r="J220" t="n">
        <v>2114862.000000001</v>
      </c>
      <c r="K220" t="n">
        <v>83048</v>
      </c>
      <c r="L220" t="n">
        <v>863766</v>
      </c>
      <c r="M220" t="n">
        <v>638315</v>
      </c>
      <c r="N220" t="n">
        <v>241250</v>
      </c>
      <c r="O220" t="n">
        <v>86857</v>
      </c>
      <c r="P220" t="n">
        <v>4682</v>
      </c>
    </row>
    <row r="221">
      <c r="A221" t="inlineStr">
        <is>
          <t>AA</t>
        </is>
      </c>
      <c r="B221" t="n">
        <v>2026</v>
      </c>
      <c r="C221" t="n">
        <v>4</v>
      </c>
      <c r="D221" t="n">
        <v>84538</v>
      </c>
      <c r="E221" t="n">
        <v>753</v>
      </c>
      <c r="F221" t="n">
        <v>251</v>
      </c>
      <c r="G221" t="n">
        <v>83534</v>
      </c>
      <c r="H221" t="n">
        <v>64942</v>
      </c>
      <c r="I221" t="n">
        <v>635760</v>
      </c>
      <c r="J221" t="n">
        <v>2032102.899999984</v>
      </c>
      <c r="K221" t="n">
        <v>82989</v>
      </c>
      <c r="L221" t="n">
        <v>671617</v>
      </c>
      <c r="M221" t="n">
        <v>490402</v>
      </c>
      <c r="N221" t="n">
        <v>197643</v>
      </c>
      <c r="O221" t="n">
        <v>58251</v>
      </c>
      <c r="P221" t="n">
        <v>1723</v>
      </c>
    </row>
    <row r="222">
      <c r="A222" t="inlineStr">
        <is>
          <t>AA</t>
        </is>
      </c>
      <c r="B222" t="n">
        <v>2026</v>
      </c>
      <c r="C222" t="n">
        <v>5</v>
      </c>
      <c r="D222" t="n">
        <v>88740</v>
      </c>
      <c r="E222" t="n">
        <v>1324</v>
      </c>
      <c r="F222" t="n">
        <v>367</v>
      </c>
      <c r="G222" t="n">
        <v>87049</v>
      </c>
      <c r="H222" t="n">
        <v>66622</v>
      </c>
      <c r="I222" t="n">
        <v>927887</v>
      </c>
      <c r="J222" t="n">
        <v>2080706.200000014</v>
      </c>
      <c r="K222" t="n">
        <v>86707</v>
      </c>
      <c r="L222" t="n">
        <v>779682</v>
      </c>
      <c r="M222" t="n">
        <v>556350</v>
      </c>
      <c r="N222" t="n">
        <v>231956</v>
      </c>
      <c r="O222" t="n">
        <v>119637</v>
      </c>
      <c r="P222" t="n">
        <v>2010</v>
      </c>
    </row>
    <row r="223">
      <c r="A223" t="inlineStr">
        <is>
          <t>AA</t>
        </is>
      </c>
      <c r="B223" t="n">
        <v>2026</v>
      </c>
      <c r="C223" t="n">
        <v>6</v>
      </c>
      <c r="D223" t="n">
        <v>86464</v>
      </c>
      <c r="E223" t="n">
        <v>2281</v>
      </c>
      <c r="F223" t="n">
        <v>506</v>
      </c>
      <c r="G223" t="n">
        <v>83677</v>
      </c>
      <c r="H223" t="n">
        <v>58504</v>
      </c>
      <c r="I223" t="n">
        <v>1681850</v>
      </c>
      <c r="J223" t="n">
        <v>1994376.10000001</v>
      </c>
      <c r="K223" t="n">
        <v>83742</v>
      </c>
      <c r="L223" t="n">
        <v>1128604</v>
      </c>
      <c r="M223" t="n">
        <v>707818</v>
      </c>
      <c r="N223" t="n">
        <v>312005</v>
      </c>
      <c r="O223" t="n">
        <v>168646</v>
      </c>
      <c r="P223" t="n">
        <v>2318</v>
      </c>
    </row>
    <row r="224">
      <c r="A224" t="inlineStr">
        <is>
          <t>AA</t>
        </is>
      </c>
      <c r="B224" t="n">
        <v>2026</v>
      </c>
      <c r="C224" t="n">
        <v>7</v>
      </c>
      <c r="D224" t="n">
        <v>89200</v>
      </c>
      <c r="E224" t="n">
        <v>2046</v>
      </c>
      <c r="F224" t="n">
        <v>540</v>
      </c>
      <c r="G224" t="n">
        <v>86614</v>
      </c>
      <c r="H224" t="n">
        <v>57964</v>
      </c>
      <c r="I224" t="n">
        <v>2082714</v>
      </c>
      <c r="J224" t="n">
        <v>2025657.700000005</v>
      </c>
      <c r="K224" t="n">
        <v>86290</v>
      </c>
      <c r="L224" t="n">
        <v>1403448</v>
      </c>
      <c r="M224" t="n">
        <v>825996</v>
      </c>
      <c r="N224" t="n">
        <v>339854</v>
      </c>
      <c r="O224" t="n">
        <v>146041</v>
      </c>
      <c r="P224" t="n">
        <v>3701</v>
      </c>
    </row>
    <row r="225">
      <c r="A225" t="inlineStr">
        <is>
          <t>AS</t>
        </is>
      </c>
      <c r="B225" t="n">
        <v>2015</v>
      </c>
      <c r="C225" t="n">
        <v>1</v>
      </c>
      <c r="D225" t="n">
        <v>13257</v>
      </c>
      <c r="E225" t="n">
        <v>64</v>
      </c>
      <c r="F225" t="n">
        <v>42</v>
      </c>
      <c r="G225" t="n">
        <v>13151</v>
      </c>
      <c r="H225" t="n">
        <v>11212</v>
      </c>
      <c r="I225" t="n">
        <v>-4220</v>
      </c>
      <c r="J225" t="n">
        <v>212796.3999999986</v>
      </c>
      <c r="K225" t="n">
        <v>13242</v>
      </c>
      <c r="L225" t="n">
        <v>40466</v>
      </c>
      <c r="M225" t="n">
        <v>28833</v>
      </c>
      <c r="N225" t="n">
        <v>23322</v>
      </c>
      <c r="O225" t="n">
        <v>7333</v>
      </c>
      <c r="P225" t="n">
        <v>104</v>
      </c>
    </row>
    <row r="226">
      <c r="A226" t="inlineStr">
        <is>
          <t>AS</t>
        </is>
      </c>
      <c r="B226" t="n">
        <v>2015</v>
      </c>
      <c r="C226" t="n">
        <v>2</v>
      </c>
      <c r="D226" t="n">
        <v>12194</v>
      </c>
      <c r="E226" t="n">
        <v>113</v>
      </c>
      <c r="F226" t="n">
        <v>53</v>
      </c>
      <c r="G226" t="n">
        <v>12028</v>
      </c>
      <c r="H226" t="n">
        <v>10376</v>
      </c>
      <c r="I226" t="n">
        <v>-9417</v>
      </c>
      <c r="J226" t="n">
        <v>184981.5999999994</v>
      </c>
      <c r="K226" t="n">
        <v>12174</v>
      </c>
      <c r="L226" t="n">
        <v>37265</v>
      </c>
      <c r="M226" t="n">
        <v>26008</v>
      </c>
      <c r="N226" t="n">
        <v>22220</v>
      </c>
      <c r="O226" t="n">
        <v>3478</v>
      </c>
      <c r="P226" t="n">
        <v>185</v>
      </c>
    </row>
    <row r="227">
      <c r="A227" t="inlineStr">
        <is>
          <t>AS</t>
        </is>
      </c>
      <c r="B227" t="n">
        <v>2015</v>
      </c>
      <c r="C227" t="n">
        <v>3</v>
      </c>
      <c r="D227" t="n">
        <v>14276</v>
      </c>
      <c r="E227" t="n">
        <v>39</v>
      </c>
      <c r="F227" t="n">
        <v>41</v>
      </c>
      <c r="G227" t="n">
        <v>14196</v>
      </c>
      <c r="H227" t="n">
        <v>12226</v>
      </c>
      <c r="I227" t="n">
        <v>-7733</v>
      </c>
      <c r="J227" t="n">
        <v>220176.1000000011</v>
      </c>
      <c r="K227" t="n">
        <v>14255</v>
      </c>
      <c r="L227" t="n">
        <v>39465</v>
      </c>
      <c r="M227" t="n">
        <v>34091</v>
      </c>
      <c r="N227" t="n">
        <v>25184</v>
      </c>
      <c r="O227" t="n">
        <v>2551</v>
      </c>
      <c r="P227" t="n">
        <v>325</v>
      </c>
    </row>
    <row r="228">
      <c r="A228" t="inlineStr">
        <is>
          <t>AS</t>
        </is>
      </c>
      <c r="B228" t="n">
        <v>2015</v>
      </c>
      <c r="C228" t="n">
        <v>4</v>
      </c>
      <c r="D228" t="n">
        <v>13974</v>
      </c>
      <c r="E228" t="n">
        <v>65</v>
      </c>
      <c r="F228" t="n">
        <v>24</v>
      </c>
      <c r="G228" t="n">
        <v>13885</v>
      </c>
      <c r="H228" t="n">
        <v>12478</v>
      </c>
      <c r="I228" t="n">
        <v>-41780</v>
      </c>
      <c r="J228" t="n">
        <v>198527.7000000008</v>
      </c>
      <c r="K228" t="n">
        <v>13963</v>
      </c>
      <c r="L228" t="n">
        <v>23267</v>
      </c>
      <c r="M228" t="n">
        <v>26035</v>
      </c>
      <c r="N228" t="n">
        <v>16628</v>
      </c>
      <c r="O228" t="n">
        <v>2386</v>
      </c>
      <c r="P228" t="n">
        <v>291</v>
      </c>
    </row>
    <row r="229">
      <c r="A229" t="inlineStr">
        <is>
          <t>AS</t>
        </is>
      </c>
      <c r="B229" t="n">
        <v>2015</v>
      </c>
      <c r="C229" t="n">
        <v>5</v>
      </c>
      <c r="D229" t="n">
        <v>14682</v>
      </c>
      <c r="E229" t="n">
        <v>45</v>
      </c>
      <c r="F229" t="n">
        <v>32</v>
      </c>
      <c r="G229" t="n">
        <v>14605</v>
      </c>
      <c r="H229" t="n">
        <v>12923</v>
      </c>
      <c r="I229" t="n">
        <v>-25068</v>
      </c>
      <c r="J229" t="n">
        <v>180872.3000000004</v>
      </c>
      <c r="K229" t="n">
        <v>14673</v>
      </c>
      <c r="L229" t="n">
        <v>23304</v>
      </c>
      <c r="M229" t="n">
        <v>21128</v>
      </c>
      <c r="N229" t="n">
        <v>22647</v>
      </c>
      <c r="O229" t="n">
        <v>1211</v>
      </c>
      <c r="P229" t="n">
        <v>392</v>
      </c>
    </row>
    <row r="230">
      <c r="A230" t="inlineStr">
        <is>
          <t>AS</t>
        </is>
      </c>
      <c r="B230" t="n">
        <v>2015</v>
      </c>
      <c r="C230" t="n">
        <v>6</v>
      </c>
      <c r="D230" t="n">
        <v>15075</v>
      </c>
      <c r="E230" t="n">
        <v>60</v>
      </c>
      <c r="F230" t="n">
        <v>30</v>
      </c>
      <c r="G230" t="n">
        <v>14985</v>
      </c>
      <c r="H230" t="n">
        <v>13182</v>
      </c>
      <c r="I230" t="n">
        <v>-3306</v>
      </c>
      <c r="J230" t="n">
        <v>182922.9999999999</v>
      </c>
      <c r="K230" t="n">
        <v>15035</v>
      </c>
      <c r="L230" t="n">
        <v>32993</v>
      </c>
      <c r="M230" t="n">
        <v>34804</v>
      </c>
      <c r="N230" t="n">
        <v>17966</v>
      </c>
      <c r="O230" t="n">
        <v>3519</v>
      </c>
      <c r="P230" t="n">
        <v>291</v>
      </c>
    </row>
    <row r="231">
      <c r="A231" t="inlineStr">
        <is>
          <t>AS</t>
        </is>
      </c>
      <c r="B231" t="n">
        <v>2015</v>
      </c>
      <c r="C231" t="n">
        <v>7</v>
      </c>
      <c r="D231" t="n">
        <v>15821</v>
      </c>
      <c r="E231" t="n">
        <v>49</v>
      </c>
      <c r="F231" t="n">
        <v>41</v>
      </c>
      <c r="G231" t="n">
        <v>15731</v>
      </c>
      <c r="H231" t="n">
        <v>13664</v>
      </c>
      <c r="I231" t="n">
        <v>5937</v>
      </c>
      <c r="J231" t="n">
        <v>192649.7999999998</v>
      </c>
      <c r="K231" t="n">
        <v>15811</v>
      </c>
      <c r="L231" t="n">
        <v>35661</v>
      </c>
      <c r="M231" t="n">
        <v>34348</v>
      </c>
      <c r="N231" t="n">
        <v>28467</v>
      </c>
      <c r="O231" t="n">
        <v>2233</v>
      </c>
      <c r="P231" t="n">
        <v>616</v>
      </c>
    </row>
    <row r="232">
      <c r="A232" t="inlineStr">
        <is>
          <t>AS</t>
        </is>
      </c>
      <c r="B232" t="n">
        <v>2015</v>
      </c>
      <c r="C232" t="n">
        <v>8</v>
      </c>
      <c r="D232" t="n">
        <v>16095</v>
      </c>
      <c r="E232" t="n">
        <v>36</v>
      </c>
      <c r="F232" t="n">
        <v>28</v>
      </c>
      <c r="G232" t="n">
        <v>16031</v>
      </c>
      <c r="H232" t="n">
        <v>13346</v>
      </c>
      <c r="I232" t="n">
        <v>40140</v>
      </c>
      <c r="J232" t="n">
        <v>190501.0999999998</v>
      </c>
      <c r="K232" t="n">
        <v>16087</v>
      </c>
      <c r="L232" t="n">
        <v>39820</v>
      </c>
      <c r="M232" t="n">
        <v>34403</v>
      </c>
      <c r="N232" t="n">
        <v>42776</v>
      </c>
      <c r="O232" t="n">
        <v>4389</v>
      </c>
      <c r="P232" t="n">
        <v>1279</v>
      </c>
    </row>
    <row r="233">
      <c r="A233" t="inlineStr">
        <is>
          <t>AS</t>
        </is>
      </c>
      <c r="B233" t="n">
        <v>2015</v>
      </c>
      <c r="C233" t="n">
        <v>9</v>
      </c>
      <c r="D233" t="n">
        <v>14271</v>
      </c>
      <c r="E233" t="n">
        <v>26</v>
      </c>
      <c r="F233" t="n">
        <v>13</v>
      </c>
      <c r="G233" t="n">
        <v>14232</v>
      </c>
      <c r="H233" t="n">
        <v>12665</v>
      </c>
      <c r="I233" t="n">
        <v>-25814</v>
      </c>
      <c r="J233" t="n">
        <v>183720.3999999998</v>
      </c>
      <c r="K233" t="n">
        <v>14232</v>
      </c>
      <c r="L233" t="n">
        <v>20161</v>
      </c>
      <c r="M233" t="n">
        <v>27776</v>
      </c>
      <c r="N233" t="n">
        <v>20190</v>
      </c>
      <c r="O233" t="n">
        <v>1853</v>
      </c>
      <c r="P233" t="n">
        <v>1182</v>
      </c>
    </row>
    <row r="234">
      <c r="A234" t="inlineStr">
        <is>
          <t>AS</t>
        </is>
      </c>
      <c r="B234" t="n">
        <v>2015</v>
      </c>
      <c r="C234" t="n">
        <v>10</v>
      </c>
      <c r="D234" t="n">
        <v>14467</v>
      </c>
      <c r="E234" t="n">
        <v>33</v>
      </c>
      <c r="F234" t="n">
        <v>20</v>
      </c>
      <c r="G234" t="n">
        <v>14414</v>
      </c>
      <c r="H234" t="n">
        <v>12766</v>
      </c>
      <c r="I234" t="n">
        <v>-43150</v>
      </c>
      <c r="J234" t="n">
        <v>210814.5999999997</v>
      </c>
      <c r="K234" t="n">
        <v>14444</v>
      </c>
      <c r="L234" t="n">
        <v>23334</v>
      </c>
      <c r="M234" t="n">
        <v>22453</v>
      </c>
      <c r="N234" t="n">
        <v>22752</v>
      </c>
      <c r="O234" t="n">
        <v>2559</v>
      </c>
      <c r="P234" t="n">
        <v>282</v>
      </c>
    </row>
    <row r="235">
      <c r="A235" t="inlineStr">
        <is>
          <t>AS</t>
        </is>
      </c>
      <c r="B235" t="n">
        <v>2015</v>
      </c>
      <c r="C235" t="n">
        <v>11</v>
      </c>
      <c r="D235" t="n">
        <v>13950</v>
      </c>
      <c r="E235" t="n">
        <v>46</v>
      </c>
      <c r="F235" t="n">
        <v>33</v>
      </c>
      <c r="G235" t="n">
        <v>13871</v>
      </c>
      <c r="H235" t="n">
        <v>11921</v>
      </c>
      <c r="I235" t="n">
        <v>-26584</v>
      </c>
      <c r="J235" t="n">
        <v>249575.8000000001</v>
      </c>
      <c r="K235" t="n">
        <v>13852</v>
      </c>
      <c r="L235" t="n">
        <v>33348</v>
      </c>
      <c r="M235" t="n">
        <v>27522</v>
      </c>
      <c r="N235" t="n">
        <v>30049</v>
      </c>
      <c r="O235" t="n">
        <v>3163</v>
      </c>
      <c r="P235" t="n">
        <v>359</v>
      </c>
    </row>
    <row r="236">
      <c r="A236" t="inlineStr">
        <is>
          <t>AS</t>
        </is>
      </c>
      <c r="B236" t="n">
        <v>2015</v>
      </c>
      <c r="C236" t="n">
        <v>12</v>
      </c>
      <c r="D236" t="n">
        <v>14459</v>
      </c>
      <c r="E236" t="n">
        <v>93</v>
      </c>
      <c r="F236" t="n">
        <v>56</v>
      </c>
      <c r="G236" t="n">
        <v>14310</v>
      </c>
      <c r="H236" t="n">
        <v>12328</v>
      </c>
      <c r="I236" t="n">
        <v>-26426</v>
      </c>
      <c r="J236" t="n">
        <v>273215.5999999993</v>
      </c>
      <c r="K236" t="n">
        <v>14454</v>
      </c>
      <c r="L236" t="n">
        <v>32333</v>
      </c>
      <c r="M236" t="n">
        <v>30024</v>
      </c>
      <c r="N236" t="n">
        <v>29277</v>
      </c>
      <c r="O236" t="n">
        <v>4157</v>
      </c>
      <c r="P236" t="n">
        <v>519</v>
      </c>
    </row>
    <row r="237">
      <c r="A237" t="inlineStr">
        <is>
          <t>AS</t>
        </is>
      </c>
      <c r="B237" t="n">
        <v>2016</v>
      </c>
      <c r="C237" t="n">
        <v>1</v>
      </c>
      <c r="D237" t="n">
        <v>14205</v>
      </c>
      <c r="E237" t="n">
        <v>139</v>
      </c>
      <c r="F237" t="n">
        <v>50</v>
      </c>
      <c r="G237" t="n">
        <v>14016</v>
      </c>
      <c r="H237" t="n">
        <v>12361</v>
      </c>
      <c r="I237" t="n">
        <v>-54982</v>
      </c>
      <c r="J237" t="n">
        <v>253960.3999999993</v>
      </c>
      <c r="K237" t="n">
        <v>14190</v>
      </c>
      <c r="L237" t="n">
        <v>28058</v>
      </c>
      <c r="M237" t="n">
        <v>23250</v>
      </c>
      <c r="N237" t="n">
        <v>26665</v>
      </c>
      <c r="O237" t="n">
        <v>4421</v>
      </c>
      <c r="P237" t="n">
        <v>286</v>
      </c>
    </row>
    <row r="238">
      <c r="A238" t="inlineStr">
        <is>
          <t>AS</t>
        </is>
      </c>
      <c r="B238" t="n">
        <v>2016</v>
      </c>
      <c r="C238" t="n">
        <v>2</v>
      </c>
      <c r="D238" t="n">
        <v>13399</v>
      </c>
      <c r="E238" t="n">
        <v>79</v>
      </c>
      <c r="F238" t="n">
        <v>64</v>
      </c>
      <c r="G238" t="n">
        <v>13256</v>
      </c>
      <c r="H238" t="n">
        <v>11963</v>
      </c>
      <c r="I238" t="n">
        <v>-77400</v>
      </c>
      <c r="J238" t="n">
        <v>227238.7999999995</v>
      </c>
      <c r="K238" t="n">
        <v>13379</v>
      </c>
      <c r="L238" t="n">
        <v>19712</v>
      </c>
      <c r="M238" t="n">
        <v>22221</v>
      </c>
      <c r="N238" t="n">
        <v>16977</v>
      </c>
      <c r="O238" t="n">
        <v>3002</v>
      </c>
      <c r="P238" t="n">
        <v>242</v>
      </c>
    </row>
    <row r="239">
      <c r="A239" t="inlineStr">
        <is>
          <t>AS</t>
        </is>
      </c>
      <c r="B239" t="n">
        <v>2016</v>
      </c>
      <c r="C239" t="n">
        <v>3</v>
      </c>
      <c r="D239" t="n">
        <v>14781</v>
      </c>
      <c r="E239" t="n">
        <v>108</v>
      </c>
      <c r="F239" t="n">
        <v>49</v>
      </c>
      <c r="G239" t="n">
        <v>14624</v>
      </c>
      <c r="H239" t="n">
        <v>12770</v>
      </c>
      <c r="I239" t="n">
        <v>-24088</v>
      </c>
      <c r="J239" t="n">
        <v>228973.1000000017</v>
      </c>
      <c r="K239" t="n">
        <v>14730</v>
      </c>
      <c r="L239" t="n">
        <v>30426</v>
      </c>
      <c r="M239" t="n">
        <v>25602</v>
      </c>
      <c r="N239" t="n">
        <v>29075</v>
      </c>
      <c r="O239" t="n">
        <v>1156</v>
      </c>
      <c r="P239" t="n">
        <v>591</v>
      </c>
    </row>
    <row r="240">
      <c r="A240" t="inlineStr">
        <is>
          <t>AS</t>
        </is>
      </c>
      <c r="B240" t="n">
        <v>2016</v>
      </c>
      <c r="C240" t="n">
        <v>4</v>
      </c>
      <c r="D240" t="n">
        <v>14662</v>
      </c>
      <c r="E240" t="n">
        <v>16</v>
      </c>
      <c r="F240" t="n">
        <v>18</v>
      </c>
      <c r="G240" t="n">
        <v>14628</v>
      </c>
      <c r="H240" t="n">
        <v>13108</v>
      </c>
      <c r="I240" t="n">
        <v>-48677</v>
      </c>
      <c r="J240" t="n">
        <v>207937.4000000008</v>
      </c>
      <c r="K240" t="n">
        <v>14658</v>
      </c>
      <c r="L240" t="n">
        <v>20760</v>
      </c>
      <c r="M240" t="n">
        <v>20535</v>
      </c>
      <c r="N240" t="n">
        <v>23698</v>
      </c>
      <c r="O240" t="n">
        <v>742</v>
      </c>
      <c r="P240" t="n">
        <v>313</v>
      </c>
    </row>
    <row r="241">
      <c r="A241" t="inlineStr">
        <is>
          <t>AS</t>
        </is>
      </c>
      <c r="B241" t="n">
        <v>2016</v>
      </c>
      <c r="C241" t="n">
        <v>5</v>
      </c>
      <c r="D241" t="n">
        <v>15385</v>
      </c>
      <c r="E241" t="n">
        <v>33</v>
      </c>
      <c r="F241" t="n">
        <v>31</v>
      </c>
      <c r="G241" t="n">
        <v>15321</v>
      </c>
      <c r="H241" t="n">
        <v>13888</v>
      </c>
      <c r="I241" t="n">
        <v>-64150</v>
      </c>
      <c r="J241" t="n">
        <v>211984.9000000005</v>
      </c>
      <c r="K241" t="n">
        <v>15375</v>
      </c>
      <c r="L241" t="n">
        <v>16817</v>
      </c>
      <c r="M241" t="n">
        <v>21270</v>
      </c>
      <c r="N241" t="n">
        <v>21388</v>
      </c>
      <c r="O241" t="n">
        <v>1065</v>
      </c>
      <c r="P241" t="n">
        <v>319</v>
      </c>
    </row>
    <row r="242">
      <c r="A242" t="inlineStr">
        <is>
          <t>AS</t>
        </is>
      </c>
      <c r="B242" t="n">
        <v>2016</v>
      </c>
      <c r="C242" t="n">
        <v>6</v>
      </c>
      <c r="D242" t="n">
        <v>15730</v>
      </c>
      <c r="E242" t="n">
        <v>35</v>
      </c>
      <c r="F242" t="n">
        <v>44</v>
      </c>
      <c r="G242" t="n">
        <v>15651</v>
      </c>
      <c r="H242" t="n">
        <v>13593</v>
      </c>
      <c r="I242" t="n">
        <v>-3873</v>
      </c>
      <c r="J242" t="n">
        <v>200022.7999999999</v>
      </c>
      <c r="K242" t="n">
        <v>15709</v>
      </c>
      <c r="L242" t="n">
        <v>31528</v>
      </c>
      <c r="M242" t="n">
        <v>26726</v>
      </c>
      <c r="N242" t="n">
        <v>33134</v>
      </c>
      <c r="O242" t="n">
        <v>2749</v>
      </c>
      <c r="P242" t="n">
        <v>503</v>
      </c>
    </row>
    <row r="243">
      <c r="A243" t="inlineStr">
        <is>
          <t>AS</t>
        </is>
      </c>
      <c r="B243" t="n">
        <v>2016</v>
      </c>
      <c r="C243" t="n">
        <v>7</v>
      </c>
      <c r="D243" t="n">
        <v>16256</v>
      </c>
      <c r="E243" t="n">
        <v>20</v>
      </c>
      <c r="F243" t="n">
        <v>23</v>
      </c>
      <c r="G243" t="n">
        <v>16213</v>
      </c>
      <c r="H243" t="n">
        <v>14538</v>
      </c>
      <c r="I243" t="n">
        <v>-40003</v>
      </c>
      <c r="J243" t="n">
        <v>207807.5999999998</v>
      </c>
      <c r="K243" t="n">
        <v>16246</v>
      </c>
      <c r="L243" t="n">
        <v>20013</v>
      </c>
      <c r="M243" t="n">
        <v>26125</v>
      </c>
      <c r="N243" t="n">
        <v>27872</v>
      </c>
      <c r="O243" t="n">
        <v>1870</v>
      </c>
      <c r="P243" t="n">
        <v>630</v>
      </c>
    </row>
    <row r="244">
      <c r="A244" t="inlineStr">
        <is>
          <t>AS</t>
        </is>
      </c>
      <c r="B244" t="n">
        <v>2016</v>
      </c>
      <c r="C244" t="n">
        <v>8</v>
      </c>
      <c r="D244" t="n">
        <v>16455</v>
      </c>
      <c r="E244" t="n">
        <v>25</v>
      </c>
      <c r="F244" t="n">
        <v>32</v>
      </c>
      <c r="G244" t="n">
        <v>16398</v>
      </c>
      <c r="H244" t="n">
        <v>14444</v>
      </c>
      <c r="I244" t="n">
        <v>-20143</v>
      </c>
      <c r="J244" t="n">
        <v>209369.4999999999</v>
      </c>
      <c r="K244" t="n">
        <v>16443</v>
      </c>
      <c r="L244" t="n">
        <v>26333</v>
      </c>
      <c r="M244" t="n">
        <v>26058</v>
      </c>
      <c r="N244" t="n">
        <v>32388</v>
      </c>
      <c r="O244" t="n">
        <v>2774</v>
      </c>
      <c r="P244" t="n">
        <v>763</v>
      </c>
    </row>
    <row r="245">
      <c r="A245" t="inlineStr">
        <is>
          <t>AS</t>
        </is>
      </c>
      <c r="B245" t="n">
        <v>2016</v>
      </c>
      <c r="C245" t="n">
        <v>9</v>
      </c>
      <c r="D245" t="n">
        <v>13858</v>
      </c>
      <c r="E245" t="n">
        <v>34</v>
      </c>
      <c r="F245" t="n">
        <v>22</v>
      </c>
      <c r="G245" t="n">
        <v>13802</v>
      </c>
      <c r="H245" t="n">
        <v>12507</v>
      </c>
      <c r="I245" t="n">
        <v>-41391</v>
      </c>
      <c r="J245" t="n">
        <v>178331.8000000006</v>
      </c>
      <c r="K245" t="n">
        <v>13811</v>
      </c>
      <c r="L245" t="n">
        <v>15310</v>
      </c>
      <c r="M245" t="n">
        <v>19172</v>
      </c>
      <c r="N245" t="n">
        <v>21086</v>
      </c>
      <c r="O245" t="n">
        <v>1201</v>
      </c>
      <c r="P245" t="n">
        <v>327</v>
      </c>
    </row>
    <row r="246">
      <c r="A246" t="inlineStr">
        <is>
          <t>AS</t>
        </is>
      </c>
      <c r="B246" t="n">
        <v>2016</v>
      </c>
      <c r="C246" t="n">
        <v>10</v>
      </c>
      <c r="D246" t="n">
        <v>14088</v>
      </c>
      <c r="E246" t="n">
        <v>84</v>
      </c>
      <c r="F246" t="n">
        <v>29</v>
      </c>
      <c r="G246" t="n">
        <v>13975</v>
      </c>
      <c r="H246" t="n">
        <v>12332</v>
      </c>
      <c r="I246" t="n">
        <v>-29528</v>
      </c>
      <c r="J246" t="n">
        <v>203901.8000000003</v>
      </c>
      <c r="K246" t="n">
        <v>14064</v>
      </c>
      <c r="L246" t="n">
        <v>26009</v>
      </c>
      <c r="M246" t="n">
        <v>18372</v>
      </c>
      <c r="N246" t="n">
        <v>31776</v>
      </c>
      <c r="O246" t="n">
        <v>2276</v>
      </c>
      <c r="P246" t="n">
        <v>129</v>
      </c>
    </row>
    <row r="247">
      <c r="A247" t="inlineStr">
        <is>
          <t>AS</t>
        </is>
      </c>
      <c r="B247" t="n">
        <v>2016</v>
      </c>
      <c r="C247" t="n">
        <v>11</v>
      </c>
      <c r="D247" t="n">
        <v>13946</v>
      </c>
      <c r="E247" t="n">
        <v>10</v>
      </c>
      <c r="F247" t="n">
        <v>19</v>
      </c>
      <c r="G247" t="n">
        <v>13917</v>
      </c>
      <c r="H247" t="n">
        <v>12265</v>
      </c>
      <c r="I247" t="n">
        <v>-60544</v>
      </c>
      <c r="J247" t="n">
        <v>224823.0999999999</v>
      </c>
      <c r="K247" t="n">
        <v>13920</v>
      </c>
      <c r="L247" t="n">
        <v>20798</v>
      </c>
      <c r="M247" t="n">
        <v>23433</v>
      </c>
      <c r="N247" t="n">
        <v>23838</v>
      </c>
      <c r="O247" t="n">
        <v>1347</v>
      </c>
      <c r="P247" t="n">
        <v>294</v>
      </c>
    </row>
    <row r="248">
      <c r="A248" t="inlineStr">
        <is>
          <t>AS</t>
        </is>
      </c>
      <c r="B248" t="n">
        <v>2016</v>
      </c>
      <c r="C248" t="n">
        <v>12</v>
      </c>
      <c r="D248" t="n">
        <v>14515</v>
      </c>
      <c r="E248" t="n">
        <v>232</v>
      </c>
      <c r="F248" t="n">
        <v>71</v>
      </c>
      <c r="G248" t="n">
        <v>14212</v>
      </c>
      <c r="H248" t="n">
        <v>11048</v>
      </c>
      <c r="I248" t="n">
        <v>77968</v>
      </c>
      <c r="J248" t="n">
        <v>254185.0999999996</v>
      </c>
      <c r="K248" t="n">
        <v>14465</v>
      </c>
      <c r="L248" t="n">
        <v>64354</v>
      </c>
      <c r="M248" t="n">
        <v>40043</v>
      </c>
      <c r="N248" t="n">
        <v>57631</v>
      </c>
      <c r="O248" t="n">
        <v>10625</v>
      </c>
      <c r="P248" t="n">
        <v>546</v>
      </c>
    </row>
    <row r="249">
      <c r="A249" t="inlineStr">
        <is>
          <t>AS</t>
        </is>
      </c>
      <c r="B249" t="n">
        <v>2017</v>
      </c>
      <c r="C249" t="n">
        <v>1</v>
      </c>
      <c r="D249" t="n">
        <v>14711</v>
      </c>
      <c r="E249" t="n">
        <v>257</v>
      </c>
      <c r="F249" t="n">
        <v>68</v>
      </c>
      <c r="G249" t="n">
        <v>14386</v>
      </c>
      <c r="H249" t="n">
        <v>11422</v>
      </c>
      <c r="I249" t="n">
        <v>47640</v>
      </c>
      <c r="J249" t="n">
        <v>252971.5999999999</v>
      </c>
      <c r="K249" t="n">
        <v>14674</v>
      </c>
      <c r="L249" t="n">
        <v>56879</v>
      </c>
      <c r="M249" t="n">
        <v>34787</v>
      </c>
      <c r="N249" t="n">
        <v>55175</v>
      </c>
      <c r="O249" t="n">
        <v>11325</v>
      </c>
      <c r="P249" t="n">
        <v>501</v>
      </c>
    </row>
    <row r="250">
      <c r="A250" t="inlineStr">
        <is>
          <t>AS</t>
        </is>
      </c>
      <c r="B250" t="n">
        <v>2017</v>
      </c>
      <c r="C250" t="n">
        <v>2</v>
      </c>
      <c r="D250" t="n">
        <v>13346</v>
      </c>
      <c r="E250" t="n">
        <v>294</v>
      </c>
      <c r="F250" t="n">
        <v>58</v>
      </c>
      <c r="G250" t="n">
        <v>12994</v>
      </c>
      <c r="H250" t="n">
        <v>10350</v>
      </c>
      <c r="I250" t="n">
        <v>52976</v>
      </c>
      <c r="J250" t="n">
        <v>222694.8999999994</v>
      </c>
      <c r="K250" t="n">
        <v>13324</v>
      </c>
      <c r="L250" t="n">
        <v>49254</v>
      </c>
      <c r="M250" t="n">
        <v>38468</v>
      </c>
      <c r="N250" t="n">
        <v>54722</v>
      </c>
      <c r="O250" t="n">
        <v>8810</v>
      </c>
      <c r="P250" t="n">
        <v>250</v>
      </c>
    </row>
    <row r="251">
      <c r="A251" t="inlineStr">
        <is>
          <t>AS</t>
        </is>
      </c>
      <c r="B251" t="n">
        <v>2017</v>
      </c>
      <c r="C251" t="n">
        <v>3</v>
      </c>
      <c r="D251" t="n">
        <v>15422</v>
      </c>
      <c r="E251" t="n">
        <v>98</v>
      </c>
      <c r="F251" t="n">
        <v>49</v>
      </c>
      <c r="G251" t="n">
        <v>15275</v>
      </c>
      <c r="H251" t="n">
        <v>12300</v>
      </c>
      <c r="I251" t="n">
        <v>51470</v>
      </c>
      <c r="J251" t="n">
        <v>246847.7000000007</v>
      </c>
      <c r="K251" t="n">
        <v>15366</v>
      </c>
      <c r="L251" t="n">
        <v>48255</v>
      </c>
      <c r="M251" t="n">
        <v>36457</v>
      </c>
      <c r="N251" t="n">
        <v>47900</v>
      </c>
      <c r="O251" t="n">
        <v>2873</v>
      </c>
      <c r="P251" t="n">
        <v>765</v>
      </c>
    </row>
    <row r="252">
      <c r="A252" t="inlineStr">
        <is>
          <t>AS</t>
        </is>
      </c>
      <c r="B252" t="n">
        <v>2017</v>
      </c>
      <c r="C252" t="n">
        <v>4</v>
      </c>
      <c r="D252" t="n">
        <v>15261</v>
      </c>
      <c r="E252" t="n">
        <v>62</v>
      </c>
      <c r="F252" t="n">
        <v>40</v>
      </c>
      <c r="G252" t="n">
        <v>15159</v>
      </c>
      <c r="H252" t="n">
        <v>12453</v>
      </c>
      <c r="I252" t="n">
        <v>32187</v>
      </c>
      <c r="J252" t="n">
        <v>228415.0000000011</v>
      </c>
      <c r="K252" t="n">
        <v>15239</v>
      </c>
      <c r="L252" t="n">
        <v>42994</v>
      </c>
      <c r="M252" t="n">
        <v>31662</v>
      </c>
      <c r="N252" t="n">
        <v>47828</v>
      </c>
      <c r="O252" t="n">
        <v>2234</v>
      </c>
      <c r="P252" t="n">
        <v>344</v>
      </c>
    </row>
    <row r="253">
      <c r="A253" t="inlineStr">
        <is>
          <t>AS</t>
        </is>
      </c>
      <c r="B253" t="n">
        <v>2017</v>
      </c>
      <c r="C253" t="n">
        <v>5</v>
      </c>
      <c r="D253" t="n">
        <v>16108</v>
      </c>
      <c r="E253" t="n">
        <v>82</v>
      </c>
      <c r="F253" t="n">
        <v>36</v>
      </c>
      <c r="G253" t="n">
        <v>15990</v>
      </c>
      <c r="H253" t="n">
        <v>13305</v>
      </c>
      <c r="I253" t="n">
        <v>20073</v>
      </c>
      <c r="J253" t="n">
        <v>231961.0000000008</v>
      </c>
      <c r="K253" t="n">
        <v>16077</v>
      </c>
      <c r="L253" t="n">
        <v>35833</v>
      </c>
      <c r="M253" t="n">
        <v>31583</v>
      </c>
      <c r="N253" t="n">
        <v>49693</v>
      </c>
      <c r="O253" t="n">
        <v>3794</v>
      </c>
      <c r="P253" t="n">
        <v>404</v>
      </c>
    </row>
    <row r="254">
      <c r="A254" t="inlineStr">
        <is>
          <t>AS</t>
        </is>
      </c>
      <c r="B254" t="n">
        <v>2017</v>
      </c>
      <c r="C254" t="n">
        <v>6</v>
      </c>
      <c r="D254" t="n">
        <v>16378</v>
      </c>
      <c r="E254" t="n">
        <v>91</v>
      </c>
      <c r="F254" t="n">
        <v>35</v>
      </c>
      <c r="G254" t="n">
        <v>16252</v>
      </c>
      <c r="H254" t="n">
        <v>13581</v>
      </c>
      <c r="I254" t="n">
        <v>20413</v>
      </c>
      <c r="J254" t="n">
        <v>247433.7999999998</v>
      </c>
      <c r="K254" t="n">
        <v>16349</v>
      </c>
      <c r="L254" t="n">
        <v>40426</v>
      </c>
      <c r="M254" t="n">
        <v>34700</v>
      </c>
      <c r="N254" t="n">
        <v>46996</v>
      </c>
      <c r="O254" t="n">
        <v>2337</v>
      </c>
      <c r="P254" t="n">
        <v>586</v>
      </c>
    </row>
    <row r="255">
      <c r="A255" t="inlineStr">
        <is>
          <t>AS</t>
        </is>
      </c>
      <c r="B255" t="n">
        <v>2017</v>
      </c>
      <c r="C255" t="n">
        <v>7</v>
      </c>
      <c r="D255" t="n">
        <v>17026</v>
      </c>
      <c r="E255" t="n">
        <v>69</v>
      </c>
      <c r="F255" t="n">
        <v>38</v>
      </c>
      <c r="G255" t="n">
        <v>16919</v>
      </c>
      <c r="H255" t="n">
        <v>14597</v>
      </c>
      <c r="I255" t="n">
        <v>-18777</v>
      </c>
      <c r="J255" t="n">
        <v>260035.5999999997</v>
      </c>
      <c r="K255" t="n">
        <v>17007</v>
      </c>
      <c r="L255" t="n">
        <v>32884</v>
      </c>
      <c r="M255" t="n">
        <v>35517</v>
      </c>
      <c r="N255" t="n">
        <v>32538</v>
      </c>
      <c r="O255" t="n">
        <v>4004</v>
      </c>
      <c r="P255" t="n">
        <v>805</v>
      </c>
    </row>
    <row r="256">
      <c r="A256" t="inlineStr">
        <is>
          <t>AS</t>
        </is>
      </c>
      <c r="B256" t="n">
        <v>2017</v>
      </c>
      <c r="C256" t="n">
        <v>8</v>
      </c>
      <c r="D256" t="n">
        <v>16784</v>
      </c>
      <c r="E256" t="n">
        <v>109</v>
      </c>
      <c r="F256" t="n">
        <v>41</v>
      </c>
      <c r="G256" t="n">
        <v>16634</v>
      </c>
      <c r="H256" t="n">
        <v>13902</v>
      </c>
      <c r="I256" t="n">
        <v>15221</v>
      </c>
      <c r="J256" t="n">
        <v>253238.9999999997</v>
      </c>
      <c r="K256" t="n">
        <v>16729</v>
      </c>
      <c r="L256" t="n">
        <v>38640</v>
      </c>
      <c r="M256" t="n">
        <v>32365</v>
      </c>
      <c r="N256" t="n">
        <v>46940</v>
      </c>
      <c r="O256" t="n">
        <v>2437</v>
      </c>
      <c r="P256" t="n">
        <v>1171</v>
      </c>
    </row>
    <row r="257">
      <c r="A257" t="inlineStr">
        <is>
          <t>AS</t>
        </is>
      </c>
      <c r="B257" t="n">
        <v>2017</v>
      </c>
      <c r="C257" t="n">
        <v>9</v>
      </c>
      <c r="D257" t="n">
        <v>14934</v>
      </c>
      <c r="E257" t="n">
        <v>109</v>
      </c>
      <c r="F257" t="n">
        <v>29</v>
      </c>
      <c r="G257" t="n">
        <v>14796</v>
      </c>
      <c r="H257" t="n">
        <v>12901</v>
      </c>
      <c r="I257" t="n">
        <v>-38551</v>
      </c>
      <c r="J257" t="n">
        <v>231910.9000000007</v>
      </c>
      <c r="K257" t="n">
        <v>14889</v>
      </c>
      <c r="L257" t="n">
        <v>21852</v>
      </c>
      <c r="M257" t="n">
        <v>27267</v>
      </c>
      <c r="N257" t="n">
        <v>29208</v>
      </c>
      <c r="O257" t="n">
        <v>1977</v>
      </c>
      <c r="P257" t="n">
        <v>220</v>
      </c>
    </row>
    <row r="258">
      <c r="A258" t="inlineStr">
        <is>
          <t>AS</t>
        </is>
      </c>
      <c r="B258" t="n">
        <v>2017</v>
      </c>
      <c r="C258" t="n">
        <v>10</v>
      </c>
      <c r="D258" t="n">
        <v>15076</v>
      </c>
      <c r="E258" t="n">
        <v>77</v>
      </c>
      <c r="F258" t="n">
        <v>44</v>
      </c>
      <c r="G258" t="n">
        <v>14955</v>
      </c>
      <c r="H258" t="n">
        <v>12965</v>
      </c>
      <c r="I258" t="n">
        <v>-31789</v>
      </c>
      <c r="J258" t="n">
        <v>258197.7000000012</v>
      </c>
      <c r="K258" t="n">
        <v>15066</v>
      </c>
      <c r="L258" t="n">
        <v>30302</v>
      </c>
      <c r="M258" t="n">
        <v>27931</v>
      </c>
      <c r="N258" t="n">
        <v>33648</v>
      </c>
      <c r="O258" t="n">
        <v>1035</v>
      </c>
      <c r="P258" t="n">
        <v>454</v>
      </c>
    </row>
    <row r="259">
      <c r="A259" t="inlineStr">
        <is>
          <t>AS</t>
        </is>
      </c>
      <c r="B259" t="n">
        <v>2017</v>
      </c>
      <c r="C259" t="n">
        <v>11</v>
      </c>
      <c r="D259" t="n">
        <v>14638</v>
      </c>
      <c r="E259" t="n">
        <v>135</v>
      </c>
      <c r="F259" t="n">
        <v>27</v>
      </c>
      <c r="G259" t="n">
        <v>14476</v>
      </c>
      <c r="H259" t="n">
        <v>12177</v>
      </c>
      <c r="I259" t="n">
        <v>2808</v>
      </c>
      <c r="J259" t="n">
        <v>281040.4</v>
      </c>
      <c r="K259" t="n">
        <v>14577</v>
      </c>
      <c r="L259" t="n">
        <v>43171</v>
      </c>
      <c r="M259" t="n">
        <v>30063</v>
      </c>
      <c r="N259" t="n">
        <v>42777</v>
      </c>
      <c r="O259" t="n">
        <v>9555</v>
      </c>
      <c r="P259" t="n">
        <v>1003</v>
      </c>
    </row>
    <row r="260">
      <c r="A260" t="inlineStr">
        <is>
          <t>AS</t>
        </is>
      </c>
      <c r="B260" t="n">
        <v>2017</v>
      </c>
      <c r="C260" t="n">
        <v>12</v>
      </c>
      <c r="D260" t="n">
        <v>15383</v>
      </c>
      <c r="E260" t="n">
        <v>125</v>
      </c>
      <c r="F260" t="n">
        <v>38</v>
      </c>
      <c r="G260" t="n">
        <v>15220</v>
      </c>
      <c r="H260" t="n">
        <v>12827</v>
      </c>
      <c r="I260" t="n">
        <v>-38220</v>
      </c>
      <c r="J260" t="n">
        <v>339179.8000000003</v>
      </c>
      <c r="K260" t="n">
        <v>15331</v>
      </c>
      <c r="L260" t="n">
        <v>36668</v>
      </c>
      <c r="M260" t="n">
        <v>32269</v>
      </c>
      <c r="N260" t="n">
        <v>34206</v>
      </c>
      <c r="O260" t="n">
        <v>4651</v>
      </c>
      <c r="P260" t="n">
        <v>1162</v>
      </c>
    </row>
    <row r="261">
      <c r="A261" t="inlineStr">
        <is>
          <t>AS</t>
        </is>
      </c>
      <c r="B261" t="n">
        <v>2018</v>
      </c>
      <c r="C261" t="n">
        <v>1</v>
      </c>
      <c r="D261" t="n">
        <v>15312</v>
      </c>
      <c r="E261" t="n">
        <v>142</v>
      </c>
      <c r="F261" t="n">
        <v>46</v>
      </c>
      <c r="G261" t="n">
        <v>15124</v>
      </c>
      <c r="H261" t="n">
        <v>13609</v>
      </c>
      <c r="I261" t="n">
        <v>-105737</v>
      </c>
      <c r="J261" t="n">
        <v>316355.2000000003</v>
      </c>
      <c r="K261" t="n">
        <v>15285</v>
      </c>
      <c r="L261" t="n">
        <v>20948</v>
      </c>
      <c r="M261" t="n">
        <v>20492</v>
      </c>
      <c r="N261" t="n">
        <v>26158</v>
      </c>
      <c r="O261" t="n">
        <v>1888</v>
      </c>
      <c r="P261" t="n">
        <v>331</v>
      </c>
    </row>
    <row r="262">
      <c r="A262" t="inlineStr">
        <is>
          <t>AS</t>
        </is>
      </c>
      <c r="B262" t="n">
        <v>2018</v>
      </c>
      <c r="C262" t="n">
        <v>2</v>
      </c>
      <c r="D262" t="n">
        <v>14056</v>
      </c>
      <c r="E262" t="n">
        <v>89</v>
      </c>
      <c r="F262" t="n">
        <v>26</v>
      </c>
      <c r="G262" t="n">
        <v>13941</v>
      </c>
      <c r="H262" t="n">
        <v>11986</v>
      </c>
      <c r="I262" t="n">
        <v>-58730</v>
      </c>
      <c r="J262" t="n">
        <v>282123.6999999995</v>
      </c>
      <c r="K262" t="n">
        <v>14038</v>
      </c>
      <c r="L262" t="n">
        <v>21375</v>
      </c>
      <c r="M262" t="n">
        <v>25160</v>
      </c>
      <c r="N262" t="n">
        <v>32926</v>
      </c>
      <c r="O262" t="n">
        <v>3565</v>
      </c>
      <c r="P262" t="n">
        <v>411</v>
      </c>
    </row>
    <row r="263">
      <c r="A263" t="inlineStr">
        <is>
          <t>AS</t>
        </is>
      </c>
      <c r="B263" t="n">
        <v>2018</v>
      </c>
      <c r="C263" t="n">
        <v>3</v>
      </c>
      <c r="D263" t="n">
        <v>15937</v>
      </c>
      <c r="E263" t="n">
        <v>132</v>
      </c>
      <c r="F263" t="n">
        <v>26</v>
      </c>
      <c r="G263" t="n">
        <v>15779</v>
      </c>
      <c r="H263" t="n">
        <v>13829</v>
      </c>
      <c r="I263" t="n">
        <v>-69006</v>
      </c>
      <c r="J263" t="n">
        <v>307151.6000000007</v>
      </c>
      <c r="K263" t="n">
        <v>15856</v>
      </c>
      <c r="L263" t="n">
        <v>22416</v>
      </c>
      <c r="M263" t="n">
        <v>21423</v>
      </c>
      <c r="N263" t="n">
        <v>31054</v>
      </c>
      <c r="O263" t="n">
        <v>3186</v>
      </c>
      <c r="P263" t="n">
        <v>603</v>
      </c>
    </row>
    <row r="264">
      <c r="A264" t="inlineStr">
        <is>
          <t>AS</t>
        </is>
      </c>
      <c r="B264" t="n">
        <v>2018</v>
      </c>
      <c r="C264" t="n">
        <v>4</v>
      </c>
      <c r="D264" t="n">
        <v>21987</v>
      </c>
      <c r="E264" t="n">
        <v>127</v>
      </c>
      <c r="F264" t="n">
        <v>55</v>
      </c>
      <c r="G264" t="n">
        <v>21805</v>
      </c>
      <c r="H264" t="n">
        <v>18339</v>
      </c>
      <c r="I264" t="n">
        <v>-11743</v>
      </c>
      <c r="J264" t="n">
        <v>429962.7999999991</v>
      </c>
      <c r="K264" t="n">
        <v>21980</v>
      </c>
      <c r="L264" t="n">
        <v>47168</v>
      </c>
      <c r="M264" t="n">
        <v>47859</v>
      </c>
      <c r="N264" t="n">
        <v>66009</v>
      </c>
      <c r="O264" t="n">
        <v>1719</v>
      </c>
      <c r="P264" t="n">
        <v>727</v>
      </c>
    </row>
    <row r="265">
      <c r="A265" t="inlineStr">
        <is>
          <t>AS</t>
        </is>
      </c>
      <c r="B265" t="n">
        <v>2018</v>
      </c>
      <c r="C265" t="n">
        <v>5</v>
      </c>
      <c r="D265" t="n">
        <v>22974</v>
      </c>
      <c r="E265" t="n">
        <v>149</v>
      </c>
      <c r="F265" t="n">
        <v>59</v>
      </c>
      <c r="G265" t="n">
        <v>22766</v>
      </c>
      <c r="H265" t="n">
        <v>18791</v>
      </c>
      <c r="I265" t="n">
        <v>38814</v>
      </c>
      <c r="J265" t="n">
        <v>402063.6999999988</v>
      </c>
      <c r="K265" t="n">
        <v>22850</v>
      </c>
      <c r="L265" t="n">
        <v>47843</v>
      </c>
      <c r="M265" t="n">
        <v>51145</v>
      </c>
      <c r="N265" t="n">
        <v>83762</v>
      </c>
      <c r="O265" t="n">
        <v>3639</v>
      </c>
      <c r="P265" t="n">
        <v>527</v>
      </c>
    </row>
    <row r="266">
      <c r="A266" t="inlineStr">
        <is>
          <t>AS</t>
        </is>
      </c>
      <c r="B266" t="n">
        <v>2018</v>
      </c>
      <c r="C266" t="n">
        <v>6</v>
      </c>
      <c r="D266" t="n">
        <v>23248</v>
      </c>
      <c r="E266" t="n">
        <v>209</v>
      </c>
      <c r="F266" t="n">
        <v>36</v>
      </c>
      <c r="G266" t="n">
        <v>23003</v>
      </c>
      <c r="H266" t="n">
        <v>19164</v>
      </c>
      <c r="I266" t="n">
        <v>-2181</v>
      </c>
      <c r="J266" t="n">
        <v>439883.1000000001</v>
      </c>
      <c r="K266" t="n">
        <v>23238</v>
      </c>
      <c r="L266" t="n">
        <v>44859</v>
      </c>
      <c r="M266" t="n">
        <v>54618</v>
      </c>
      <c r="N266" t="n">
        <v>67682</v>
      </c>
      <c r="O266" t="n">
        <v>3091</v>
      </c>
      <c r="P266" t="n">
        <v>803</v>
      </c>
    </row>
    <row r="267">
      <c r="A267" t="inlineStr">
        <is>
          <t>AS</t>
        </is>
      </c>
      <c r="B267" t="n">
        <v>2018</v>
      </c>
      <c r="C267" t="n">
        <v>7</v>
      </c>
      <c r="D267" t="n">
        <v>24329</v>
      </c>
      <c r="E267" t="n">
        <v>202</v>
      </c>
      <c r="F267" t="n">
        <v>49</v>
      </c>
      <c r="G267" t="n">
        <v>24078</v>
      </c>
      <c r="H267" t="n">
        <v>20169</v>
      </c>
      <c r="I267" t="n">
        <v>901</v>
      </c>
      <c r="J267" t="n">
        <v>458387.2999999998</v>
      </c>
      <c r="K267" t="n">
        <v>24316</v>
      </c>
      <c r="L267" t="n">
        <v>54129</v>
      </c>
      <c r="M267" t="n">
        <v>66545</v>
      </c>
      <c r="N267" t="n">
        <v>69936</v>
      </c>
      <c r="O267" t="n">
        <v>3460</v>
      </c>
      <c r="P267" t="n">
        <v>730</v>
      </c>
    </row>
    <row r="268">
      <c r="A268" t="inlineStr">
        <is>
          <t>AS</t>
        </is>
      </c>
      <c r="B268" t="n">
        <v>2018</v>
      </c>
      <c r="C268" t="n">
        <v>8</v>
      </c>
      <c r="D268" t="n">
        <v>23706</v>
      </c>
      <c r="E268" t="n">
        <v>306</v>
      </c>
      <c r="F268" t="n">
        <v>70</v>
      </c>
      <c r="G268" t="n">
        <v>23330</v>
      </c>
      <c r="H268" t="n">
        <v>17776</v>
      </c>
      <c r="I268" t="n">
        <v>154664</v>
      </c>
      <c r="J268" t="n">
        <v>443551.699999999</v>
      </c>
      <c r="K268" t="n">
        <v>23669</v>
      </c>
      <c r="L268" t="n">
        <v>84827</v>
      </c>
      <c r="M268" t="n">
        <v>81045</v>
      </c>
      <c r="N268" t="n">
        <v>126387</v>
      </c>
      <c r="O268" t="n">
        <v>6005</v>
      </c>
      <c r="P268" t="n">
        <v>1032</v>
      </c>
    </row>
    <row r="269">
      <c r="A269" t="inlineStr">
        <is>
          <t>AS</t>
        </is>
      </c>
      <c r="B269" t="n">
        <v>2018</v>
      </c>
      <c r="C269" t="n">
        <v>9</v>
      </c>
      <c r="D269" t="n">
        <v>21129</v>
      </c>
      <c r="E269" t="n">
        <v>168</v>
      </c>
      <c r="F269" t="n">
        <v>26</v>
      </c>
      <c r="G269" t="n">
        <v>20935</v>
      </c>
      <c r="H269" t="n">
        <v>18004</v>
      </c>
      <c r="I269" t="n">
        <v>-62468</v>
      </c>
      <c r="J269" t="n">
        <v>420246.5999999975</v>
      </c>
      <c r="K269" t="n">
        <v>21102</v>
      </c>
      <c r="L269" t="n">
        <v>32800</v>
      </c>
      <c r="M269" t="n">
        <v>38276</v>
      </c>
      <c r="N269" t="n">
        <v>58968</v>
      </c>
      <c r="O269" t="n">
        <v>1942</v>
      </c>
      <c r="P269" t="n">
        <v>500</v>
      </c>
    </row>
    <row r="270">
      <c r="A270" t="inlineStr">
        <is>
          <t>AS</t>
        </is>
      </c>
      <c r="B270" t="n">
        <v>2018</v>
      </c>
      <c r="C270" t="n">
        <v>10</v>
      </c>
      <c r="D270" t="n">
        <v>21634</v>
      </c>
      <c r="E270" t="n">
        <v>180</v>
      </c>
      <c r="F270" t="n">
        <v>58</v>
      </c>
      <c r="G270" t="n">
        <v>21396</v>
      </c>
      <c r="H270" t="n">
        <v>17307</v>
      </c>
      <c r="I270" t="n">
        <v>21225</v>
      </c>
      <c r="J270" t="n">
        <v>469174.2999999998</v>
      </c>
      <c r="K270" t="n">
        <v>21621</v>
      </c>
      <c r="L270" t="n">
        <v>61749</v>
      </c>
      <c r="M270" t="n">
        <v>48995</v>
      </c>
      <c r="N270" t="n">
        <v>77698</v>
      </c>
      <c r="O270" t="n">
        <v>4436</v>
      </c>
      <c r="P270" t="n">
        <v>546</v>
      </c>
    </row>
    <row r="271">
      <c r="A271" t="inlineStr">
        <is>
          <t>AS</t>
        </is>
      </c>
      <c r="B271" t="n">
        <v>2018</v>
      </c>
      <c r="C271" t="n">
        <v>11</v>
      </c>
      <c r="D271" t="n">
        <v>20577</v>
      </c>
      <c r="E271" t="n">
        <v>300</v>
      </c>
      <c r="F271" t="n">
        <v>75</v>
      </c>
      <c r="G271" t="n">
        <v>20202</v>
      </c>
      <c r="H271" t="n">
        <v>16635</v>
      </c>
      <c r="I271" t="n">
        <v>15845</v>
      </c>
      <c r="J271" t="n">
        <v>490064.2999999969</v>
      </c>
      <c r="K271" t="n">
        <v>20507</v>
      </c>
      <c r="L271" t="n">
        <v>72030</v>
      </c>
      <c r="M271" t="n">
        <v>41932</v>
      </c>
      <c r="N271" t="n">
        <v>76111</v>
      </c>
      <c r="O271" t="n">
        <v>12304</v>
      </c>
      <c r="P271" t="n">
        <v>619</v>
      </c>
    </row>
    <row r="272">
      <c r="A272" t="inlineStr">
        <is>
          <t>AS</t>
        </is>
      </c>
      <c r="B272" t="n">
        <v>2018</v>
      </c>
      <c r="C272" t="n">
        <v>12</v>
      </c>
      <c r="D272" t="n">
        <v>20872</v>
      </c>
      <c r="E272" t="n">
        <v>203</v>
      </c>
      <c r="F272" t="n">
        <v>49</v>
      </c>
      <c r="G272" t="n">
        <v>20620</v>
      </c>
      <c r="H272" t="n">
        <v>17098</v>
      </c>
      <c r="I272" t="n">
        <v>-43453</v>
      </c>
      <c r="J272" t="n">
        <v>501687.6999999992</v>
      </c>
      <c r="K272" t="n">
        <v>20746</v>
      </c>
      <c r="L272" t="n">
        <v>50807</v>
      </c>
      <c r="M272" t="n">
        <v>42337</v>
      </c>
      <c r="N272" t="n">
        <v>69049</v>
      </c>
      <c r="O272" t="n">
        <v>2934</v>
      </c>
      <c r="P272" t="n">
        <v>554</v>
      </c>
    </row>
    <row r="273">
      <c r="A273" t="inlineStr">
        <is>
          <t>AS</t>
        </is>
      </c>
      <c r="B273" t="n">
        <v>2019</v>
      </c>
      <c r="C273" t="n">
        <v>1</v>
      </c>
      <c r="D273" t="n">
        <v>20744</v>
      </c>
      <c r="E273" t="n">
        <v>429</v>
      </c>
      <c r="F273" t="n">
        <v>111</v>
      </c>
      <c r="G273" t="n">
        <v>20204</v>
      </c>
      <c r="H273" t="n">
        <v>16698</v>
      </c>
      <c r="I273" t="n">
        <v>8191</v>
      </c>
      <c r="J273" t="n">
        <v>449787.6000000006</v>
      </c>
      <c r="K273" t="n">
        <v>20679</v>
      </c>
      <c r="L273" t="n">
        <v>65762</v>
      </c>
      <c r="M273" t="n">
        <v>46970</v>
      </c>
      <c r="N273" t="n">
        <v>78333</v>
      </c>
      <c r="O273" t="n">
        <v>6487</v>
      </c>
      <c r="P273" t="n">
        <v>277</v>
      </c>
    </row>
    <row r="274">
      <c r="A274" t="inlineStr">
        <is>
          <t>AS</t>
        </is>
      </c>
      <c r="B274" t="n">
        <v>2019</v>
      </c>
      <c r="C274" t="n">
        <v>2</v>
      </c>
      <c r="D274" t="n">
        <v>19028</v>
      </c>
      <c r="E274" t="n">
        <v>874</v>
      </c>
      <c r="F274" t="n">
        <v>115</v>
      </c>
      <c r="G274" t="n">
        <v>18039</v>
      </c>
      <c r="H274" t="n">
        <v>12942</v>
      </c>
      <c r="I274" t="n">
        <v>206758</v>
      </c>
      <c r="J274" t="n">
        <v>406789.1999999992</v>
      </c>
      <c r="K274" t="n">
        <v>19004</v>
      </c>
      <c r="L274" t="n">
        <v>110000</v>
      </c>
      <c r="M274" t="n">
        <v>64199</v>
      </c>
      <c r="N274" t="n">
        <v>123816</v>
      </c>
      <c r="O274" t="n">
        <v>23138</v>
      </c>
      <c r="P274" t="n">
        <v>367</v>
      </c>
    </row>
    <row r="275">
      <c r="A275" t="inlineStr">
        <is>
          <t>AS</t>
        </is>
      </c>
      <c r="B275" t="n">
        <v>2019</v>
      </c>
      <c r="C275" t="n">
        <v>3</v>
      </c>
      <c r="D275" t="n">
        <v>21694</v>
      </c>
      <c r="E275" t="n">
        <v>267</v>
      </c>
      <c r="F275" t="n">
        <v>45</v>
      </c>
      <c r="G275" t="n">
        <v>21382</v>
      </c>
      <c r="H275" t="n">
        <v>17619</v>
      </c>
      <c r="I275" t="n">
        <v>-9848</v>
      </c>
      <c r="J275" t="n">
        <v>492711.3999999998</v>
      </c>
      <c r="K275" t="n">
        <v>21650</v>
      </c>
      <c r="L275" t="n">
        <v>56050</v>
      </c>
      <c r="M275" t="n">
        <v>49853</v>
      </c>
      <c r="N275" t="n">
        <v>66558</v>
      </c>
      <c r="O275" t="n">
        <v>3524</v>
      </c>
      <c r="P275" t="n">
        <v>472</v>
      </c>
    </row>
    <row r="276">
      <c r="A276" t="inlineStr">
        <is>
          <t>AS</t>
        </is>
      </c>
      <c r="B276" t="n">
        <v>2019</v>
      </c>
      <c r="C276" t="n">
        <v>4</v>
      </c>
      <c r="D276" t="n">
        <v>21300</v>
      </c>
      <c r="E276" t="n">
        <v>164</v>
      </c>
      <c r="F276" t="n">
        <v>54</v>
      </c>
      <c r="G276" t="n">
        <v>21082</v>
      </c>
      <c r="H276" t="n">
        <v>17832</v>
      </c>
      <c r="I276" t="n">
        <v>-34957</v>
      </c>
      <c r="J276" t="n">
        <v>478429.299999999</v>
      </c>
      <c r="K276" t="n">
        <v>21289</v>
      </c>
      <c r="L276" t="n">
        <v>50032</v>
      </c>
      <c r="M276" t="n">
        <v>50972</v>
      </c>
      <c r="N276" t="n">
        <v>54687</v>
      </c>
      <c r="O276" t="n">
        <v>3573</v>
      </c>
      <c r="P276" t="n">
        <v>441</v>
      </c>
    </row>
    <row r="277">
      <c r="A277" t="inlineStr">
        <is>
          <t>AS</t>
        </is>
      </c>
      <c r="B277" t="n">
        <v>2019</v>
      </c>
      <c r="C277" t="n">
        <v>5</v>
      </c>
      <c r="D277" t="n">
        <v>22567</v>
      </c>
      <c r="E277" t="n">
        <v>116</v>
      </c>
      <c r="F277" t="n">
        <v>43</v>
      </c>
      <c r="G277" t="n">
        <v>22408</v>
      </c>
      <c r="H277" t="n">
        <v>18647</v>
      </c>
      <c r="I277" t="n">
        <v>-5303</v>
      </c>
      <c r="J277" t="n">
        <v>481493.5999999976</v>
      </c>
      <c r="K277" t="n">
        <v>22563</v>
      </c>
      <c r="L277" t="n">
        <v>55972</v>
      </c>
      <c r="M277" t="n">
        <v>47456</v>
      </c>
      <c r="N277" t="n">
        <v>70365</v>
      </c>
      <c r="O277" t="n">
        <v>3130</v>
      </c>
      <c r="P277" t="n">
        <v>247</v>
      </c>
    </row>
    <row r="278">
      <c r="A278" t="inlineStr">
        <is>
          <t>AS</t>
        </is>
      </c>
      <c r="B278" t="n">
        <v>2019</v>
      </c>
      <c r="C278" t="n">
        <v>6</v>
      </c>
      <c r="D278" t="n">
        <v>23271</v>
      </c>
      <c r="E278" t="n">
        <v>206</v>
      </c>
      <c r="F278" t="n">
        <v>52</v>
      </c>
      <c r="G278" t="n">
        <v>23013</v>
      </c>
      <c r="H278" t="n">
        <v>19045</v>
      </c>
      <c r="I278" t="n">
        <v>29630</v>
      </c>
      <c r="J278" t="n">
        <v>494185.5999999981</v>
      </c>
      <c r="K278" t="n">
        <v>23196</v>
      </c>
      <c r="L278" t="n">
        <v>72106</v>
      </c>
      <c r="M278" t="n">
        <v>59362</v>
      </c>
      <c r="N278" t="n">
        <v>66759</v>
      </c>
      <c r="O278" t="n">
        <v>5524</v>
      </c>
      <c r="P278" t="n">
        <v>1113</v>
      </c>
    </row>
    <row r="279">
      <c r="A279" t="inlineStr">
        <is>
          <t>AS</t>
        </is>
      </c>
      <c r="B279" t="n">
        <v>2019</v>
      </c>
      <c r="C279" t="n">
        <v>7</v>
      </c>
      <c r="D279" t="n">
        <v>24593</v>
      </c>
      <c r="E279" t="n">
        <v>139</v>
      </c>
      <c r="F279" t="n">
        <v>66</v>
      </c>
      <c r="G279" t="n">
        <v>24388</v>
      </c>
      <c r="H279" t="n">
        <v>20503</v>
      </c>
      <c r="I279" t="n">
        <v>2587</v>
      </c>
      <c r="J279" t="n">
        <v>529390.2999999977</v>
      </c>
      <c r="K279" t="n">
        <v>24589</v>
      </c>
      <c r="L279" t="n">
        <v>74682</v>
      </c>
      <c r="M279" t="n">
        <v>60145</v>
      </c>
      <c r="N279" t="n">
        <v>67050</v>
      </c>
      <c r="O279" t="n">
        <v>6480</v>
      </c>
      <c r="P279" t="n">
        <v>512</v>
      </c>
    </row>
    <row r="280">
      <c r="A280" t="inlineStr">
        <is>
          <t>AS</t>
        </is>
      </c>
      <c r="B280" t="n">
        <v>2019</v>
      </c>
      <c r="C280" t="n">
        <v>8</v>
      </c>
      <c r="D280" t="n">
        <v>24688</v>
      </c>
      <c r="E280" t="n">
        <v>228</v>
      </c>
      <c r="F280" t="n">
        <v>54</v>
      </c>
      <c r="G280" t="n">
        <v>24406</v>
      </c>
      <c r="H280" t="n">
        <v>19175</v>
      </c>
      <c r="I280" t="n">
        <v>93352</v>
      </c>
      <c r="J280" t="n">
        <v>530409.2999999991</v>
      </c>
      <c r="K280" t="n">
        <v>24642</v>
      </c>
      <c r="L280" t="n">
        <v>102200</v>
      </c>
      <c r="M280" t="n">
        <v>68061</v>
      </c>
      <c r="N280" t="n">
        <v>90039</v>
      </c>
      <c r="O280" t="n">
        <v>4667</v>
      </c>
      <c r="P280" t="n">
        <v>593</v>
      </c>
    </row>
    <row r="281">
      <c r="A281" t="inlineStr">
        <is>
          <t>AS</t>
        </is>
      </c>
      <c r="B281" t="n">
        <v>2019</v>
      </c>
      <c r="C281" t="n">
        <v>9</v>
      </c>
      <c r="D281" t="n">
        <v>21737</v>
      </c>
      <c r="E281" t="n">
        <v>117</v>
      </c>
      <c r="F281" t="n">
        <v>44</v>
      </c>
      <c r="G281" t="n">
        <v>21576</v>
      </c>
      <c r="H281" t="n">
        <v>17723</v>
      </c>
      <c r="I281" t="n">
        <v>7348</v>
      </c>
      <c r="J281" t="n">
        <v>464673.9999999983</v>
      </c>
      <c r="K281" t="n">
        <v>21710</v>
      </c>
      <c r="L281" t="n">
        <v>53098</v>
      </c>
      <c r="M281" t="n">
        <v>49311</v>
      </c>
      <c r="N281" t="n">
        <v>66072</v>
      </c>
      <c r="O281" t="n">
        <v>4835</v>
      </c>
      <c r="P281" t="n">
        <v>964</v>
      </c>
    </row>
    <row r="282">
      <c r="A282" t="inlineStr">
        <is>
          <t>AS</t>
        </is>
      </c>
      <c r="B282" t="n">
        <v>2019</v>
      </c>
      <c r="C282" t="n">
        <v>10</v>
      </c>
      <c r="D282" t="n">
        <v>22194</v>
      </c>
      <c r="E282" t="n">
        <v>121</v>
      </c>
      <c r="F282" t="n">
        <v>47</v>
      </c>
      <c r="G282" t="n">
        <v>22026</v>
      </c>
      <c r="H282" t="n">
        <v>18703</v>
      </c>
      <c r="I282" t="n">
        <v>-47458</v>
      </c>
      <c r="J282" t="n">
        <v>514302.2999999966</v>
      </c>
      <c r="K282" t="n">
        <v>22173</v>
      </c>
      <c r="L282" t="n">
        <v>52981</v>
      </c>
      <c r="M282" t="n">
        <v>52220</v>
      </c>
      <c r="N282" t="n">
        <v>50516</v>
      </c>
      <c r="O282" t="n">
        <v>3882</v>
      </c>
      <c r="P282" t="n">
        <v>366</v>
      </c>
    </row>
    <row r="283">
      <c r="A283" t="inlineStr">
        <is>
          <t>AS</t>
        </is>
      </c>
      <c r="B283" t="n">
        <v>2019</v>
      </c>
      <c r="C283" t="n">
        <v>11</v>
      </c>
      <c r="D283" t="n">
        <v>21007</v>
      </c>
      <c r="E283" t="n">
        <v>175</v>
      </c>
      <c r="F283" t="n">
        <v>42</v>
      </c>
      <c r="G283" t="n">
        <v>20790</v>
      </c>
      <c r="H283" t="n">
        <v>17537</v>
      </c>
      <c r="I283" t="n">
        <v>-52407</v>
      </c>
      <c r="J283" t="n">
        <v>517833.3999999993</v>
      </c>
      <c r="K283" t="n">
        <v>20908</v>
      </c>
      <c r="L283" t="n">
        <v>49987</v>
      </c>
      <c r="M283" t="n">
        <v>45588</v>
      </c>
      <c r="N283" t="n">
        <v>53721</v>
      </c>
      <c r="O283" t="n">
        <v>3922</v>
      </c>
      <c r="P283" t="n">
        <v>668</v>
      </c>
    </row>
    <row r="284">
      <c r="A284" t="inlineStr">
        <is>
          <t>AS</t>
        </is>
      </c>
      <c r="B284" t="n">
        <v>2019</v>
      </c>
      <c r="C284" t="n">
        <v>12</v>
      </c>
      <c r="D284" t="n">
        <v>21993</v>
      </c>
      <c r="E284" t="n">
        <v>241</v>
      </c>
      <c r="F284" t="n">
        <v>51</v>
      </c>
      <c r="G284" t="n">
        <v>21701</v>
      </c>
      <c r="H284" t="n">
        <v>16232</v>
      </c>
      <c r="I284" t="n">
        <v>154841</v>
      </c>
      <c r="J284" t="n">
        <v>540128.3000000016</v>
      </c>
      <c r="K284" t="n">
        <v>21902</v>
      </c>
      <c r="L284" t="n">
        <v>124338</v>
      </c>
      <c r="M284" t="n">
        <v>87950</v>
      </c>
      <c r="N284" t="n">
        <v>96684</v>
      </c>
      <c r="O284" t="n">
        <v>3785</v>
      </c>
      <c r="P284" t="n">
        <v>896</v>
      </c>
    </row>
    <row r="285">
      <c r="A285" t="inlineStr">
        <is>
          <t>AS</t>
        </is>
      </c>
      <c r="B285" t="n">
        <v>2020</v>
      </c>
      <c r="C285" t="n">
        <v>1</v>
      </c>
      <c r="D285" t="n">
        <v>21110</v>
      </c>
      <c r="E285" t="n">
        <v>272</v>
      </c>
      <c r="F285" t="n">
        <v>55</v>
      </c>
      <c r="G285" t="n">
        <v>20783</v>
      </c>
      <c r="H285" t="n">
        <v>16390</v>
      </c>
      <c r="I285" t="n">
        <v>33137</v>
      </c>
      <c r="J285" t="n">
        <v>521766.9999999993</v>
      </c>
      <c r="K285" t="n">
        <v>21071</v>
      </c>
      <c r="L285" t="n">
        <v>78950</v>
      </c>
      <c r="M285" t="n">
        <v>64089</v>
      </c>
      <c r="N285" t="n">
        <v>66397</v>
      </c>
      <c r="O285" t="n">
        <v>5557</v>
      </c>
      <c r="P285" t="n">
        <v>770</v>
      </c>
    </row>
    <row r="286">
      <c r="A286" t="inlineStr">
        <is>
          <t>AS</t>
        </is>
      </c>
      <c r="B286" t="n">
        <v>2020</v>
      </c>
      <c r="C286" t="n">
        <v>2</v>
      </c>
      <c r="D286" t="n">
        <v>19515</v>
      </c>
      <c r="E286" t="n">
        <v>176</v>
      </c>
      <c r="F286" t="n">
        <v>38</v>
      </c>
      <c r="G286" t="n">
        <v>19301</v>
      </c>
      <c r="H286" t="n">
        <v>16439</v>
      </c>
      <c r="I286" t="n">
        <v>-62074</v>
      </c>
      <c r="J286" t="n">
        <v>476348.3999999996</v>
      </c>
      <c r="K286" t="n">
        <v>19498</v>
      </c>
      <c r="L286" t="n">
        <v>56918</v>
      </c>
      <c r="M286" t="n">
        <v>46842</v>
      </c>
      <c r="N286" t="n">
        <v>40780</v>
      </c>
      <c r="O286" t="n">
        <v>2366</v>
      </c>
      <c r="P286" t="n">
        <v>459</v>
      </c>
    </row>
    <row r="287">
      <c r="A287" t="inlineStr">
        <is>
          <t>AS</t>
        </is>
      </c>
      <c r="B287" t="n">
        <v>2020</v>
      </c>
      <c r="C287" t="n">
        <v>3</v>
      </c>
      <c r="D287" t="n">
        <v>21380</v>
      </c>
      <c r="E287" t="n">
        <v>2951</v>
      </c>
      <c r="F287" t="n">
        <v>38</v>
      </c>
      <c r="G287" t="n">
        <v>18391</v>
      </c>
      <c r="H287" t="n">
        <v>15850</v>
      </c>
      <c r="I287" t="n">
        <v>-105293</v>
      </c>
      <c r="J287" t="n">
        <v>508707.3999999998</v>
      </c>
      <c r="K287" t="n">
        <v>21169</v>
      </c>
      <c r="L287" t="n">
        <v>43967</v>
      </c>
      <c r="M287" t="n">
        <v>41301</v>
      </c>
      <c r="N287" t="n">
        <v>39934</v>
      </c>
      <c r="O287" t="n">
        <v>3943</v>
      </c>
      <c r="P287" t="n">
        <v>336</v>
      </c>
    </row>
    <row r="288">
      <c r="A288" t="inlineStr">
        <is>
          <t>AS</t>
        </is>
      </c>
      <c r="B288" t="n">
        <v>2020</v>
      </c>
      <c r="C288" t="n">
        <v>4</v>
      </c>
      <c r="D288" t="n">
        <v>5964</v>
      </c>
      <c r="E288" t="n">
        <v>1426</v>
      </c>
      <c r="F288" t="n">
        <v>6</v>
      </c>
      <c r="G288" t="n">
        <v>4532</v>
      </c>
      <c r="H288" t="n">
        <v>4397</v>
      </c>
      <c r="I288" t="n">
        <v>-92482</v>
      </c>
      <c r="J288" t="n">
        <v>128347.0000000003</v>
      </c>
      <c r="K288" t="n">
        <v>5924</v>
      </c>
      <c r="L288" t="n">
        <v>1862</v>
      </c>
      <c r="M288" t="n">
        <v>3914</v>
      </c>
      <c r="N288" t="n">
        <v>1192</v>
      </c>
      <c r="O288" t="n">
        <v>346</v>
      </c>
      <c r="P288" t="n">
        <v>74</v>
      </c>
    </row>
    <row r="289">
      <c r="A289" t="inlineStr">
        <is>
          <t>AS</t>
        </is>
      </c>
      <c r="B289" t="n">
        <v>2020</v>
      </c>
      <c r="C289" t="n">
        <v>5</v>
      </c>
      <c r="D289" t="n">
        <v>4391</v>
      </c>
      <c r="E289" t="n">
        <v>39</v>
      </c>
      <c r="F289" t="n">
        <v>7</v>
      </c>
      <c r="G289" t="n">
        <v>4345</v>
      </c>
      <c r="H289" t="n">
        <v>4195</v>
      </c>
      <c r="I289" t="n">
        <v>-78390</v>
      </c>
      <c r="J289" t="n">
        <v>87787.60000000021</v>
      </c>
      <c r="K289" t="n">
        <v>4254</v>
      </c>
      <c r="L289" t="n">
        <v>874</v>
      </c>
      <c r="M289" t="n">
        <v>3550</v>
      </c>
      <c r="N289" t="n">
        <v>1434</v>
      </c>
      <c r="O289" t="n">
        <v>396</v>
      </c>
      <c r="P289" t="n">
        <v>573</v>
      </c>
    </row>
    <row r="290">
      <c r="A290" t="inlineStr">
        <is>
          <t>AS</t>
        </is>
      </c>
      <c r="B290" t="n">
        <v>2020</v>
      </c>
      <c r="C290" t="n">
        <v>6</v>
      </c>
      <c r="D290" t="n">
        <v>6503</v>
      </c>
      <c r="E290" t="n">
        <v>120</v>
      </c>
      <c r="F290" t="n">
        <v>6</v>
      </c>
      <c r="G290" t="n">
        <v>6377</v>
      </c>
      <c r="H290" t="n">
        <v>5945</v>
      </c>
      <c r="I290" t="n">
        <v>-64795</v>
      </c>
      <c r="J290" t="n">
        <v>98157.69999999995</v>
      </c>
      <c r="K290" t="n">
        <v>6316</v>
      </c>
      <c r="L290" t="n">
        <v>2880</v>
      </c>
      <c r="M290" t="n">
        <v>10335</v>
      </c>
      <c r="N290" t="n">
        <v>4283</v>
      </c>
      <c r="O290" t="n">
        <v>704</v>
      </c>
      <c r="P290" t="n">
        <v>641</v>
      </c>
    </row>
    <row r="291">
      <c r="A291" t="inlineStr">
        <is>
          <t>AS</t>
        </is>
      </c>
      <c r="B291" t="n">
        <v>2020</v>
      </c>
      <c r="C291" t="n">
        <v>7</v>
      </c>
      <c r="D291" t="n">
        <v>7661</v>
      </c>
      <c r="E291" t="n">
        <v>64</v>
      </c>
      <c r="F291" t="n">
        <v>7</v>
      </c>
      <c r="G291" t="n">
        <v>7590</v>
      </c>
      <c r="H291" t="n">
        <v>7080</v>
      </c>
      <c r="I291" t="n">
        <v>-63345</v>
      </c>
      <c r="J291" t="n">
        <v>93457.50000000015</v>
      </c>
      <c r="K291" t="n">
        <v>7648</v>
      </c>
      <c r="L291" t="n">
        <v>4299</v>
      </c>
      <c r="M291" t="n">
        <v>9050</v>
      </c>
      <c r="N291" t="n">
        <v>5535</v>
      </c>
      <c r="O291" t="n">
        <v>759</v>
      </c>
      <c r="P291" t="n">
        <v>790</v>
      </c>
    </row>
    <row r="292">
      <c r="A292" t="inlineStr">
        <is>
          <t>AS</t>
        </is>
      </c>
      <c r="B292" t="n">
        <v>2020</v>
      </c>
      <c r="C292" t="n">
        <v>8</v>
      </c>
      <c r="D292" t="n">
        <v>9611</v>
      </c>
      <c r="E292" t="n">
        <v>45</v>
      </c>
      <c r="F292" t="n">
        <v>16</v>
      </c>
      <c r="G292" t="n">
        <v>9550</v>
      </c>
      <c r="H292" t="n">
        <v>8649</v>
      </c>
      <c r="I292" t="n">
        <v>-43112</v>
      </c>
      <c r="J292" t="n">
        <v>93960.20000000022</v>
      </c>
      <c r="K292" t="n">
        <v>9569</v>
      </c>
      <c r="L292" t="n">
        <v>7556</v>
      </c>
      <c r="M292" t="n">
        <v>12180</v>
      </c>
      <c r="N292" t="n">
        <v>12259</v>
      </c>
      <c r="O292" t="n">
        <v>1952</v>
      </c>
      <c r="P292" t="n">
        <v>614</v>
      </c>
    </row>
    <row r="293">
      <c r="A293" t="inlineStr">
        <is>
          <t>AS</t>
        </is>
      </c>
      <c r="B293" t="n">
        <v>2020</v>
      </c>
      <c r="C293" t="n">
        <v>9</v>
      </c>
      <c r="D293" t="n">
        <v>9643</v>
      </c>
      <c r="E293" t="n">
        <v>61</v>
      </c>
      <c r="F293" t="n">
        <v>8</v>
      </c>
      <c r="G293" t="n">
        <v>9574</v>
      </c>
      <c r="H293" t="n">
        <v>8963</v>
      </c>
      <c r="I293" t="n">
        <v>-89074</v>
      </c>
      <c r="J293" t="n">
        <v>136556.7000000006</v>
      </c>
      <c r="K293" t="n">
        <v>9603</v>
      </c>
      <c r="L293" t="n">
        <v>7228</v>
      </c>
      <c r="M293" t="n">
        <v>9841</v>
      </c>
      <c r="N293" t="n">
        <v>5619</v>
      </c>
      <c r="O293" t="n">
        <v>1316</v>
      </c>
      <c r="P293" t="n">
        <v>1050</v>
      </c>
    </row>
    <row r="294">
      <c r="A294" t="inlineStr">
        <is>
          <t>AS</t>
        </is>
      </c>
      <c r="B294" t="n">
        <v>2020</v>
      </c>
      <c r="C294" t="n">
        <v>10</v>
      </c>
      <c r="D294" t="n">
        <v>10674</v>
      </c>
      <c r="E294" t="n">
        <v>39</v>
      </c>
      <c r="F294" t="n">
        <v>22</v>
      </c>
      <c r="G294" t="n">
        <v>10613</v>
      </c>
      <c r="H294" t="n">
        <v>9863</v>
      </c>
      <c r="I294" t="n">
        <v>-103274</v>
      </c>
      <c r="J294" t="n">
        <v>189278.3000000003</v>
      </c>
      <c r="K294" t="n">
        <v>10591</v>
      </c>
      <c r="L294" t="n">
        <v>7488</v>
      </c>
      <c r="M294" t="n">
        <v>14186</v>
      </c>
      <c r="N294" t="n">
        <v>9166</v>
      </c>
      <c r="O294" t="n">
        <v>1145</v>
      </c>
      <c r="P294" t="n">
        <v>660</v>
      </c>
    </row>
    <row r="295">
      <c r="A295" t="inlineStr">
        <is>
          <t>AS</t>
        </is>
      </c>
      <c r="B295" t="n">
        <v>2020</v>
      </c>
      <c r="C295" t="n">
        <v>11</v>
      </c>
      <c r="D295" t="n">
        <v>10766</v>
      </c>
      <c r="E295" t="n">
        <v>124</v>
      </c>
      <c r="F295" t="n">
        <v>37</v>
      </c>
      <c r="G295" t="n">
        <v>10605</v>
      </c>
      <c r="H295" t="n">
        <v>9534</v>
      </c>
      <c r="I295" t="n">
        <v>-70983</v>
      </c>
      <c r="J295" t="n">
        <v>192655.4000000002</v>
      </c>
      <c r="K295" t="n">
        <v>10626</v>
      </c>
      <c r="L295" t="n">
        <v>14164</v>
      </c>
      <c r="M295" t="n">
        <v>20998</v>
      </c>
      <c r="N295" t="n">
        <v>12608</v>
      </c>
      <c r="O295" t="n">
        <v>1955</v>
      </c>
      <c r="P295" t="n">
        <v>609</v>
      </c>
    </row>
    <row r="296">
      <c r="A296" t="inlineStr">
        <is>
          <t>AS</t>
        </is>
      </c>
      <c r="B296" t="n">
        <v>2020</v>
      </c>
      <c r="C296" t="n">
        <v>12</v>
      </c>
      <c r="D296" t="n">
        <v>11008</v>
      </c>
      <c r="E296" t="n">
        <v>164</v>
      </c>
      <c r="F296" t="n">
        <v>39</v>
      </c>
      <c r="G296" t="n">
        <v>10805</v>
      </c>
      <c r="H296" t="n">
        <v>9980</v>
      </c>
      <c r="I296" t="n">
        <v>-119941</v>
      </c>
      <c r="J296" t="n">
        <v>237899.5000000006</v>
      </c>
      <c r="K296" t="n">
        <v>10919</v>
      </c>
      <c r="L296" t="n">
        <v>9048</v>
      </c>
      <c r="M296" t="n">
        <v>12576</v>
      </c>
      <c r="N296" t="n">
        <v>10996</v>
      </c>
      <c r="O296" t="n">
        <v>3871</v>
      </c>
      <c r="P296" t="n">
        <v>891</v>
      </c>
    </row>
    <row r="297">
      <c r="A297" t="inlineStr">
        <is>
          <t>AS</t>
        </is>
      </c>
      <c r="B297" t="n">
        <v>2021</v>
      </c>
      <c r="C297" t="n">
        <v>1</v>
      </c>
      <c r="D297" t="n">
        <v>10628</v>
      </c>
      <c r="E297" t="n">
        <v>75</v>
      </c>
      <c r="F297" t="n">
        <v>22</v>
      </c>
      <c r="G297" t="n">
        <v>10531</v>
      </c>
      <c r="H297" t="n">
        <v>9758</v>
      </c>
      <c r="I297" t="n">
        <v>-94044</v>
      </c>
      <c r="J297" t="n">
        <v>187252.9000000003</v>
      </c>
      <c r="K297" t="n">
        <v>10521</v>
      </c>
      <c r="L297" t="n">
        <v>7953</v>
      </c>
      <c r="M297" t="n">
        <v>12103</v>
      </c>
      <c r="N297" t="n">
        <v>11415</v>
      </c>
      <c r="O297" t="n">
        <v>926</v>
      </c>
      <c r="P297" t="n">
        <v>805</v>
      </c>
    </row>
    <row r="298">
      <c r="A298" t="inlineStr">
        <is>
          <t>AS</t>
        </is>
      </c>
      <c r="B298" t="n">
        <v>2021</v>
      </c>
      <c r="C298" t="n">
        <v>2</v>
      </c>
      <c r="D298" t="n">
        <v>11375</v>
      </c>
      <c r="E298" t="n">
        <v>689</v>
      </c>
      <c r="F298" t="n">
        <v>27</v>
      </c>
      <c r="G298" t="n">
        <v>10659</v>
      </c>
      <c r="H298" t="n">
        <v>8624</v>
      </c>
      <c r="I298" t="n">
        <v>13117</v>
      </c>
      <c r="J298" t="n">
        <v>196957.2000000009</v>
      </c>
      <c r="K298" t="n">
        <v>11225</v>
      </c>
      <c r="L298" t="n">
        <v>26659</v>
      </c>
      <c r="M298" t="n">
        <v>24972</v>
      </c>
      <c r="N298" t="n">
        <v>44339</v>
      </c>
      <c r="O298" t="n">
        <v>13864</v>
      </c>
      <c r="P298" t="n">
        <v>381</v>
      </c>
    </row>
    <row r="299">
      <c r="A299" t="inlineStr">
        <is>
          <t>AS</t>
        </is>
      </c>
      <c r="B299" t="n">
        <v>2021</v>
      </c>
      <c r="C299" t="n">
        <v>3</v>
      </c>
      <c r="D299" t="n">
        <v>14531</v>
      </c>
      <c r="E299" t="n">
        <v>229</v>
      </c>
      <c r="F299" t="n">
        <v>25</v>
      </c>
      <c r="G299" t="n">
        <v>14277</v>
      </c>
      <c r="H299" t="n">
        <v>12524</v>
      </c>
      <c r="I299" t="n">
        <v>-48439</v>
      </c>
      <c r="J299" t="n">
        <v>276640.7000000007</v>
      </c>
      <c r="K299" t="n">
        <v>14250</v>
      </c>
      <c r="L299" t="n">
        <v>24411</v>
      </c>
      <c r="M299" t="n">
        <v>30401</v>
      </c>
      <c r="N299" t="n">
        <v>21363</v>
      </c>
      <c r="O299" t="n">
        <v>2280</v>
      </c>
      <c r="P299" t="n">
        <v>994</v>
      </c>
    </row>
    <row r="300">
      <c r="A300" t="inlineStr">
        <is>
          <t>AS</t>
        </is>
      </c>
      <c r="B300" t="n">
        <v>2021</v>
      </c>
      <c r="C300" t="n">
        <v>4</v>
      </c>
      <c r="D300" t="n">
        <v>15127</v>
      </c>
      <c r="E300" t="n">
        <v>131</v>
      </c>
      <c r="F300" t="n">
        <v>24</v>
      </c>
      <c r="G300" t="n">
        <v>14972</v>
      </c>
      <c r="H300" t="n">
        <v>13336</v>
      </c>
      <c r="I300" t="n">
        <v>-65870</v>
      </c>
      <c r="J300" t="n">
        <v>288852.7000000003</v>
      </c>
      <c r="K300" t="n">
        <v>15057</v>
      </c>
      <c r="L300" t="n">
        <v>22388</v>
      </c>
      <c r="M300" t="n">
        <v>28161</v>
      </c>
      <c r="N300" t="n">
        <v>17984</v>
      </c>
      <c r="O300" t="n">
        <v>846</v>
      </c>
      <c r="P300" t="n">
        <v>1086</v>
      </c>
    </row>
    <row r="301">
      <c r="A301" t="inlineStr">
        <is>
          <t>AS</t>
        </is>
      </c>
      <c r="B301" t="n">
        <v>2021</v>
      </c>
      <c r="C301" t="n">
        <v>5</v>
      </c>
      <c r="D301" t="n">
        <v>15999</v>
      </c>
      <c r="E301" t="n">
        <v>36</v>
      </c>
      <c r="F301" t="n">
        <v>22</v>
      </c>
      <c r="G301" t="n">
        <v>15941</v>
      </c>
      <c r="H301" t="n">
        <v>14333</v>
      </c>
      <c r="I301" t="n">
        <v>-75871</v>
      </c>
      <c r="J301" t="n">
        <v>297513.4000000003</v>
      </c>
      <c r="K301" t="n">
        <v>15798</v>
      </c>
      <c r="L301" t="n">
        <v>17345</v>
      </c>
      <c r="M301" t="n">
        <v>26418</v>
      </c>
      <c r="N301" t="n">
        <v>19377</v>
      </c>
      <c r="O301" t="n">
        <v>1971</v>
      </c>
      <c r="P301" t="n">
        <v>725</v>
      </c>
    </row>
    <row r="302">
      <c r="A302" t="inlineStr">
        <is>
          <t>AS</t>
        </is>
      </c>
      <c r="B302" t="n">
        <v>2021</v>
      </c>
      <c r="C302" t="n">
        <v>6</v>
      </c>
      <c r="D302" t="n">
        <v>16971</v>
      </c>
      <c r="E302" t="n">
        <v>247</v>
      </c>
      <c r="F302" t="n">
        <v>28</v>
      </c>
      <c r="G302" t="n">
        <v>16696</v>
      </c>
      <c r="H302" t="n">
        <v>13158</v>
      </c>
      <c r="I302" t="n">
        <v>67581</v>
      </c>
      <c r="J302" t="n">
        <v>302428.2999999996</v>
      </c>
      <c r="K302" t="n">
        <v>16872</v>
      </c>
      <c r="L302" t="n">
        <v>53599</v>
      </c>
      <c r="M302" t="n">
        <v>59128</v>
      </c>
      <c r="N302" t="n">
        <v>43073</v>
      </c>
      <c r="O302" t="n">
        <v>3884</v>
      </c>
      <c r="P302" t="n">
        <v>1438</v>
      </c>
    </row>
    <row r="303">
      <c r="A303" t="inlineStr">
        <is>
          <t>AS</t>
        </is>
      </c>
      <c r="B303" t="n">
        <v>2021</v>
      </c>
      <c r="C303" t="n">
        <v>7</v>
      </c>
      <c r="D303" t="n">
        <v>17370</v>
      </c>
      <c r="E303" t="n">
        <v>119</v>
      </c>
      <c r="F303" t="n">
        <v>37</v>
      </c>
      <c r="G303" t="n">
        <v>17214</v>
      </c>
      <c r="H303" t="n">
        <v>14246</v>
      </c>
      <c r="I303" t="n">
        <v>24244</v>
      </c>
      <c r="J303" t="n">
        <v>309713.6999999991</v>
      </c>
      <c r="K303" t="n">
        <v>17352</v>
      </c>
      <c r="L303" t="n">
        <v>46410</v>
      </c>
      <c r="M303" t="n">
        <v>48941</v>
      </c>
      <c r="N303" t="n">
        <v>34265</v>
      </c>
      <c r="O303" t="n">
        <v>3925</v>
      </c>
      <c r="P303" t="n">
        <v>2053</v>
      </c>
    </row>
    <row r="304">
      <c r="A304" t="inlineStr">
        <is>
          <t>AS</t>
        </is>
      </c>
      <c r="B304" t="n">
        <v>2021</v>
      </c>
      <c r="C304" t="n">
        <v>8</v>
      </c>
      <c r="D304" t="n">
        <v>17890</v>
      </c>
      <c r="E304" t="n">
        <v>120</v>
      </c>
      <c r="F304" t="n">
        <v>29</v>
      </c>
      <c r="G304" t="n">
        <v>17741</v>
      </c>
      <c r="H304" t="n">
        <v>14160</v>
      </c>
      <c r="I304" t="n">
        <v>58580</v>
      </c>
      <c r="J304" t="n">
        <v>323271.5999999995</v>
      </c>
      <c r="K304" t="n">
        <v>17851</v>
      </c>
      <c r="L304" t="n">
        <v>53496</v>
      </c>
      <c r="M304" t="n">
        <v>58452</v>
      </c>
      <c r="N304" t="n">
        <v>44189</v>
      </c>
      <c r="O304" t="n">
        <v>4990</v>
      </c>
      <c r="P304" t="n">
        <v>1515</v>
      </c>
    </row>
    <row r="305">
      <c r="A305" t="inlineStr">
        <is>
          <t>AS</t>
        </is>
      </c>
      <c r="B305" t="n">
        <v>2021</v>
      </c>
      <c r="C305" t="n">
        <v>9</v>
      </c>
      <c r="D305" t="n">
        <v>17438</v>
      </c>
      <c r="E305" t="n">
        <v>127</v>
      </c>
      <c r="F305" t="n">
        <v>22</v>
      </c>
      <c r="G305" t="n">
        <v>17289</v>
      </c>
      <c r="H305" t="n">
        <v>14821</v>
      </c>
      <c r="I305" t="n">
        <v>-33618</v>
      </c>
      <c r="J305" t="n">
        <v>351383.6999999998</v>
      </c>
      <c r="K305" t="n">
        <v>17332</v>
      </c>
      <c r="L305" t="n">
        <v>36683</v>
      </c>
      <c r="M305" t="n">
        <v>42719</v>
      </c>
      <c r="N305" t="n">
        <v>29195</v>
      </c>
      <c r="O305" t="n">
        <v>2727</v>
      </c>
      <c r="P305" t="n">
        <v>1181</v>
      </c>
    </row>
    <row r="306">
      <c r="A306" t="inlineStr">
        <is>
          <t>AS</t>
        </is>
      </c>
      <c r="B306" t="n">
        <v>2021</v>
      </c>
      <c r="C306" t="n">
        <v>10</v>
      </c>
      <c r="D306" t="n">
        <v>17848</v>
      </c>
      <c r="E306" t="n">
        <v>191</v>
      </c>
      <c r="F306" t="n">
        <v>46</v>
      </c>
      <c r="G306" t="n">
        <v>17611</v>
      </c>
      <c r="H306" t="n">
        <v>14564</v>
      </c>
      <c r="I306" t="n">
        <v>-5247</v>
      </c>
      <c r="J306" t="n">
        <v>384424.4000000004</v>
      </c>
      <c r="K306" t="n">
        <v>17796</v>
      </c>
      <c r="L306" t="n">
        <v>40446</v>
      </c>
      <c r="M306" t="n">
        <v>50967</v>
      </c>
      <c r="N306" t="n">
        <v>40932</v>
      </c>
      <c r="O306" t="n">
        <v>2869</v>
      </c>
      <c r="P306" t="n">
        <v>761</v>
      </c>
    </row>
    <row r="307">
      <c r="A307" t="inlineStr">
        <is>
          <t>AS</t>
        </is>
      </c>
      <c r="B307" t="n">
        <v>2021</v>
      </c>
      <c r="C307" t="n">
        <v>11</v>
      </c>
      <c r="D307" t="n">
        <v>16893</v>
      </c>
      <c r="E307" t="n">
        <v>237</v>
      </c>
      <c r="F307" t="n">
        <v>57</v>
      </c>
      <c r="G307" t="n">
        <v>16599</v>
      </c>
      <c r="H307" t="n">
        <v>13207</v>
      </c>
      <c r="I307" t="n">
        <v>41069</v>
      </c>
      <c r="J307" t="n">
        <v>389100.6999999997</v>
      </c>
      <c r="K307" t="n">
        <v>16732</v>
      </c>
      <c r="L307" t="n">
        <v>54848</v>
      </c>
      <c r="M307" t="n">
        <v>54145</v>
      </c>
      <c r="N307" t="n">
        <v>41745</v>
      </c>
      <c r="O307" t="n">
        <v>3048</v>
      </c>
      <c r="P307" t="n">
        <v>1251</v>
      </c>
    </row>
    <row r="308">
      <c r="A308" t="inlineStr">
        <is>
          <t>AS</t>
        </is>
      </c>
      <c r="B308" t="n">
        <v>2021</v>
      </c>
      <c r="C308" t="n">
        <v>12</v>
      </c>
      <c r="D308" t="n">
        <v>16885</v>
      </c>
      <c r="E308" t="n">
        <v>1016</v>
      </c>
      <c r="F308" t="n">
        <v>93</v>
      </c>
      <c r="G308" t="n">
        <v>15776</v>
      </c>
      <c r="H308" t="n">
        <v>10740</v>
      </c>
      <c r="I308" t="n">
        <v>211255</v>
      </c>
      <c r="J308" t="n">
        <v>392384.200000002</v>
      </c>
      <c r="K308" t="n">
        <v>16693</v>
      </c>
      <c r="L308" t="n">
        <v>98094</v>
      </c>
      <c r="M308" t="n">
        <v>92649</v>
      </c>
      <c r="N308" t="n">
        <v>84630</v>
      </c>
      <c r="O308" t="n">
        <v>27651</v>
      </c>
      <c r="P308" t="n">
        <v>2916</v>
      </c>
    </row>
    <row r="309">
      <c r="A309" t="inlineStr">
        <is>
          <t>AS</t>
        </is>
      </c>
      <c r="B309" t="n">
        <v>2022</v>
      </c>
      <c r="C309" t="n">
        <v>1</v>
      </c>
      <c r="D309" t="n">
        <v>16549</v>
      </c>
      <c r="E309" t="n">
        <v>1269</v>
      </c>
      <c r="F309" t="n">
        <v>76</v>
      </c>
      <c r="G309" t="n">
        <v>15204</v>
      </c>
      <c r="H309" t="n">
        <v>11706</v>
      </c>
      <c r="I309" t="n">
        <v>79567</v>
      </c>
      <c r="J309" t="n">
        <v>346795.5999999997</v>
      </c>
      <c r="K309" t="n">
        <v>16499</v>
      </c>
      <c r="L309" t="n">
        <v>66216</v>
      </c>
      <c r="M309" t="n">
        <v>74202</v>
      </c>
      <c r="N309" t="n">
        <v>42671</v>
      </c>
      <c r="O309" t="n">
        <v>6624</v>
      </c>
      <c r="P309" t="n">
        <v>576</v>
      </c>
    </row>
    <row r="310">
      <c r="A310" t="inlineStr">
        <is>
          <t>AS</t>
        </is>
      </c>
      <c r="B310" t="n">
        <v>2022</v>
      </c>
      <c r="C310" t="n">
        <v>2</v>
      </c>
      <c r="D310" t="n">
        <v>15969</v>
      </c>
      <c r="E310" t="n">
        <v>243</v>
      </c>
      <c r="F310" t="n">
        <v>36</v>
      </c>
      <c r="G310" t="n">
        <v>15690</v>
      </c>
      <c r="H310" t="n">
        <v>12955</v>
      </c>
      <c r="I310" t="n">
        <v>394</v>
      </c>
      <c r="J310" t="n">
        <v>334170.1999999995</v>
      </c>
      <c r="K310" t="n">
        <v>15933</v>
      </c>
      <c r="L310" t="n">
        <v>38217</v>
      </c>
      <c r="M310" t="n">
        <v>43714</v>
      </c>
      <c r="N310" t="n">
        <v>36080</v>
      </c>
      <c r="O310" t="n">
        <v>5144</v>
      </c>
      <c r="P310" t="n">
        <v>629</v>
      </c>
    </row>
    <row r="311">
      <c r="A311" t="inlineStr">
        <is>
          <t>AS</t>
        </is>
      </c>
      <c r="B311" t="n">
        <v>2022</v>
      </c>
      <c r="C311" t="n">
        <v>3</v>
      </c>
      <c r="D311" t="n">
        <v>18773</v>
      </c>
      <c r="E311" t="n">
        <v>247</v>
      </c>
      <c r="F311" t="n">
        <v>32</v>
      </c>
      <c r="G311" t="n">
        <v>18494</v>
      </c>
      <c r="H311" t="n">
        <v>15299</v>
      </c>
      <c r="I311" t="n">
        <v>29591</v>
      </c>
      <c r="J311" t="n">
        <v>393205.1999999992</v>
      </c>
      <c r="K311" t="n">
        <v>18614</v>
      </c>
      <c r="L311" t="n">
        <v>56228</v>
      </c>
      <c r="M311" t="n">
        <v>55908</v>
      </c>
      <c r="N311" t="n">
        <v>40317</v>
      </c>
      <c r="O311" t="n">
        <v>4044</v>
      </c>
      <c r="P311" t="n">
        <v>1125</v>
      </c>
    </row>
    <row r="312">
      <c r="A312" t="inlineStr">
        <is>
          <t>AS</t>
        </is>
      </c>
      <c r="B312" t="n">
        <v>2022</v>
      </c>
      <c r="C312" t="n">
        <v>4</v>
      </c>
      <c r="D312" t="n">
        <v>19361</v>
      </c>
      <c r="E312" t="n">
        <v>1058</v>
      </c>
      <c r="F312" t="n">
        <v>69</v>
      </c>
      <c r="G312" t="n">
        <v>18234</v>
      </c>
      <c r="H312" t="n">
        <v>14103</v>
      </c>
      <c r="I312" t="n">
        <v>111749</v>
      </c>
      <c r="J312" t="n">
        <v>391383.0999999971</v>
      </c>
      <c r="K312" t="n">
        <v>19215</v>
      </c>
      <c r="L312" t="n">
        <v>81688</v>
      </c>
      <c r="M312" t="n">
        <v>73270</v>
      </c>
      <c r="N312" t="n">
        <v>56328</v>
      </c>
      <c r="O312" t="n">
        <v>6589</v>
      </c>
      <c r="P312" t="n">
        <v>464</v>
      </c>
    </row>
    <row r="313">
      <c r="A313" t="inlineStr">
        <is>
          <t>AS</t>
        </is>
      </c>
      <c r="B313" t="n">
        <v>2022</v>
      </c>
      <c r="C313" t="n">
        <v>5</v>
      </c>
      <c r="D313" t="n">
        <v>19554</v>
      </c>
      <c r="E313" t="n">
        <v>661</v>
      </c>
      <c r="F313" t="n">
        <v>39</v>
      </c>
      <c r="G313" t="n">
        <v>18854</v>
      </c>
      <c r="H313" t="n">
        <v>15337</v>
      </c>
      <c r="I313" t="n">
        <v>50895</v>
      </c>
      <c r="J313" t="n">
        <v>392757.5999999985</v>
      </c>
      <c r="K313" t="n">
        <v>19293</v>
      </c>
      <c r="L313" t="n">
        <v>51989</v>
      </c>
      <c r="M313" t="n">
        <v>64575</v>
      </c>
      <c r="N313" t="n">
        <v>46822</v>
      </c>
      <c r="O313" t="n">
        <v>3584</v>
      </c>
      <c r="P313" t="n">
        <v>810</v>
      </c>
    </row>
    <row r="314">
      <c r="A314" t="inlineStr">
        <is>
          <t>AS</t>
        </is>
      </c>
      <c r="B314" t="n">
        <v>2022</v>
      </c>
      <c r="C314" t="n">
        <v>6</v>
      </c>
      <c r="D314" t="n">
        <v>18917</v>
      </c>
      <c r="E314" t="n">
        <v>160</v>
      </c>
      <c r="F314" t="n">
        <v>50</v>
      </c>
      <c r="G314" t="n">
        <v>18707</v>
      </c>
      <c r="H314" t="n">
        <v>14927</v>
      </c>
      <c r="I314" t="n">
        <v>81729</v>
      </c>
      <c r="J314" t="n">
        <v>360519.2</v>
      </c>
      <c r="K314" t="n">
        <v>18753</v>
      </c>
      <c r="L314" t="n">
        <v>59783</v>
      </c>
      <c r="M314" t="n">
        <v>65853</v>
      </c>
      <c r="N314" t="n">
        <v>55123</v>
      </c>
      <c r="O314" t="n">
        <v>4979</v>
      </c>
      <c r="P314" t="n">
        <v>628</v>
      </c>
    </row>
    <row r="315">
      <c r="A315" t="inlineStr">
        <is>
          <t>AS</t>
        </is>
      </c>
      <c r="B315" t="n">
        <v>2022</v>
      </c>
      <c r="C315" t="n">
        <v>7</v>
      </c>
      <c r="D315" t="n">
        <v>20387</v>
      </c>
      <c r="E315" t="n">
        <v>100</v>
      </c>
      <c r="F315" t="n">
        <v>51</v>
      </c>
      <c r="G315" t="n">
        <v>20236</v>
      </c>
      <c r="H315" t="n">
        <v>16549</v>
      </c>
      <c r="I315" t="n">
        <v>43727</v>
      </c>
      <c r="J315" t="n">
        <v>388020.0000000001</v>
      </c>
      <c r="K315" t="n">
        <v>20339</v>
      </c>
      <c r="L315" t="n">
        <v>60107</v>
      </c>
      <c r="M315" t="n">
        <v>63023</v>
      </c>
      <c r="N315" t="n">
        <v>45269</v>
      </c>
      <c r="O315" t="n">
        <v>4814</v>
      </c>
      <c r="P315" t="n">
        <v>4289</v>
      </c>
    </row>
    <row r="316">
      <c r="A316" t="inlineStr">
        <is>
          <t>AS</t>
        </is>
      </c>
      <c r="B316" t="n">
        <v>2022</v>
      </c>
      <c r="C316" t="n">
        <v>8</v>
      </c>
      <c r="D316" t="n">
        <v>20514</v>
      </c>
      <c r="E316" t="n">
        <v>134</v>
      </c>
      <c r="F316" t="n">
        <v>47</v>
      </c>
      <c r="G316" t="n">
        <v>20333</v>
      </c>
      <c r="H316" t="n">
        <v>16572</v>
      </c>
      <c r="I316" t="n">
        <v>44114</v>
      </c>
      <c r="J316" t="n">
        <v>393429.5000000001</v>
      </c>
      <c r="K316" t="n">
        <v>20472</v>
      </c>
      <c r="L316" t="n">
        <v>64624</v>
      </c>
      <c r="M316" t="n">
        <v>56214</v>
      </c>
      <c r="N316" t="n">
        <v>51926</v>
      </c>
      <c r="O316" t="n">
        <v>7470</v>
      </c>
      <c r="P316" t="n">
        <v>2352</v>
      </c>
    </row>
    <row r="317">
      <c r="A317" t="inlineStr">
        <is>
          <t>AS</t>
        </is>
      </c>
      <c r="B317" t="n">
        <v>2022</v>
      </c>
      <c r="C317" t="n">
        <v>9</v>
      </c>
      <c r="D317" t="n">
        <v>19775</v>
      </c>
      <c r="E317" t="n">
        <v>188</v>
      </c>
      <c r="F317" t="n">
        <v>60</v>
      </c>
      <c r="G317" t="n">
        <v>19527</v>
      </c>
      <c r="H317" t="n">
        <v>16315</v>
      </c>
      <c r="I317" t="n">
        <v>9812</v>
      </c>
      <c r="J317" t="n">
        <v>395267.8999999985</v>
      </c>
      <c r="K317" t="n">
        <v>19619</v>
      </c>
      <c r="L317" t="n">
        <v>51681</v>
      </c>
      <c r="M317" t="n">
        <v>53354</v>
      </c>
      <c r="N317" t="n">
        <v>42401</v>
      </c>
      <c r="O317" t="n">
        <v>3566</v>
      </c>
      <c r="P317" t="n">
        <v>787</v>
      </c>
    </row>
    <row r="318">
      <c r="A318" t="inlineStr">
        <is>
          <t>AS</t>
        </is>
      </c>
      <c r="B318" t="n">
        <v>2022</v>
      </c>
      <c r="C318" t="n">
        <v>10</v>
      </c>
      <c r="D318" t="n">
        <v>19645</v>
      </c>
      <c r="E318" t="n">
        <v>100</v>
      </c>
      <c r="F318" t="n">
        <v>36</v>
      </c>
      <c r="G318" t="n">
        <v>19509</v>
      </c>
      <c r="H318" t="n">
        <v>16615</v>
      </c>
      <c r="I318" t="n">
        <v>-30293</v>
      </c>
      <c r="J318" t="n">
        <v>427313.3999999977</v>
      </c>
      <c r="K318" t="n">
        <v>19592</v>
      </c>
      <c r="L318" t="n">
        <v>41734</v>
      </c>
      <c r="M318" t="n">
        <v>46864</v>
      </c>
      <c r="N318" t="n">
        <v>37127</v>
      </c>
      <c r="O318" t="n">
        <v>3548</v>
      </c>
      <c r="P318" t="n">
        <v>883</v>
      </c>
    </row>
    <row r="319">
      <c r="A319" t="inlineStr">
        <is>
          <t>AS</t>
        </is>
      </c>
      <c r="B319" t="n">
        <v>2022</v>
      </c>
      <c r="C319" t="n">
        <v>11</v>
      </c>
      <c r="D319" t="n">
        <v>18861</v>
      </c>
      <c r="E319" t="n">
        <v>323</v>
      </c>
      <c r="F319" t="n">
        <v>54</v>
      </c>
      <c r="G319" t="n">
        <v>18484</v>
      </c>
      <c r="H319" t="n">
        <v>14646</v>
      </c>
      <c r="I319" t="n">
        <v>85233</v>
      </c>
      <c r="J319" t="n">
        <v>415786.7999999982</v>
      </c>
      <c r="K319" t="n">
        <v>18717</v>
      </c>
      <c r="L319" t="n">
        <v>75890</v>
      </c>
      <c r="M319" t="n">
        <v>57569</v>
      </c>
      <c r="N319" t="n">
        <v>62240</v>
      </c>
      <c r="O319" t="n">
        <v>16815</v>
      </c>
      <c r="P319" t="n">
        <v>797</v>
      </c>
    </row>
    <row r="320">
      <c r="A320" t="inlineStr">
        <is>
          <t>AS</t>
        </is>
      </c>
      <c r="B320" t="n">
        <v>2022</v>
      </c>
      <c r="C320" t="n">
        <v>12</v>
      </c>
      <c r="D320" t="n">
        <v>20079</v>
      </c>
      <c r="E320" t="n">
        <v>1735</v>
      </c>
      <c r="F320" t="n">
        <v>125</v>
      </c>
      <c r="G320" t="n">
        <v>18219</v>
      </c>
      <c r="H320" t="n">
        <v>11464</v>
      </c>
      <c r="I320" t="n">
        <v>328505</v>
      </c>
      <c r="J320" t="n">
        <v>443051.6000000018</v>
      </c>
      <c r="K320" t="n">
        <v>19690</v>
      </c>
      <c r="L320" t="n">
        <v>161060</v>
      </c>
      <c r="M320" t="n">
        <v>118197</v>
      </c>
      <c r="N320" t="n">
        <v>99235</v>
      </c>
      <c r="O320" t="n">
        <v>26997</v>
      </c>
      <c r="P320" t="n">
        <v>2343</v>
      </c>
    </row>
    <row r="321">
      <c r="A321" t="inlineStr">
        <is>
          <t>AS</t>
        </is>
      </c>
      <c r="B321" t="n">
        <v>2023</v>
      </c>
      <c r="C321" t="n">
        <v>1</v>
      </c>
      <c r="D321" t="n">
        <v>19801</v>
      </c>
      <c r="E321" t="n">
        <v>280</v>
      </c>
      <c r="F321" t="n">
        <v>100</v>
      </c>
      <c r="G321" t="n">
        <v>19421</v>
      </c>
      <c r="H321" t="n">
        <v>15310</v>
      </c>
      <c r="I321" t="n">
        <v>63431</v>
      </c>
      <c r="J321" t="n">
        <v>426171.6000000006</v>
      </c>
      <c r="K321" t="n">
        <v>19297</v>
      </c>
      <c r="L321" t="n">
        <v>79880</v>
      </c>
      <c r="M321" t="n">
        <v>58276</v>
      </c>
      <c r="N321" t="n">
        <v>64573</v>
      </c>
      <c r="O321" t="n">
        <v>7574</v>
      </c>
      <c r="P321" t="n">
        <v>749</v>
      </c>
    </row>
    <row r="322">
      <c r="A322" t="inlineStr">
        <is>
          <t>AS</t>
        </is>
      </c>
      <c r="B322" t="n">
        <v>2023</v>
      </c>
      <c r="C322" t="n">
        <v>2</v>
      </c>
      <c r="D322" t="n">
        <v>17913</v>
      </c>
      <c r="E322" t="n">
        <v>573</v>
      </c>
      <c r="F322" t="n">
        <v>89</v>
      </c>
      <c r="G322" t="n">
        <v>17251</v>
      </c>
      <c r="H322" t="n">
        <v>13340</v>
      </c>
      <c r="I322" t="n">
        <v>91092</v>
      </c>
      <c r="J322" t="n">
        <v>378621.7999999999</v>
      </c>
      <c r="K322" t="n">
        <v>17392</v>
      </c>
      <c r="L322" t="n">
        <v>77330</v>
      </c>
      <c r="M322" t="n">
        <v>67846</v>
      </c>
      <c r="N322" t="n">
        <v>56511</v>
      </c>
      <c r="O322" t="n">
        <v>10304</v>
      </c>
      <c r="P322" t="n">
        <v>764</v>
      </c>
    </row>
    <row r="323">
      <c r="A323" t="inlineStr">
        <is>
          <t>AS</t>
        </is>
      </c>
      <c r="B323" t="n">
        <v>2023</v>
      </c>
      <c r="C323" t="n">
        <v>3</v>
      </c>
      <c r="D323" t="n">
        <v>19975</v>
      </c>
      <c r="E323" t="n">
        <v>204</v>
      </c>
      <c r="F323" t="n">
        <v>76</v>
      </c>
      <c r="G323" t="n">
        <v>19695</v>
      </c>
      <c r="H323" t="n">
        <v>15308</v>
      </c>
      <c r="I323" t="n">
        <v>102565</v>
      </c>
      <c r="J323" t="n">
        <v>419132.4</v>
      </c>
      <c r="K323" t="n">
        <v>19211</v>
      </c>
      <c r="L323" t="n">
        <v>86023</v>
      </c>
      <c r="M323" t="n">
        <v>60064</v>
      </c>
      <c r="N323" t="n">
        <v>59572</v>
      </c>
      <c r="O323" t="n">
        <v>8835</v>
      </c>
      <c r="P323" t="n">
        <v>1638</v>
      </c>
    </row>
    <row r="324">
      <c r="A324" t="inlineStr">
        <is>
          <t>AS</t>
        </is>
      </c>
      <c r="B324" t="n">
        <v>2023</v>
      </c>
      <c r="C324" t="n">
        <v>4</v>
      </c>
      <c r="D324" t="n">
        <v>19573</v>
      </c>
      <c r="E324" t="n">
        <v>220</v>
      </c>
      <c r="F324" t="n">
        <v>47</v>
      </c>
      <c r="G324" t="n">
        <v>19306</v>
      </c>
      <c r="H324" t="n">
        <v>15125</v>
      </c>
      <c r="I324" t="n">
        <v>79002</v>
      </c>
      <c r="J324" t="n">
        <v>393175.4</v>
      </c>
      <c r="K324" t="n">
        <v>18849</v>
      </c>
      <c r="L324" t="n">
        <v>69824</v>
      </c>
      <c r="M324" t="n">
        <v>60748</v>
      </c>
      <c r="N324" t="n">
        <v>59288</v>
      </c>
      <c r="O324" t="n">
        <v>7870</v>
      </c>
      <c r="P324" t="n">
        <v>967</v>
      </c>
    </row>
    <row r="325">
      <c r="A325" t="inlineStr">
        <is>
          <t>AS</t>
        </is>
      </c>
      <c r="B325" t="n">
        <v>2023</v>
      </c>
      <c r="C325" t="n">
        <v>5</v>
      </c>
      <c r="D325" t="n">
        <v>20641</v>
      </c>
      <c r="E325" t="n">
        <v>79</v>
      </c>
      <c r="F325" t="n">
        <v>30</v>
      </c>
      <c r="G325" t="n">
        <v>20532</v>
      </c>
      <c r="H325" t="n">
        <v>17169</v>
      </c>
      <c r="I325" t="n">
        <v>-4370</v>
      </c>
      <c r="J325" t="n">
        <v>408071.1000000003</v>
      </c>
      <c r="K325" t="n">
        <v>19990</v>
      </c>
      <c r="L325" t="n">
        <v>49988</v>
      </c>
      <c r="M325" t="n">
        <v>49252</v>
      </c>
      <c r="N325" t="n">
        <v>44052</v>
      </c>
      <c r="O325" t="n">
        <v>5543</v>
      </c>
      <c r="P325" t="n">
        <v>1788</v>
      </c>
    </row>
    <row r="326">
      <c r="A326" t="inlineStr">
        <is>
          <t>AS</t>
        </is>
      </c>
      <c r="B326" t="n">
        <v>2023</v>
      </c>
      <c r="C326" t="n">
        <v>6</v>
      </c>
      <c r="D326" t="n">
        <v>21337</v>
      </c>
      <c r="E326" t="n">
        <v>79</v>
      </c>
      <c r="F326" t="n">
        <v>62</v>
      </c>
      <c r="G326" t="n">
        <v>21196</v>
      </c>
      <c r="H326" t="n">
        <v>16334</v>
      </c>
      <c r="I326" t="n">
        <v>113279</v>
      </c>
      <c r="J326" t="n">
        <v>413842.5999999995</v>
      </c>
      <c r="K326" t="n">
        <v>20794</v>
      </c>
      <c r="L326" t="n">
        <v>89300</v>
      </c>
      <c r="M326" t="n">
        <v>77447</v>
      </c>
      <c r="N326" t="n">
        <v>65135</v>
      </c>
      <c r="O326" t="n">
        <v>7736</v>
      </c>
      <c r="P326" t="n">
        <v>1816</v>
      </c>
    </row>
    <row r="327">
      <c r="A327" t="inlineStr">
        <is>
          <t>AS</t>
        </is>
      </c>
      <c r="B327" t="n">
        <v>2023</v>
      </c>
      <c r="C327" t="n">
        <v>7</v>
      </c>
      <c r="D327" t="n">
        <v>22743</v>
      </c>
      <c r="E327" t="n">
        <v>112</v>
      </c>
      <c r="F327" t="n">
        <v>60</v>
      </c>
      <c r="G327" t="n">
        <v>22571</v>
      </c>
      <c r="H327" t="n">
        <v>17671</v>
      </c>
      <c r="I327" t="n">
        <v>143945</v>
      </c>
      <c r="J327" t="n">
        <v>442568.999999999</v>
      </c>
      <c r="K327" t="n">
        <v>22022</v>
      </c>
      <c r="L327" t="n">
        <v>121469</v>
      </c>
      <c r="M327" t="n">
        <v>81533</v>
      </c>
      <c r="N327" t="n">
        <v>68270</v>
      </c>
      <c r="O327" t="n">
        <v>13064</v>
      </c>
      <c r="P327" t="n">
        <v>1502</v>
      </c>
    </row>
    <row r="328">
      <c r="A328" t="inlineStr">
        <is>
          <t>AS</t>
        </is>
      </c>
      <c r="B328" t="n">
        <v>2023</v>
      </c>
      <c r="C328" t="n">
        <v>8</v>
      </c>
      <c r="D328" t="n">
        <v>22974</v>
      </c>
      <c r="E328" t="n">
        <v>81</v>
      </c>
      <c r="F328" t="n">
        <v>51</v>
      </c>
      <c r="G328" t="n">
        <v>22842</v>
      </c>
      <c r="H328" t="n">
        <v>18150</v>
      </c>
      <c r="I328" t="n">
        <v>82489</v>
      </c>
      <c r="J328" t="n">
        <v>440656.4999999991</v>
      </c>
      <c r="K328" t="n">
        <v>22241</v>
      </c>
      <c r="L328" t="n">
        <v>87728</v>
      </c>
      <c r="M328" t="n">
        <v>76435</v>
      </c>
      <c r="N328" t="n">
        <v>55490</v>
      </c>
      <c r="O328" t="n">
        <v>8966</v>
      </c>
      <c r="P328" t="n">
        <v>1572</v>
      </c>
    </row>
    <row r="329">
      <c r="A329" t="inlineStr">
        <is>
          <t>AS</t>
        </is>
      </c>
      <c r="B329" t="n">
        <v>2023</v>
      </c>
      <c r="C329" t="n">
        <v>9</v>
      </c>
      <c r="D329" t="n">
        <v>21426</v>
      </c>
      <c r="E329" t="n">
        <v>87</v>
      </c>
      <c r="F329" t="n">
        <v>42</v>
      </c>
      <c r="G329" t="n">
        <v>21297</v>
      </c>
      <c r="H329" t="n">
        <v>17559</v>
      </c>
      <c r="I329" t="n">
        <v>34100</v>
      </c>
      <c r="J329" t="n">
        <v>438953.3999999982</v>
      </c>
      <c r="K329" t="n">
        <v>20659</v>
      </c>
      <c r="L329" t="n">
        <v>67831</v>
      </c>
      <c r="M329" t="n">
        <v>61102</v>
      </c>
      <c r="N329" t="n">
        <v>47439</v>
      </c>
      <c r="O329" t="n">
        <v>8823</v>
      </c>
      <c r="P329" t="n">
        <v>1130</v>
      </c>
    </row>
    <row r="330">
      <c r="A330" t="inlineStr">
        <is>
          <t>AS</t>
        </is>
      </c>
      <c r="B330" t="n">
        <v>2023</v>
      </c>
      <c r="C330" t="n">
        <v>10</v>
      </c>
      <c r="D330" t="n">
        <v>20306</v>
      </c>
      <c r="E330" t="n">
        <v>48</v>
      </c>
      <c r="F330" t="n">
        <v>48</v>
      </c>
      <c r="G330" t="n">
        <v>20210</v>
      </c>
      <c r="H330" t="n">
        <v>17304</v>
      </c>
      <c r="I330" t="n">
        <v>-38577</v>
      </c>
      <c r="J330" t="n">
        <v>451851.200000001</v>
      </c>
      <c r="K330" t="n">
        <v>19889</v>
      </c>
      <c r="L330" t="n">
        <v>44718</v>
      </c>
      <c r="M330" t="n">
        <v>48924</v>
      </c>
      <c r="N330" t="n">
        <v>35119</v>
      </c>
      <c r="O330" t="n">
        <v>3639</v>
      </c>
      <c r="P330" t="n">
        <v>741</v>
      </c>
    </row>
    <row r="331">
      <c r="A331" t="inlineStr">
        <is>
          <t>AS</t>
        </is>
      </c>
      <c r="B331" t="n">
        <v>2023</v>
      </c>
      <c r="C331" t="n">
        <v>11</v>
      </c>
      <c r="D331" t="n">
        <v>19255</v>
      </c>
      <c r="E331" t="n">
        <v>86</v>
      </c>
      <c r="F331" t="n">
        <v>58</v>
      </c>
      <c r="G331" t="n">
        <v>19111</v>
      </c>
      <c r="H331" t="n">
        <v>15931</v>
      </c>
      <c r="I331" t="n">
        <v>-20326</v>
      </c>
      <c r="J331" t="n">
        <v>450907.2999999985</v>
      </c>
      <c r="K331" t="n">
        <v>18535</v>
      </c>
      <c r="L331" t="n">
        <v>53652</v>
      </c>
      <c r="M331" t="n">
        <v>44591</v>
      </c>
      <c r="N331" t="n">
        <v>38426</v>
      </c>
      <c r="O331" t="n">
        <v>7348</v>
      </c>
      <c r="P331" t="n">
        <v>802</v>
      </c>
    </row>
    <row r="332">
      <c r="A332" t="inlineStr">
        <is>
          <t>AS</t>
        </is>
      </c>
      <c r="B332" t="n">
        <v>2023</v>
      </c>
      <c r="C332" t="n">
        <v>12</v>
      </c>
      <c r="D332" t="n">
        <v>19400</v>
      </c>
      <c r="E332" t="n">
        <v>128</v>
      </c>
      <c r="F332" t="n">
        <v>61</v>
      </c>
      <c r="G332" t="n">
        <v>19211</v>
      </c>
      <c r="H332" t="n">
        <v>15794</v>
      </c>
      <c r="I332" t="n">
        <v>-19491</v>
      </c>
      <c r="J332" t="n">
        <v>478059.6000000007</v>
      </c>
      <c r="K332" t="n">
        <v>18308</v>
      </c>
      <c r="L332" t="n">
        <v>62843</v>
      </c>
      <c r="M332" t="n">
        <v>54585</v>
      </c>
      <c r="N332" t="n">
        <v>41133</v>
      </c>
      <c r="O332" t="n">
        <v>7048</v>
      </c>
      <c r="P332" t="n">
        <v>1450</v>
      </c>
    </row>
    <row r="333">
      <c r="A333" t="inlineStr">
        <is>
          <t>AS</t>
        </is>
      </c>
      <c r="B333" t="n">
        <v>2024</v>
      </c>
      <c r="C333" t="n">
        <v>1</v>
      </c>
      <c r="D333" t="n">
        <v>17775</v>
      </c>
      <c r="E333" t="n">
        <v>3119</v>
      </c>
      <c r="F333" t="n">
        <v>161</v>
      </c>
      <c r="G333" t="n">
        <v>14495</v>
      </c>
      <c r="H333" t="n">
        <v>10500</v>
      </c>
      <c r="I333" t="n">
        <v>150482</v>
      </c>
      <c r="J333" t="n">
        <v>404945.8000000015</v>
      </c>
      <c r="K333" t="n">
        <v>16943</v>
      </c>
      <c r="L333" t="n">
        <v>126270</v>
      </c>
      <c r="M333" t="n">
        <v>72119</v>
      </c>
      <c r="N333" t="n">
        <v>43197</v>
      </c>
      <c r="O333" t="n">
        <v>14791</v>
      </c>
      <c r="P333" t="n">
        <v>1446</v>
      </c>
    </row>
    <row r="334">
      <c r="A334" t="inlineStr">
        <is>
          <t>AS</t>
        </is>
      </c>
      <c r="B334" t="n">
        <v>2024</v>
      </c>
      <c r="C334" t="n">
        <v>2</v>
      </c>
      <c r="D334" t="n">
        <v>16863</v>
      </c>
      <c r="E334" t="n">
        <v>137</v>
      </c>
      <c r="F334" t="n">
        <v>56</v>
      </c>
      <c r="G334" t="n">
        <v>16670</v>
      </c>
      <c r="H334" t="n">
        <v>13801</v>
      </c>
      <c r="I334" t="n">
        <v>-17154</v>
      </c>
      <c r="J334" t="n">
        <v>376910.6000000006</v>
      </c>
      <c r="K334" t="n">
        <v>16138</v>
      </c>
      <c r="L334" t="n">
        <v>51661</v>
      </c>
      <c r="M334" t="n">
        <v>41464</v>
      </c>
      <c r="N334" t="n">
        <v>42653</v>
      </c>
      <c r="O334" t="n">
        <v>5195</v>
      </c>
      <c r="P334" t="n">
        <v>940</v>
      </c>
    </row>
    <row r="335">
      <c r="A335" t="inlineStr">
        <is>
          <t>AS</t>
        </is>
      </c>
      <c r="B335" t="n">
        <v>2024</v>
      </c>
      <c r="C335" t="n">
        <v>3</v>
      </c>
      <c r="D335" t="n">
        <v>19639</v>
      </c>
      <c r="E335" t="n">
        <v>143</v>
      </c>
      <c r="F335" t="n">
        <v>52</v>
      </c>
      <c r="G335" t="n">
        <v>19444</v>
      </c>
      <c r="H335" t="n">
        <v>15199</v>
      </c>
      <c r="I335" t="n">
        <v>81043</v>
      </c>
      <c r="J335" t="n">
        <v>449689.8999999989</v>
      </c>
      <c r="K335" t="n">
        <v>18703</v>
      </c>
      <c r="L335" t="n">
        <v>96004</v>
      </c>
      <c r="M335" t="n">
        <v>65487</v>
      </c>
      <c r="N335" t="n">
        <v>61719</v>
      </c>
      <c r="O335" t="n">
        <v>6553</v>
      </c>
      <c r="P335" t="n">
        <v>859</v>
      </c>
    </row>
    <row r="336">
      <c r="A336" t="inlineStr">
        <is>
          <t>AS</t>
        </is>
      </c>
      <c r="B336" t="n">
        <v>2024</v>
      </c>
      <c r="C336" t="n">
        <v>4</v>
      </c>
      <c r="D336" t="n">
        <v>19430</v>
      </c>
      <c r="E336" t="n">
        <v>108</v>
      </c>
      <c r="F336" t="n">
        <v>35</v>
      </c>
      <c r="G336" t="n">
        <v>19287</v>
      </c>
      <c r="H336" t="n">
        <v>15286</v>
      </c>
      <c r="I336" t="n">
        <v>65912</v>
      </c>
      <c r="J336" t="n">
        <v>418346.5000000004</v>
      </c>
      <c r="K336" t="n">
        <v>18507</v>
      </c>
      <c r="L336" t="n">
        <v>84174</v>
      </c>
      <c r="M336" t="n">
        <v>65953</v>
      </c>
      <c r="N336" t="n">
        <v>55325</v>
      </c>
      <c r="O336" t="n">
        <v>6239</v>
      </c>
      <c r="P336" t="n">
        <v>1845</v>
      </c>
    </row>
    <row r="337">
      <c r="A337" t="inlineStr">
        <is>
          <t>AS</t>
        </is>
      </c>
      <c r="B337" t="n">
        <v>2024</v>
      </c>
      <c r="C337" t="n">
        <v>5</v>
      </c>
      <c r="D337" t="n">
        <v>21257</v>
      </c>
      <c r="E337" t="n">
        <v>117</v>
      </c>
      <c r="F337" t="n">
        <v>42</v>
      </c>
      <c r="G337" t="n">
        <v>21098</v>
      </c>
      <c r="H337" t="n">
        <v>16012</v>
      </c>
      <c r="I337" t="n">
        <v>124814</v>
      </c>
      <c r="J337" t="n">
        <v>423631.5999999996</v>
      </c>
      <c r="K337" t="n">
        <v>20138</v>
      </c>
      <c r="L337" t="n">
        <v>92435</v>
      </c>
      <c r="M337" t="n">
        <v>76579</v>
      </c>
      <c r="N337" t="n">
        <v>66884</v>
      </c>
      <c r="O337" t="n">
        <v>6791</v>
      </c>
      <c r="P337" t="n">
        <v>1018</v>
      </c>
    </row>
    <row r="338">
      <c r="A338" t="inlineStr">
        <is>
          <t>AS</t>
        </is>
      </c>
      <c r="B338" t="n">
        <v>2024</v>
      </c>
      <c r="C338" t="n">
        <v>6</v>
      </c>
      <c r="D338" t="n">
        <v>22166</v>
      </c>
      <c r="E338" t="n">
        <v>153</v>
      </c>
      <c r="F338" t="n">
        <v>40</v>
      </c>
      <c r="G338" t="n">
        <v>21973</v>
      </c>
      <c r="H338" t="n">
        <v>16379</v>
      </c>
      <c r="I338" t="n">
        <v>164560</v>
      </c>
      <c r="J338" t="n">
        <v>414335.899999998</v>
      </c>
      <c r="K338" t="n">
        <v>21082</v>
      </c>
      <c r="L338" t="n">
        <v>109134</v>
      </c>
      <c r="M338" t="n">
        <v>78224</v>
      </c>
      <c r="N338" t="n">
        <v>73012</v>
      </c>
      <c r="O338" t="n">
        <v>11982</v>
      </c>
      <c r="P338" t="n">
        <v>1152</v>
      </c>
    </row>
    <row r="339">
      <c r="A339" t="inlineStr">
        <is>
          <t>AS</t>
        </is>
      </c>
      <c r="B339" t="n">
        <v>2024</v>
      </c>
      <c r="C339" t="n">
        <v>7</v>
      </c>
      <c r="D339" t="n">
        <v>23884</v>
      </c>
      <c r="E339" t="n">
        <v>220</v>
      </c>
      <c r="F339" t="n">
        <v>39</v>
      </c>
      <c r="G339" t="n">
        <v>23625</v>
      </c>
      <c r="H339" t="n">
        <v>17497</v>
      </c>
      <c r="I339" t="n">
        <v>174374</v>
      </c>
      <c r="J339" t="n">
        <v>437981.1999999988</v>
      </c>
      <c r="K339" t="n">
        <v>22728</v>
      </c>
      <c r="L339" t="n">
        <v>121046</v>
      </c>
      <c r="M339" t="n">
        <v>85048</v>
      </c>
      <c r="N339" t="n">
        <v>74840</v>
      </c>
      <c r="O339" t="n">
        <v>9706</v>
      </c>
      <c r="P339" t="n">
        <v>1274</v>
      </c>
    </row>
    <row r="340">
      <c r="A340" t="inlineStr">
        <is>
          <t>AS</t>
        </is>
      </c>
      <c r="B340" t="n">
        <v>2024</v>
      </c>
      <c r="C340" t="n">
        <v>8</v>
      </c>
      <c r="D340" t="n">
        <v>23265</v>
      </c>
      <c r="E340" t="n">
        <v>261</v>
      </c>
      <c r="F340" t="n">
        <v>72</v>
      </c>
      <c r="G340" t="n">
        <v>22932</v>
      </c>
      <c r="H340" t="n">
        <v>17159</v>
      </c>
      <c r="I340" t="n">
        <v>177404</v>
      </c>
      <c r="J340" t="n">
        <v>435846.5999999978</v>
      </c>
      <c r="K340" t="n">
        <v>22225</v>
      </c>
      <c r="L340" t="n">
        <v>119624</v>
      </c>
      <c r="M340" t="n">
        <v>78453</v>
      </c>
      <c r="N340" t="n">
        <v>78839</v>
      </c>
      <c r="O340" t="n">
        <v>16470</v>
      </c>
      <c r="P340" t="n">
        <v>1170</v>
      </c>
    </row>
    <row r="341">
      <c r="A341" t="inlineStr">
        <is>
          <t>AS</t>
        </is>
      </c>
      <c r="B341" t="n">
        <v>2024</v>
      </c>
      <c r="C341" t="n">
        <v>9</v>
      </c>
      <c r="D341" t="n">
        <v>21548</v>
      </c>
      <c r="E341" t="n">
        <v>140</v>
      </c>
      <c r="F341" t="n">
        <v>48</v>
      </c>
      <c r="G341" t="n">
        <v>21360</v>
      </c>
      <c r="H341" t="n">
        <v>17037</v>
      </c>
      <c r="I341" t="n">
        <v>60910</v>
      </c>
      <c r="J341" t="n">
        <v>424561.800000001</v>
      </c>
      <c r="K341" t="n">
        <v>20605</v>
      </c>
      <c r="L341" t="n">
        <v>70563</v>
      </c>
      <c r="M341" t="n">
        <v>60360</v>
      </c>
      <c r="N341" t="n">
        <v>57276</v>
      </c>
      <c r="O341" t="n">
        <v>5280</v>
      </c>
      <c r="P341" t="n">
        <v>789</v>
      </c>
    </row>
    <row r="342">
      <c r="A342" t="inlineStr">
        <is>
          <t>AS</t>
        </is>
      </c>
      <c r="B342" t="n">
        <v>2024</v>
      </c>
      <c r="C342" t="n">
        <v>10</v>
      </c>
      <c r="D342" t="n">
        <v>20503</v>
      </c>
      <c r="E342" t="n">
        <v>174</v>
      </c>
      <c r="F342" t="n">
        <v>42</v>
      </c>
      <c r="G342" t="n">
        <v>20287</v>
      </c>
      <c r="H342" t="n">
        <v>16851</v>
      </c>
      <c r="I342" t="n">
        <v>6993</v>
      </c>
      <c r="J342" t="n">
        <v>429923.6999999995</v>
      </c>
      <c r="K342" t="n">
        <v>19787</v>
      </c>
      <c r="L342" t="n">
        <v>52403</v>
      </c>
      <c r="M342" t="n">
        <v>49401</v>
      </c>
      <c r="N342" t="n">
        <v>47222</v>
      </c>
      <c r="O342" t="n">
        <v>6683</v>
      </c>
      <c r="P342" t="n">
        <v>1052</v>
      </c>
    </row>
    <row r="343">
      <c r="A343" t="inlineStr">
        <is>
          <t>AS</t>
        </is>
      </c>
      <c r="B343" t="n">
        <v>2024</v>
      </c>
      <c r="C343" t="n">
        <v>11</v>
      </c>
      <c r="D343" t="n">
        <v>19462</v>
      </c>
      <c r="E343" t="n">
        <v>115</v>
      </c>
      <c r="F343" t="n">
        <v>36</v>
      </c>
      <c r="G343" t="n">
        <v>19311</v>
      </c>
      <c r="H343" t="n">
        <v>16041</v>
      </c>
      <c r="I343" t="n">
        <v>5396</v>
      </c>
      <c r="J343" t="n">
        <v>418097.9000000014</v>
      </c>
      <c r="K343" t="n">
        <v>18635</v>
      </c>
      <c r="L343" t="n">
        <v>50717</v>
      </c>
      <c r="M343" t="n">
        <v>41670</v>
      </c>
      <c r="N343" t="n">
        <v>54362</v>
      </c>
      <c r="O343" t="n">
        <v>2907</v>
      </c>
      <c r="P343" t="n">
        <v>574</v>
      </c>
    </row>
    <row r="344">
      <c r="A344" t="inlineStr">
        <is>
          <t>AS</t>
        </is>
      </c>
      <c r="B344" t="n">
        <v>2024</v>
      </c>
      <c r="C344" t="n">
        <v>12</v>
      </c>
      <c r="D344" t="n">
        <v>20027</v>
      </c>
      <c r="E344" t="n">
        <v>124</v>
      </c>
      <c r="F344" t="n">
        <v>62</v>
      </c>
      <c r="G344" t="n">
        <v>19841</v>
      </c>
      <c r="H344" t="n">
        <v>15517</v>
      </c>
      <c r="I344" t="n">
        <v>78995</v>
      </c>
      <c r="J344" t="n">
        <v>481720.5</v>
      </c>
      <c r="K344" t="n">
        <v>19003</v>
      </c>
      <c r="L344" t="n">
        <v>96222</v>
      </c>
      <c r="M344" t="n">
        <v>60126</v>
      </c>
      <c r="N344" t="n">
        <v>61425</v>
      </c>
      <c r="O344" t="n">
        <v>12362</v>
      </c>
      <c r="P344" t="n">
        <v>1273</v>
      </c>
    </row>
    <row r="345">
      <c r="A345" t="inlineStr">
        <is>
          <t>AS</t>
        </is>
      </c>
      <c r="B345" t="n">
        <v>2025</v>
      </c>
      <c r="C345" t="n">
        <v>1</v>
      </c>
      <c r="D345" t="n">
        <v>18163</v>
      </c>
      <c r="E345" t="n">
        <v>243</v>
      </c>
      <c r="F345" t="n">
        <v>73</v>
      </c>
      <c r="G345" t="n">
        <v>17847</v>
      </c>
      <c r="H345" t="n">
        <v>14710</v>
      </c>
      <c r="I345" t="n">
        <v>-2139</v>
      </c>
      <c r="J345" t="n">
        <v>430627.7000000017</v>
      </c>
      <c r="K345" t="n">
        <v>17287</v>
      </c>
      <c r="L345" t="n">
        <v>57916</v>
      </c>
      <c r="M345" t="n">
        <v>48474</v>
      </c>
      <c r="N345" t="n">
        <v>39258</v>
      </c>
      <c r="O345" t="n">
        <v>11786</v>
      </c>
      <c r="P345" t="n">
        <v>1163</v>
      </c>
    </row>
    <row r="346">
      <c r="A346" t="inlineStr">
        <is>
          <t>AS</t>
        </is>
      </c>
      <c r="B346" t="n">
        <v>2025</v>
      </c>
      <c r="C346" t="n">
        <v>2</v>
      </c>
      <c r="D346" t="n">
        <v>16315</v>
      </c>
      <c r="E346" t="n">
        <v>352</v>
      </c>
      <c r="F346" t="n">
        <v>46</v>
      </c>
      <c r="G346" t="n">
        <v>15917</v>
      </c>
      <c r="H346" t="n">
        <v>12555</v>
      </c>
      <c r="I346" t="n">
        <v>44655</v>
      </c>
      <c r="J346" t="n">
        <v>375865.8000000014</v>
      </c>
      <c r="K346" t="n">
        <v>15552</v>
      </c>
      <c r="L346" t="n">
        <v>62012</v>
      </c>
      <c r="M346" t="n">
        <v>47557</v>
      </c>
      <c r="N346" t="n">
        <v>57993</v>
      </c>
      <c r="O346" t="n">
        <v>9634</v>
      </c>
      <c r="P346" t="n">
        <v>757</v>
      </c>
    </row>
    <row r="347">
      <c r="A347" t="inlineStr">
        <is>
          <t>AS</t>
        </is>
      </c>
      <c r="B347" t="n">
        <v>2025</v>
      </c>
      <c r="C347" t="n">
        <v>3</v>
      </c>
      <c r="D347" t="n">
        <v>18925</v>
      </c>
      <c r="E347" t="n">
        <v>123</v>
      </c>
      <c r="F347" t="n">
        <v>46</v>
      </c>
      <c r="G347" t="n">
        <v>18756</v>
      </c>
      <c r="H347" t="n">
        <v>15203</v>
      </c>
      <c r="I347" t="n">
        <v>23045</v>
      </c>
      <c r="J347" t="n">
        <v>439562.9999999994</v>
      </c>
      <c r="K347" t="n">
        <v>17874</v>
      </c>
      <c r="L347" t="n">
        <v>71000</v>
      </c>
      <c r="M347" t="n">
        <v>50098</v>
      </c>
      <c r="N347" t="n">
        <v>52056</v>
      </c>
      <c r="O347" t="n">
        <v>7044</v>
      </c>
      <c r="P347" t="n">
        <v>358</v>
      </c>
    </row>
    <row r="348">
      <c r="A348" t="inlineStr">
        <is>
          <t>AS</t>
        </is>
      </c>
      <c r="B348" t="n">
        <v>2025</v>
      </c>
      <c r="C348" t="n">
        <v>4</v>
      </c>
      <c r="D348" t="n">
        <v>19025</v>
      </c>
      <c r="E348" t="n">
        <v>80</v>
      </c>
      <c r="F348" t="n">
        <v>34</v>
      </c>
      <c r="G348" t="n">
        <v>18911</v>
      </c>
      <c r="H348" t="n">
        <v>15343</v>
      </c>
      <c r="I348" t="n">
        <v>27155</v>
      </c>
      <c r="J348" t="n">
        <v>425237.6999999997</v>
      </c>
      <c r="K348" t="n">
        <v>17961</v>
      </c>
      <c r="L348" t="n">
        <v>68345</v>
      </c>
      <c r="M348" t="n">
        <v>52461</v>
      </c>
      <c r="N348" t="n">
        <v>48657</v>
      </c>
      <c r="O348" t="n">
        <v>3490</v>
      </c>
      <c r="P348" t="n">
        <v>657</v>
      </c>
    </row>
    <row r="349">
      <c r="A349" t="inlineStr">
        <is>
          <t>AS</t>
        </is>
      </c>
      <c r="B349" t="n">
        <v>2025</v>
      </c>
      <c r="C349" t="n">
        <v>5</v>
      </c>
      <c r="D349" t="n">
        <v>21751</v>
      </c>
      <c r="E349" t="n">
        <v>121</v>
      </c>
      <c r="F349" t="n">
        <v>30</v>
      </c>
      <c r="G349" t="n">
        <v>21600</v>
      </c>
      <c r="H349" t="n">
        <v>16162</v>
      </c>
      <c r="I349" t="n">
        <v>151574</v>
      </c>
      <c r="J349" t="n">
        <v>447107.2000000002</v>
      </c>
      <c r="K349" t="n">
        <v>20427</v>
      </c>
      <c r="L349" t="n">
        <v>105188</v>
      </c>
      <c r="M349" t="n">
        <v>66414</v>
      </c>
      <c r="N349" t="n">
        <v>93945</v>
      </c>
      <c r="O349" t="n">
        <v>7549</v>
      </c>
      <c r="P349" t="n">
        <v>860</v>
      </c>
    </row>
    <row r="350">
      <c r="A350" t="inlineStr">
        <is>
          <t>AS</t>
        </is>
      </c>
      <c r="B350" t="n">
        <v>2025</v>
      </c>
      <c r="C350" t="n">
        <v>6</v>
      </c>
      <c r="D350" t="n">
        <v>22576</v>
      </c>
      <c r="E350" t="n">
        <v>174</v>
      </c>
      <c r="F350" t="n">
        <v>49</v>
      </c>
      <c r="G350" t="n">
        <v>22353</v>
      </c>
      <c r="H350" t="n">
        <v>15580</v>
      </c>
      <c r="I350" t="n">
        <v>245240</v>
      </c>
      <c r="J350" t="n">
        <v>452441.5999999999</v>
      </c>
      <c r="K350" t="n">
        <v>21257</v>
      </c>
      <c r="L350" t="n">
        <v>145839</v>
      </c>
      <c r="M350" t="n">
        <v>88720</v>
      </c>
      <c r="N350" t="n">
        <v>94096</v>
      </c>
      <c r="O350" t="n">
        <v>9757</v>
      </c>
      <c r="P350" t="n">
        <v>2462</v>
      </c>
    </row>
    <row r="351">
      <c r="A351" t="inlineStr">
        <is>
          <t>AS</t>
        </is>
      </c>
      <c r="B351" t="n">
        <v>2025</v>
      </c>
      <c r="C351" t="n">
        <v>7</v>
      </c>
      <c r="D351" t="n">
        <v>23619</v>
      </c>
      <c r="E351" t="n">
        <v>512</v>
      </c>
      <c r="F351" t="n">
        <v>95</v>
      </c>
      <c r="G351" t="n">
        <v>23012</v>
      </c>
      <c r="H351" t="n">
        <v>15961</v>
      </c>
      <c r="I351" t="n">
        <v>277500</v>
      </c>
      <c r="J351" t="n">
        <v>480622.1999999998</v>
      </c>
      <c r="K351" t="n">
        <v>22203</v>
      </c>
      <c r="L351" t="n">
        <v>169521</v>
      </c>
      <c r="M351" t="n">
        <v>96593</v>
      </c>
      <c r="N351" t="n">
        <v>99825</v>
      </c>
      <c r="O351" t="n">
        <v>13437</v>
      </c>
      <c r="P351" t="n">
        <v>2125</v>
      </c>
    </row>
    <row r="352">
      <c r="A352" t="inlineStr">
        <is>
          <t>AS</t>
        </is>
      </c>
      <c r="B352" t="n">
        <v>2025</v>
      </c>
      <c r="C352" t="n">
        <v>8</v>
      </c>
      <c r="D352" t="n">
        <v>22976</v>
      </c>
      <c r="E352" t="n">
        <v>247</v>
      </c>
      <c r="F352" t="n">
        <v>39</v>
      </c>
      <c r="G352" t="n">
        <v>22690</v>
      </c>
      <c r="H352" t="n">
        <v>16523</v>
      </c>
      <c r="I352" t="n">
        <v>186019</v>
      </c>
      <c r="J352" t="n">
        <v>478899.3999999999</v>
      </c>
      <c r="K352" t="n">
        <v>21692</v>
      </c>
      <c r="L352" t="n">
        <v>135126</v>
      </c>
      <c r="M352" t="n">
        <v>87769</v>
      </c>
      <c r="N352" t="n">
        <v>72272</v>
      </c>
      <c r="O352" t="n">
        <v>7911</v>
      </c>
      <c r="P352" t="n">
        <v>1699</v>
      </c>
    </row>
    <row r="353">
      <c r="A353" t="inlineStr">
        <is>
          <t>AS</t>
        </is>
      </c>
      <c r="B353" t="n">
        <v>2025</v>
      </c>
      <c r="C353" t="n">
        <v>9</v>
      </c>
      <c r="D353" t="n">
        <v>20747</v>
      </c>
      <c r="E353" t="n">
        <v>132</v>
      </c>
      <c r="F353" t="n">
        <v>48</v>
      </c>
      <c r="G353" t="n">
        <v>20567</v>
      </c>
      <c r="H353" t="n">
        <v>17198</v>
      </c>
      <c r="I353" t="n">
        <v>-20498</v>
      </c>
      <c r="J353" t="n">
        <v>490954.699999999</v>
      </c>
      <c r="K353" t="n">
        <v>19726</v>
      </c>
      <c r="L353" t="n">
        <v>57884</v>
      </c>
      <c r="M353" t="n">
        <v>49301</v>
      </c>
      <c r="N353" t="n">
        <v>48281</v>
      </c>
      <c r="O353" t="n">
        <v>5796</v>
      </c>
      <c r="P353" t="n">
        <v>1338</v>
      </c>
    </row>
    <row r="354">
      <c r="A354" t="inlineStr">
        <is>
          <t>AS</t>
        </is>
      </c>
      <c r="B354" t="n">
        <v>2025</v>
      </c>
      <c r="C354" t="n">
        <v>10</v>
      </c>
      <c r="D354" t="n">
        <v>20637</v>
      </c>
      <c r="E354" t="n">
        <v>425</v>
      </c>
      <c r="F354" t="n">
        <v>55</v>
      </c>
      <c r="G354" t="n">
        <v>20157</v>
      </c>
      <c r="H354" t="n">
        <v>16143</v>
      </c>
      <c r="I354" t="n">
        <v>59141</v>
      </c>
      <c r="J354" t="n">
        <v>497062.0999999993</v>
      </c>
      <c r="K354" t="n">
        <v>19662</v>
      </c>
      <c r="L354" t="n">
        <v>78086</v>
      </c>
      <c r="M354" t="n">
        <v>78075</v>
      </c>
      <c r="N354" t="n">
        <v>62126</v>
      </c>
      <c r="O354" t="n">
        <v>5664</v>
      </c>
      <c r="P354" t="n">
        <v>616</v>
      </c>
    </row>
    <row r="355">
      <c r="A355" t="inlineStr">
        <is>
          <t>AS</t>
        </is>
      </c>
      <c r="B355" t="n">
        <v>2025</v>
      </c>
      <c r="C355" t="n">
        <v>11</v>
      </c>
      <c r="D355" t="n">
        <v>19752</v>
      </c>
      <c r="E355" t="n">
        <v>258</v>
      </c>
      <c r="F355" t="n">
        <v>72</v>
      </c>
      <c r="G355" t="n">
        <v>19422</v>
      </c>
      <c r="H355" t="n">
        <v>15769</v>
      </c>
      <c r="I355" t="n">
        <v>6863</v>
      </c>
      <c r="J355" t="n">
        <v>498330.7000000004</v>
      </c>
      <c r="K355" t="n">
        <v>18635</v>
      </c>
      <c r="L355" t="n">
        <v>63689</v>
      </c>
      <c r="M355" t="n">
        <v>46078</v>
      </c>
      <c r="N355" t="n">
        <v>65228</v>
      </c>
      <c r="O355" t="n">
        <v>6150</v>
      </c>
      <c r="P355" t="n">
        <v>468</v>
      </c>
    </row>
    <row r="356">
      <c r="A356" t="inlineStr">
        <is>
          <t>AS</t>
        </is>
      </c>
      <c r="B356" t="n">
        <v>2025</v>
      </c>
      <c r="C356" t="n">
        <v>12</v>
      </c>
      <c r="D356" t="n">
        <v>21102</v>
      </c>
      <c r="E356" t="n">
        <v>307</v>
      </c>
      <c r="F356" t="n">
        <v>100</v>
      </c>
      <c r="G356" t="n">
        <v>20695</v>
      </c>
      <c r="H356" t="n">
        <v>14893</v>
      </c>
      <c r="I356" t="n">
        <v>163300</v>
      </c>
      <c r="J356" t="n">
        <v>536593.5000000003</v>
      </c>
      <c r="K356" t="n">
        <v>19897</v>
      </c>
      <c r="L356" t="n">
        <v>126436</v>
      </c>
      <c r="M356" t="n">
        <v>84029</v>
      </c>
      <c r="N356" t="n">
        <v>86322</v>
      </c>
      <c r="O356" t="n">
        <v>11989</v>
      </c>
      <c r="P356" t="n">
        <v>1337</v>
      </c>
    </row>
    <row r="357">
      <c r="A357" t="inlineStr">
        <is>
          <t>AS</t>
        </is>
      </c>
      <c r="B357" t="n">
        <v>2026</v>
      </c>
      <c r="C357" t="n">
        <v>1</v>
      </c>
      <c r="D357" t="n">
        <v>26436</v>
      </c>
      <c r="E357" t="n">
        <v>533</v>
      </c>
      <c r="F357" t="n">
        <v>104</v>
      </c>
      <c r="G357" t="n">
        <v>25799</v>
      </c>
      <c r="H357" t="n">
        <v>20370</v>
      </c>
      <c r="I357" t="n">
        <v>111957</v>
      </c>
      <c r="J357" t="n">
        <v>557250.8</v>
      </c>
      <c r="K357" t="n">
        <v>25123</v>
      </c>
      <c r="L357" t="n">
        <v>122750</v>
      </c>
      <c r="M357" t="n">
        <v>113001</v>
      </c>
      <c r="N357" t="n">
        <v>48375</v>
      </c>
      <c r="O357" t="n">
        <v>17412</v>
      </c>
      <c r="P357" t="n">
        <v>1172</v>
      </c>
    </row>
    <row r="358">
      <c r="A358" t="inlineStr">
        <is>
          <t>AS</t>
        </is>
      </c>
      <c r="B358" t="n">
        <v>2026</v>
      </c>
      <c r="C358" t="n">
        <v>2</v>
      </c>
      <c r="D358" t="n">
        <v>24013</v>
      </c>
      <c r="E358" t="n">
        <v>284</v>
      </c>
      <c r="F358" t="n">
        <v>51</v>
      </c>
      <c r="G358" t="n">
        <v>23678</v>
      </c>
      <c r="H358" t="n">
        <v>19621</v>
      </c>
      <c r="I358" t="n">
        <v>-8901</v>
      </c>
      <c r="J358" t="n">
        <v>511207.4000000003</v>
      </c>
      <c r="K358" t="n">
        <v>22761</v>
      </c>
      <c r="L358" t="n">
        <v>68479</v>
      </c>
      <c r="M358" t="n">
        <v>83307</v>
      </c>
      <c r="N358" t="n">
        <v>34355</v>
      </c>
      <c r="O358" t="n">
        <v>11376</v>
      </c>
      <c r="P358" t="n">
        <v>638</v>
      </c>
    </row>
    <row r="359">
      <c r="A359" t="inlineStr">
        <is>
          <t>AS</t>
        </is>
      </c>
      <c r="B359" t="n">
        <v>2026</v>
      </c>
      <c r="C359" t="n">
        <v>3</v>
      </c>
      <c r="D359" t="n">
        <v>27793</v>
      </c>
      <c r="E359" t="n">
        <v>519</v>
      </c>
      <c r="F359" t="n">
        <v>114</v>
      </c>
      <c r="G359" t="n">
        <v>27160</v>
      </c>
      <c r="H359" t="n">
        <v>21220</v>
      </c>
      <c r="I359" t="n">
        <v>130858</v>
      </c>
      <c r="J359" t="n">
        <v>615088.1000000001</v>
      </c>
      <c r="K359" t="n">
        <v>26115</v>
      </c>
      <c r="L359" t="n">
        <v>126188</v>
      </c>
      <c r="M359" t="n">
        <v>118715</v>
      </c>
      <c r="N359" t="n">
        <v>66681</v>
      </c>
      <c r="O359" t="n">
        <v>34024</v>
      </c>
      <c r="P359" t="n">
        <v>1198</v>
      </c>
    </row>
    <row r="360">
      <c r="A360" t="inlineStr">
        <is>
          <t>AS</t>
        </is>
      </c>
      <c r="B360" t="n">
        <v>2026</v>
      </c>
      <c r="C360" t="n">
        <v>4</v>
      </c>
      <c r="D360" t="n">
        <v>27222</v>
      </c>
      <c r="E360" t="n">
        <v>116</v>
      </c>
      <c r="F360" t="n">
        <v>45</v>
      </c>
      <c r="G360" t="n">
        <v>27061</v>
      </c>
      <c r="H360" t="n">
        <v>22778</v>
      </c>
      <c r="I360" t="n">
        <v>-33177</v>
      </c>
      <c r="J360" t="n">
        <v>600173.8999999994</v>
      </c>
      <c r="K360" t="n">
        <v>25578</v>
      </c>
      <c r="L360" t="n">
        <v>70729</v>
      </c>
      <c r="M360" t="n">
        <v>85008</v>
      </c>
      <c r="N360" t="n">
        <v>41983</v>
      </c>
      <c r="O360" t="n">
        <v>5247</v>
      </c>
      <c r="P360" t="n">
        <v>619</v>
      </c>
    </row>
    <row r="361">
      <c r="A361" t="inlineStr">
        <is>
          <t>AS</t>
        </is>
      </c>
      <c r="B361" t="n">
        <v>2026</v>
      </c>
      <c r="C361" t="n">
        <v>5</v>
      </c>
      <c r="D361" t="n">
        <v>29184</v>
      </c>
      <c r="E361" t="n">
        <v>214</v>
      </c>
      <c r="F361" t="n">
        <v>54</v>
      </c>
      <c r="G361" t="n">
        <v>28916</v>
      </c>
      <c r="H361" t="n">
        <v>24051</v>
      </c>
      <c r="I361" t="n">
        <v>-16666</v>
      </c>
      <c r="J361" t="n">
        <v>644616.9999999993</v>
      </c>
      <c r="K361" t="n">
        <v>27401</v>
      </c>
      <c r="L361" t="n">
        <v>85185</v>
      </c>
      <c r="M361" t="n">
        <v>77827</v>
      </c>
      <c r="N361" t="n">
        <v>57722</v>
      </c>
      <c r="O361" t="n">
        <v>9709</v>
      </c>
      <c r="P361" t="n">
        <v>795</v>
      </c>
    </row>
    <row r="362">
      <c r="A362" t="inlineStr">
        <is>
          <t>AS</t>
        </is>
      </c>
      <c r="B362" t="n">
        <v>2026</v>
      </c>
      <c r="C362" t="n">
        <v>6</v>
      </c>
      <c r="D362" t="n">
        <v>29891</v>
      </c>
      <c r="E362" t="n">
        <v>196</v>
      </c>
      <c r="F362" t="n">
        <v>42</v>
      </c>
      <c r="G362" t="n">
        <v>29653</v>
      </c>
      <c r="H362" t="n">
        <v>23914</v>
      </c>
      <c r="I362" t="n">
        <v>88136</v>
      </c>
      <c r="J362" t="n">
        <v>579984.0000000005</v>
      </c>
      <c r="K362" t="n">
        <v>27907</v>
      </c>
      <c r="L362" t="n">
        <v>102739</v>
      </c>
      <c r="M362" t="n">
        <v>91813</v>
      </c>
      <c r="N362" t="n">
        <v>77764</v>
      </c>
      <c r="O362" t="n">
        <v>7277</v>
      </c>
      <c r="P362" t="n">
        <v>1209</v>
      </c>
    </row>
    <row r="363">
      <c r="A363" t="inlineStr">
        <is>
          <t>AS</t>
        </is>
      </c>
      <c r="B363" t="n">
        <v>2026</v>
      </c>
      <c r="C363" t="n">
        <v>7</v>
      </c>
      <c r="D363" t="n">
        <v>31682</v>
      </c>
      <c r="E363" t="n">
        <v>257</v>
      </c>
      <c r="F363" t="n">
        <v>107</v>
      </c>
      <c r="G363" t="n">
        <v>31318</v>
      </c>
      <c r="H363" t="n">
        <v>24053</v>
      </c>
      <c r="I363" t="n">
        <v>208005</v>
      </c>
      <c r="J363" t="n">
        <v>581402</v>
      </c>
      <c r="K363" t="n">
        <v>29433</v>
      </c>
      <c r="L363" t="n">
        <v>146719</v>
      </c>
      <c r="M363" t="n">
        <v>119263</v>
      </c>
      <c r="N363" t="n">
        <v>92833</v>
      </c>
      <c r="O363" t="n">
        <v>15409</v>
      </c>
      <c r="P363" t="n">
        <v>1088</v>
      </c>
    </row>
    <row r="364">
      <c r="A364" t="inlineStr">
        <is>
          <t>B6</t>
        </is>
      </c>
      <c r="B364" t="n">
        <v>2015</v>
      </c>
      <c r="C364" t="n">
        <v>1</v>
      </c>
      <c r="D364" t="n">
        <v>21623</v>
      </c>
      <c r="E364" t="n">
        <v>1102</v>
      </c>
      <c r="F364" t="n">
        <v>39</v>
      </c>
      <c r="G364" t="n">
        <v>20482</v>
      </c>
      <c r="H364" t="n">
        <v>15538</v>
      </c>
      <c r="I364" t="n">
        <v>150487</v>
      </c>
      <c r="J364" t="n">
        <v>383428.5999999972</v>
      </c>
      <c r="K364" t="n">
        <v>21573</v>
      </c>
      <c r="L364" t="n">
        <v>108437</v>
      </c>
      <c r="M364" t="n">
        <v>76452</v>
      </c>
      <c r="N364" t="n">
        <v>80780</v>
      </c>
      <c r="O364" t="n">
        <v>9393</v>
      </c>
      <c r="P364" t="n">
        <v>1144</v>
      </c>
    </row>
    <row r="365">
      <c r="A365" t="inlineStr">
        <is>
          <t>B6</t>
        </is>
      </c>
      <c r="B365" t="n">
        <v>2015</v>
      </c>
      <c r="C365" t="n">
        <v>2</v>
      </c>
      <c r="D365" t="n">
        <v>19751</v>
      </c>
      <c r="E365" t="n">
        <v>1296</v>
      </c>
      <c r="F365" t="n">
        <v>72</v>
      </c>
      <c r="G365" t="n">
        <v>18383</v>
      </c>
      <c r="H365" t="n">
        <v>11801</v>
      </c>
      <c r="I365" t="n">
        <v>342984</v>
      </c>
      <c r="J365" t="n">
        <v>350750.2999999985</v>
      </c>
      <c r="K365" t="n">
        <v>19688</v>
      </c>
      <c r="L365" t="n">
        <v>173285</v>
      </c>
      <c r="M365" t="n">
        <v>125882</v>
      </c>
      <c r="N365" t="n">
        <v>102542</v>
      </c>
      <c r="O365" t="n">
        <v>20756</v>
      </c>
      <c r="P365" t="n">
        <v>1066</v>
      </c>
    </row>
    <row r="366">
      <c r="A366" t="inlineStr">
        <is>
          <t>B6</t>
        </is>
      </c>
      <c r="B366" t="n">
        <v>2015</v>
      </c>
      <c r="C366" t="n">
        <v>3</v>
      </c>
      <c r="D366" t="n">
        <v>22590</v>
      </c>
      <c r="E366" t="n">
        <v>458</v>
      </c>
      <c r="F366" t="n">
        <v>105</v>
      </c>
      <c r="G366" t="n">
        <v>22027</v>
      </c>
      <c r="H366" t="n">
        <v>16162</v>
      </c>
      <c r="I366" t="n">
        <v>236599</v>
      </c>
      <c r="J366" t="n">
        <v>431052.0999999981</v>
      </c>
      <c r="K366" t="n">
        <v>22469</v>
      </c>
      <c r="L366" t="n">
        <v>156781</v>
      </c>
      <c r="M366" t="n">
        <v>109333</v>
      </c>
      <c r="N366" t="n">
        <v>114040</v>
      </c>
      <c r="O366" t="n">
        <v>10124</v>
      </c>
      <c r="P366" t="n">
        <v>449</v>
      </c>
    </row>
    <row r="367">
      <c r="A367" t="inlineStr">
        <is>
          <t>B6</t>
        </is>
      </c>
      <c r="B367" t="n">
        <v>2015</v>
      </c>
      <c r="C367" t="n">
        <v>4</v>
      </c>
      <c r="D367" t="n">
        <v>22020</v>
      </c>
      <c r="E367" t="n">
        <v>139</v>
      </c>
      <c r="F367" t="n">
        <v>66</v>
      </c>
      <c r="G367" t="n">
        <v>21815</v>
      </c>
      <c r="H367" t="n">
        <v>17702</v>
      </c>
      <c r="I367" t="n">
        <v>60648</v>
      </c>
      <c r="J367" t="n">
        <v>424401</v>
      </c>
      <c r="K367" t="n">
        <v>21982</v>
      </c>
      <c r="L367" t="n">
        <v>93349</v>
      </c>
      <c r="M367" t="n">
        <v>71786</v>
      </c>
      <c r="N367" t="n">
        <v>75276</v>
      </c>
      <c r="O367" t="n">
        <v>5421</v>
      </c>
      <c r="P367" t="n">
        <v>348</v>
      </c>
    </row>
    <row r="368">
      <c r="A368" t="inlineStr">
        <is>
          <t>B6</t>
        </is>
      </c>
      <c r="B368" t="n">
        <v>2015</v>
      </c>
      <c r="C368" t="n">
        <v>5</v>
      </c>
      <c r="D368" t="n">
        <v>22565</v>
      </c>
      <c r="E368" t="n">
        <v>172</v>
      </c>
      <c r="F368" t="n">
        <v>41</v>
      </c>
      <c r="G368" t="n">
        <v>22352</v>
      </c>
      <c r="H368" t="n">
        <v>19030</v>
      </c>
      <c r="I368" t="n">
        <v>-15848</v>
      </c>
      <c r="J368" t="n">
        <v>434814.5999999985</v>
      </c>
      <c r="K368" t="n">
        <v>22544</v>
      </c>
      <c r="L368" t="n">
        <v>69034</v>
      </c>
      <c r="M368" t="n">
        <v>63705</v>
      </c>
      <c r="N368" t="n">
        <v>69593</v>
      </c>
      <c r="O368" t="n">
        <v>7781</v>
      </c>
      <c r="P368" t="n">
        <v>529</v>
      </c>
    </row>
    <row r="369">
      <c r="A369" t="inlineStr">
        <is>
          <t>B6</t>
        </is>
      </c>
      <c r="B369" t="n">
        <v>2015</v>
      </c>
      <c r="C369" t="n">
        <v>6</v>
      </c>
      <c r="D369" t="n">
        <v>22558</v>
      </c>
      <c r="E369" t="n">
        <v>231</v>
      </c>
      <c r="F369" t="n">
        <v>81</v>
      </c>
      <c r="G369" t="n">
        <v>22246</v>
      </c>
      <c r="H369" t="n">
        <v>17624</v>
      </c>
      <c r="I369" t="n">
        <v>112279</v>
      </c>
      <c r="J369" t="n">
        <v>415548.2000000016</v>
      </c>
      <c r="K369" t="n">
        <v>22518</v>
      </c>
      <c r="L369" t="n">
        <v>114667</v>
      </c>
      <c r="M369" t="n">
        <v>75603</v>
      </c>
      <c r="N369" t="n">
        <v>103047</v>
      </c>
      <c r="O369" t="n">
        <v>10659</v>
      </c>
      <c r="P369" t="n">
        <v>392</v>
      </c>
    </row>
    <row r="370">
      <c r="A370" t="inlineStr">
        <is>
          <t>B6</t>
        </is>
      </c>
      <c r="B370" t="n">
        <v>2015</v>
      </c>
      <c r="C370" t="n">
        <v>7</v>
      </c>
      <c r="D370" t="n">
        <v>24029</v>
      </c>
      <c r="E370" t="n">
        <v>225</v>
      </c>
      <c r="F370" t="n">
        <v>57</v>
      </c>
      <c r="G370" t="n">
        <v>23747</v>
      </c>
      <c r="H370" t="n">
        <v>18389</v>
      </c>
      <c r="I370" t="n">
        <v>138717</v>
      </c>
      <c r="J370" t="n">
        <v>416729.8000000011</v>
      </c>
      <c r="K370" t="n">
        <v>24017</v>
      </c>
      <c r="L370" t="n">
        <v>129171</v>
      </c>
      <c r="M370" t="n">
        <v>89445</v>
      </c>
      <c r="N370" t="n">
        <v>87076</v>
      </c>
      <c r="O370" t="n">
        <v>9284</v>
      </c>
      <c r="P370" t="n">
        <v>482</v>
      </c>
    </row>
    <row r="371">
      <c r="A371" t="inlineStr">
        <is>
          <t>B6</t>
        </is>
      </c>
      <c r="B371" t="n">
        <v>2015</v>
      </c>
      <c r="C371" t="n">
        <v>8</v>
      </c>
      <c r="D371" t="n">
        <v>23826</v>
      </c>
      <c r="E371" t="n">
        <v>255</v>
      </c>
      <c r="F371" t="n">
        <v>65</v>
      </c>
      <c r="G371" t="n">
        <v>23506</v>
      </c>
      <c r="H371" t="n">
        <v>17630</v>
      </c>
      <c r="I371" t="n">
        <v>218158</v>
      </c>
      <c r="J371" t="n">
        <v>413948.3000000009</v>
      </c>
      <c r="K371" t="n">
        <v>23811</v>
      </c>
      <c r="L371" t="n">
        <v>158642</v>
      </c>
      <c r="M371" t="n">
        <v>108603</v>
      </c>
      <c r="N371" t="n">
        <v>85518</v>
      </c>
      <c r="O371" t="n">
        <v>17438</v>
      </c>
      <c r="P371" t="n">
        <v>3944</v>
      </c>
    </row>
    <row r="372">
      <c r="A372" t="inlineStr">
        <is>
          <t>B6</t>
        </is>
      </c>
      <c r="B372" t="n">
        <v>2015</v>
      </c>
      <c r="C372" t="n">
        <v>9</v>
      </c>
      <c r="D372" t="n">
        <v>21133</v>
      </c>
      <c r="E372" t="n">
        <v>90</v>
      </c>
      <c r="F372" t="n">
        <v>36</v>
      </c>
      <c r="G372" t="n">
        <v>21007</v>
      </c>
      <c r="H372" t="n">
        <v>16896</v>
      </c>
      <c r="I372" t="n">
        <v>74347</v>
      </c>
      <c r="J372" t="n">
        <v>356429.5999999965</v>
      </c>
      <c r="K372" t="n">
        <v>21040</v>
      </c>
      <c r="L372" t="n">
        <v>78685</v>
      </c>
      <c r="M372" t="n">
        <v>68864</v>
      </c>
      <c r="N372" t="n">
        <v>68773</v>
      </c>
      <c r="O372" t="n">
        <v>8117</v>
      </c>
      <c r="P372" t="n">
        <v>435</v>
      </c>
    </row>
    <row r="373">
      <c r="A373" t="inlineStr">
        <is>
          <t>B6</t>
        </is>
      </c>
      <c r="B373" t="n">
        <v>2015</v>
      </c>
      <c r="C373" t="n">
        <v>10</v>
      </c>
      <c r="D373" t="n">
        <v>21913</v>
      </c>
      <c r="E373" t="n">
        <v>130</v>
      </c>
      <c r="F373" t="n">
        <v>45</v>
      </c>
      <c r="G373" t="n">
        <v>21738</v>
      </c>
      <c r="H373" t="n">
        <v>17723</v>
      </c>
      <c r="I373" t="n">
        <v>79926</v>
      </c>
      <c r="J373" t="n">
        <v>355587.5999999977</v>
      </c>
      <c r="K373" t="n">
        <v>21893</v>
      </c>
      <c r="L373" t="n">
        <v>71981</v>
      </c>
      <c r="M373" t="n">
        <v>72892</v>
      </c>
      <c r="N373" t="n">
        <v>63197</v>
      </c>
      <c r="O373" t="n">
        <v>3937</v>
      </c>
      <c r="P373" t="n">
        <v>287</v>
      </c>
    </row>
    <row r="374">
      <c r="A374" t="inlineStr">
        <is>
          <t>B6</t>
        </is>
      </c>
      <c r="B374" t="n">
        <v>2015</v>
      </c>
      <c r="C374" t="n">
        <v>11</v>
      </c>
      <c r="D374" t="n">
        <v>21697</v>
      </c>
      <c r="E374" t="n">
        <v>112</v>
      </c>
      <c r="F374" t="n">
        <v>43</v>
      </c>
      <c r="G374" t="n">
        <v>21542</v>
      </c>
      <c r="H374" t="n">
        <v>18007</v>
      </c>
      <c r="I374" t="n">
        <v>30553</v>
      </c>
      <c r="J374" t="n">
        <v>384297.1999999996</v>
      </c>
      <c r="K374" t="n">
        <v>21642</v>
      </c>
      <c r="L374" t="n">
        <v>65147</v>
      </c>
      <c r="M374" t="n">
        <v>68012</v>
      </c>
      <c r="N374" t="n">
        <v>52242</v>
      </c>
      <c r="O374" t="n">
        <v>1765</v>
      </c>
      <c r="P374" t="n">
        <v>706</v>
      </c>
    </row>
    <row r="375">
      <c r="A375" t="inlineStr">
        <is>
          <t>B6</t>
        </is>
      </c>
      <c r="B375" t="n">
        <v>2015</v>
      </c>
      <c r="C375" t="n">
        <v>12</v>
      </c>
      <c r="D375" t="n">
        <v>23343</v>
      </c>
      <c r="E375" t="n">
        <v>66</v>
      </c>
      <c r="F375" t="n">
        <v>80</v>
      </c>
      <c r="G375" t="n">
        <v>23197</v>
      </c>
      <c r="H375" t="n">
        <v>16365</v>
      </c>
      <c r="I375" t="n">
        <v>321030</v>
      </c>
      <c r="J375" t="n">
        <v>397590.9999999981</v>
      </c>
      <c r="K375" t="n">
        <v>23276</v>
      </c>
      <c r="L375" t="n">
        <v>198317</v>
      </c>
      <c r="M375" t="n">
        <v>143479</v>
      </c>
      <c r="N375" t="n">
        <v>89377</v>
      </c>
      <c r="O375" t="n">
        <v>11095</v>
      </c>
      <c r="P375" t="n">
        <v>1635</v>
      </c>
    </row>
    <row r="376">
      <c r="A376" t="inlineStr">
        <is>
          <t>B6</t>
        </is>
      </c>
      <c r="B376" t="n">
        <v>2016</v>
      </c>
      <c r="C376" t="n">
        <v>1</v>
      </c>
      <c r="D376" t="n">
        <v>23018</v>
      </c>
      <c r="E376" t="n">
        <v>897</v>
      </c>
      <c r="F376" t="n">
        <v>52</v>
      </c>
      <c r="G376" t="n">
        <v>22069</v>
      </c>
      <c r="H376" t="n">
        <v>15971</v>
      </c>
      <c r="I376" t="n">
        <v>223509</v>
      </c>
      <c r="J376" t="n">
        <v>411971.4999999984</v>
      </c>
      <c r="K376" t="n">
        <v>22974</v>
      </c>
      <c r="L376" t="n">
        <v>152299</v>
      </c>
      <c r="M376" t="n">
        <v>121296</v>
      </c>
      <c r="N376" t="n">
        <v>67445</v>
      </c>
      <c r="O376" t="n">
        <v>11954</v>
      </c>
      <c r="P376" t="n">
        <v>1135</v>
      </c>
    </row>
    <row r="377">
      <c r="A377" t="inlineStr">
        <is>
          <t>B6</t>
        </is>
      </c>
      <c r="B377" t="n">
        <v>2016</v>
      </c>
      <c r="C377" t="n">
        <v>2</v>
      </c>
      <c r="D377" t="n">
        <v>21776</v>
      </c>
      <c r="E377" t="n">
        <v>559</v>
      </c>
      <c r="F377" t="n">
        <v>75</v>
      </c>
      <c r="G377" t="n">
        <v>21142</v>
      </c>
      <c r="H377" t="n">
        <v>15014</v>
      </c>
      <c r="I377" t="n">
        <v>349848</v>
      </c>
      <c r="J377" t="n">
        <v>392196.2999999991</v>
      </c>
      <c r="K377" t="n">
        <v>21727</v>
      </c>
      <c r="L377" t="n">
        <v>216582</v>
      </c>
      <c r="M377" t="n">
        <v>136710</v>
      </c>
      <c r="N377" t="n">
        <v>101208</v>
      </c>
      <c r="O377" t="n">
        <v>26944</v>
      </c>
      <c r="P377" t="n">
        <v>786</v>
      </c>
    </row>
    <row r="378">
      <c r="A378" t="inlineStr">
        <is>
          <t>B6</t>
        </is>
      </c>
      <c r="B378" t="n">
        <v>2016</v>
      </c>
      <c r="C378" t="n">
        <v>3</v>
      </c>
      <c r="D378" t="n">
        <v>23825</v>
      </c>
      <c r="E378" t="n">
        <v>118</v>
      </c>
      <c r="F378" t="n">
        <v>60</v>
      </c>
      <c r="G378" t="n">
        <v>23647</v>
      </c>
      <c r="H378" t="n">
        <v>18114</v>
      </c>
      <c r="I378" t="n">
        <v>172336</v>
      </c>
      <c r="J378" t="n">
        <v>437609.1999999999</v>
      </c>
      <c r="K378" t="n">
        <v>23797</v>
      </c>
      <c r="L378" t="n">
        <v>140843</v>
      </c>
      <c r="M378" t="n">
        <v>107665</v>
      </c>
      <c r="N378" t="n">
        <v>79546</v>
      </c>
      <c r="O378" t="n">
        <v>5996</v>
      </c>
      <c r="P378" t="n">
        <v>1515</v>
      </c>
    </row>
    <row r="379">
      <c r="A379" t="inlineStr">
        <is>
          <t>B6</t>
        </is>
      </c>
      <c r="B379" t="n">
        <v>2016</v>
      </c>
      <c r="C379" t="n">
        <v>4</v>
      </c>
      <c r="D379" t="n">
        <v>23187</v>
      </c>
      <c r="E379" t="n">
        <v>173</v>
      </c>
      <c r="F379" t="n">
        <v>49</v>
      </c>
      <c r="G379" t="n">
        <v>22965</v>
      </c>
      <c r="H379" t="n">
        <v>18303</v>
      </c>
      <c r="I379" t="n">
        <v>119219</v>
      </c>
      <c r="J379" t="n">
        <v>426425.5000000003</v>
      </c>
      <c r="K379" t="n">
        <v>23178</v>
      </c>
      <c r="L379" t="n">
        <v>137225</v>
      </c>
      <c r="M379" t="n">
        <v>99529</v>
      </c>
      <c r="N379" t="n">
        <v>73580</v>
      </c>
      <c r="O379" t="n">
        <v>3623</v>
      </c>
      <c r="P379" t="n">
        <v>642</v>
      </c>
    </row>
    <row r="380">
      <c r="A380" t="inlineStr">
        <is>
          <t>B6</t>
        </is>
      </c>
      <c r="B380" t="n">
        <v>2016</v>
      </c>
      <c r="C380" t="n">
        <v>5</v>
      </c>
      <c r="D380" t="n">
        <v>24240</v>
      </c>
      <c r="E380" t="n">
        <v>88</v>
      </c>
      <c r="F380" t="n">
        <v>37</v>
      </c>
      <c r="G380" t="n">
        <v>24115</v>
      </c>
      <c r="H380" t="n">
        <v>19565</v>
      </c>
      <c r="I380" t="n">
        <v>59203</v>
      </c>
      <c r="J380" t="n">
        <v>434248.199999999</v>
      </c>
      <c r="K380" t="n">
        <v>24086</v>
      </c>
      <c r="L380" t="n">
        <v>91504</v>
      </c>
      <c r="M380" t="n">
        <v>85315</v>
      </c>
      <c r="N380" t="n">
        <v>59984</v>
      </c>
      <c r="O380" t="n">
        <v>9495</v>
      </c>
      <c r="P380" t="n">
        <v>651</v>
      </c>
    </row>
    <row r="381">
      <c r="A381" t="inlineStr">
        <is>
          <t>B6</t>
        </is>
      </c>
      <c r="B381" t="n">
        <v>2016</v>
      </c>
      <c r="C381" t="n">
        <v>6</v>
      </c>
      <c r="D381" t="n">
        <v>23845</v>
      </c>
      <c r="E381" t="n">
        <v>201</v>
      </c>
      <c r="F381" t="n">
        <v>48</v>
      </c>
      <c r="G381" t="n">
        <v>23596</v>
      </c>
      <c r="H381" t="n">
        <v>17731</v>
      </c>
      <c r="I381" t="n">
        <v>209859</v>
      </c>
      <c r="J381" t="n">
        <v>414400.800000002</v>
      </c>
      <c r="K381" t="n">
        <v>23768</v>
      </c>
      <c r="L381" t="n">
        <v>150118</v>
      </c>
      <c r="M381" t="n">
        <v>104088</v>
      </c>
      <c r="N381" t="n">
        <v>102657</v>
      </c>
      <c r="O381" t="n">
        <v>11181</v>
      </c>
      <c r="P381" t="n">
        <v>1080</v>
      </c>
    </row>
    <row r="382">
      <c r="A382" t="inlineStr">
        <is>
          <t>B6</t>
        </is>
      </c>
      <c r="B382" t="n">
        <v>2016</v>
      </c>
      <c r="C382" t="n">
        <v>7</v>
      </c>
      <c r="D382" t="n">
        <v>24927</v>
      </c>
      <c r="E382" t="n">
        <v>510</v>
      </c>
      <c r="F382" t="n">
        <v>75</v>
      </c>
      <c r="G382" t="n">
        <v>24342</v>
      </c>
      <c r="H382" t="n">
        <v>16887</v>
      </c>
      <c r="I382" t="n">
        <v>432520</v>
      </c>
      <c r="J382" t="n">
        <v>415939.5000000014</v>
      </c>
      <c r="K382" t="n">
        <v>24913</v>
      </c>
      <c r="L382" t="n">
        <v>231878</v>
      </c>
      <c r="M382" t="n">
        <v>157525</v>
      </c>
      <c r="N382" t="n">
        <v>149034</v>
      </c>
      <c r="O382" t="n">
        <v>26874</v>
      </c>
      <c r="P382" t="n">
        <v>1221</v>
      </c>
    </row>
    <row r="383">
      <c r="A383" t="inlineStr">
        <is>
          <t>B6</t>
        </is>
      </c>
      <c r="B383" t="n">
        <v>2016</v>
      </c>
      <c r="C383" t="n">
        <v>8</v>
      </c>
      <c r="D383" t="n">
        <v>24728</v>
      </c>
      <c r="E383" t="n">
        <v>315</v>
      </c>
      <c r="F383" t="n">
        <v>41</v>
      </c>
      <c r="G383" t="n">
        <v>24372</v>
      </c>
      <c r="H383" t="n">
        <v>18045</v>
      </c>
      <c r="I383" t="n">
        <v>273416</v>
      </c>
      <c r="J383" t="n">
        <v>411695.1000000011</v>
      </c>
      <c r="K383" t="n">
        <v>24699</v>
      </c>
      <c r="L383" t="n">
        <v>185356</v>
      </c>
      <c r="M383" t="n">
        <v>121940</v>
      </c>
      <c r="N383" t="n">
        <v>110224</v>
      </c>
      <c r="O383" t="n">
        <v>17390</v>
      </c>
      <c r="P383" t="n">
        <v>1487</v>
      </c>
    </row>
    <row r="384">
      <c r="A384" t="inlineStr">
        <is>
          <t>B6</t>
        </is>
      </c>
      <c r="B384" t="n">
        <v>2016</v>
      </c>
      <c r="C384" t="n">
        <v>9</v>
      </c>
      <c r="D384" t="n">
        <v>22396</v>
      </c>
      <c r="E384" t="n">
        <v>110</v>
      </c>
      <c r="F384" t="n">
        <v>38</v>
      </c>
      <c r="G384" t="n">
        <v>22248</v>
      </c>
      <c r="H384" t="n">
        <v>17635</v>
      </c>
      <c r="I384" t="n">
        <v>80192</v>
      </c>
      <c r="J384" t="n">
        <v>393891.5999999989</v>
      </c>
      <c r="K384" t="n">
        <v>22308</v>
      </c>
      <c r="L384" t="n">
        <v>106467</v>
      </c>
      <c r="M384" t="n">
        <v>72878</v>
      </c>
      <c r="N384" t="n">
        <v>73903</v>
      </c>
      <c r="O384" t="n">
        <v>9179</v>
      </c>
      <c r="P384" t="n">
        <v>864</v>
      </c>
    </row>
    <row r="385">
      <c r="A385" t="inlineStr">
        <is>
          <t>B6</t>
        </is>
      </c>
      <c r="B385" t="n">
        <v>2016</v>
      </c>
      <c r="C385" t="n">
        <v>10</v>
      </c>
      <c r="D385" t="n">
        <v>23229</v>
      </c>
      <c r="E385" t="n">
        <v>536</v>
      </c>
      <c r="F385" t="n">
        <v>50</v>
      </c>
      <c r="G385" t="n">
        <v>22643</v>
      </c>
      <c r="H385" t="n">
        <v>17888</v>
      </c>
      <c r="I385" t="n">
        <v>86110</v>
      </c>
      <c r="J385" t="n">
        <v>411815.3999999985</v>
      </c>
      <c r="K385" t="n">
        <v>23224</v>
      </c>
      <c r="L385" t="n">
        <v>101079</v>
      </c>
      <c r="M385" t="n">
        <v>87391</v>
      </c>
      <c r="N385" t="n">
        <v>62653</v>
      </c>
      <c r="O385" t="n">
        <v>5749</v>
      </c>
      <c r="P385" t="n">
        <v>624</v>
      </c>
    </row>
    <row r="386">
      <c r="A386" t="inlineStr">
        <is>
          <t>B6</t>
        </is>
      </c>
      <c r="B386" t="n">
        <v>2016</v>
      </c>
      <c r="C386" t="n">
        <v>11</v>
      </c>
      <c r="D386" t="n">
        <v>22974</v>
      </c>
      <c r="E386" t="n">
        <v>42</v>
      </c>
      <c r="F386" t="n">
        <v>40</v>
      </c>
      <c r="G386" t="n">
        <v>22892</v>
      </c>
      <c r="H386" t="n">
        <v>19376</v>
      </c>
      <c r="I386" t="n">
        <v>-53533</v>
      </c>
      <c r="J386" t="n">
        <v>432349.6999999983</v>
      </c>
      <c r="K386" t="n">
        <v>22932</v>
      </c>
      <c r="L386" t="n">
        <v>67772</v>
      </c>
      <c r="M386" t="n">
        <v>73106</v>
      </c>
      <c r="N386" t="n">
        <v>49666</v>
      </c>
      <c r="O386" t="n">
        <v>1278</v>
      </c>
      <c r="P386" t="n">
        <v>320</v>
      </c>
    </row>
    <row r="387">
      <c r="A387" t="inlineStr">
        <is>
          <t>B6</t>
        </is>
      </c>
      <c r="B387" t="n">
        <v>2016</v>
      </c>
      <c r="C387" t="n">
        <v>12</v>
      </c>
      <c r="D387" t="n">
        <v>24328</v>
      </c>
      <c r="E387" t="n">
        <v>248</v>
      </c>
      <c r="F387" t="n">
        <v>100</v>
      </c>
      <c r="G387" t="n">
        <v>23980</v>
      </c>
      <c r="H387" t="n">
        <v>17345</v>
      </c>
      <c r="I387" t="n">
        <v>286043</v>
      </c>
      <c r="J387" t="n">
        <v>435326.5999999981</v>
      </c>
      <c r="K387" t="n">
        <v>24302</v>
      </c>
      <c r="L387" t="n">
        <v>198894</v>
      </c>
      <c r="M387" t="n">
        <v>135945</v>
      </c>
      <c r="N387" t="n">
        <v>87952</v>
      </c>
      <c r="O387" t="n">
        <v>11181</v>
      </c>
      <c r="P387" t="n">
        <v>2115</v>
      </c>
    </row>
    <row r="388">
      <c r="A388" t="inlineStr">
        <is>
          <t>B6</t>
        </is>
      </c>
      <c r="B388" t="n">
        <v>2017</v>
      </c>
      <c r="C388" t="n">
        <v>1</v>
      </c>
      <c r="D388" t="n">
        <v>24602</v>
      </c>
      <c r="E388" t="n">
        <v>525</v>
      </c>
      <c r="F388" t="n">
        <v>109</v>
      </c>
      <c r="G388" t="n">
        <v>23968</v>
      </c>
      <c r="H388" t="n">
        <v>17907</v>
      </c>
      <c r="I388" t="n">
        <v>201888</v>
      </c>
      <c r="J388" t="n">
        <v>480243.6999999987</v>
      </c>
      <c r="K388" t="n">
        <v>24598</v>
      </c>
      <c r="L388" t="n">
        <v>177482</v>
      </c>
      <c r="M388" t="n">
        <v>123024</v>
      </c>
      <c r="N388" t="n">
        <v>92271</v>
      </c>
      <c r="O388" t="n">
        <v>8707</v>
      </c>
      <c r="P388" t="n">
        <v>1896</v>
      </c>
    </row>
    <row r="389">
      <c r="A389" t="inlineStr">
        <is>
          <t>B6</t>
        </is>
      </c>
      <c r="B389" t="n">
        <v>2017</v>
      </c>
      <c r="C389" t="n">
        <v>2</v>
      </c>
      <c r="D389" t="n">
        <v>22511</v>
      </c>
      <c r="E389" t="n">
        <v>985</v>
      </c>
      <c r="F389" t="n">
        <v>77</v>
      </c>
      <c r="G389" t="n">
        <v>21449</v>
      </c>
      <c r="H389" t="n">
        <v>16277</v>
      </c>
      <c r="I389" t="n">
        <v>123234</v>
      </c>
      <c r="J389" t="n">
        <v>439164.1000000007</v>
      </c>
      <c r="K389" t="n">
        <v>22455</v>
      </c>
      <c r="L389" t="n">
        <v>126566</v>
      </c>
      <c r="M389" t="n">
        <v>94239</v>
      </c>
      <c r="N389" t="n">
        <v>75075</v>
      </c>
      <c r="O389" t="n">
        <v>7477</v>
      </c>
      <c r="P389" t="n">
        <v>769</v>
      </c>
    </row>
    <row r="390">
      <c r="A390" t="inlineStr">
        <is>
          <t>B6</t>
        </is>
      </c>
      <c r="B390" t="n">
        <v>2017</v>
      </c>
      <c r="C390" t="n">
        <v>3</v>
      </c>
      <c r="D390" t="n">
        <v>25975</v>
      </c>
      <c r="E390" t="n">
        <v>1018</v>
      </c>
      <c r="F390" t="n">
        <v>31</v>
      </c>
      <c r="G390" t="n">
        <v>24926</v>
      </c>
      <c r="H390" t="n">
        <v>18401</v>
      </c>
      <c r="I390" t="n">
        <v>246683</v>
      </c>
      <c r="J390" t="n">
        <v>530287.5000000007</v>
      </c>
      <c r="K390" t="n">
        <v>25899</v>
      </c>
      <c r="L390" t="n">
        <v>179215</v>
      </c>
      <c r="M390" t="n">
        <v>128251</v>
      </c>
      <c r="N390" t="n">
        <v>129337</v>
      </c>
      <c r="O390" t="n">
        <v>5367</v>
      </c>
      <c r="P390" t="n">
        <v>500</v>
      </c>
    </row>
    <row r="391">
      <c r="A391" t="inlineStr">
        <is>
          <t>B6</t>
        </is>
      </c>
      <c r="B391" t="n">
        <v>2017</v>
      </c>
      <c r="C391" t="n">
        <v>4</v>
      </c>
      <c r="D391" t="n">
        <v>25191</v>
      </c>
      <c r="E391" t="n">
        <v>374</v>
      </c>
      <c r="F391" t="n">
        <v>41</v>
      </c>
      <c r="G391" t="n">
        <v>24776</v>
      </c>
      <c r="H391" t="n">
        <v>18240</v>
      </c>
      <c r="I391" t="n">
        <v>289533</v>
      </c>
      <c r="J391" t="n">
        <v>517179.3000000039</v>
      </c>
      <c r="K391" t="n">
        <v>25162</v>
      </c>
      <c r="L391" t="n">
        <v>218605</v>
      </c>
      <c r="M391" t="n">
        <v>131059</v>
      </c>
      <c r="N391" t="n">
        <v>147595</v>
      </c>
      <c r="O391" t="n">
        <v>5576</v>
      </c>
      <c r="P391" t="n">
        <v>627</v>
      </c>
    </row>
    <row r="392">
      <c r="A392" t="inlineStr">
        <is>
          <t>B6</t>
        </is>
      </c>
      <c r="B392" t="n">
        <v>2017</v>
      </c>
      <c r="C392" t="n">
        <v>5</v>
      </c>
      <c r="D392" t="n">
        <v>25519</v>
      </c>
      <c r="E392" t="n">
        <v>676</v>
      </c>
      <c r="F392" t="n">
        <v>50</v>
      </c>
      <c r="G392" t="n">
        <v>24793</v>
      </c>
      <c r="H392" t="n">
        <v>17160</v>
      </c>
      <c r="I392" t="n">
        <v>423143</v>
      </c>
      <c r="J392" t="n">
        <v>537474.5000000023</v>
      </c>
      <c r="K392" t="n">
        <v>25448</v>
      </c>
      <c r="L392" t="n">
        <v>259036</v>
      </c>
      <c r="M392" t="n">
        <v>161805</v>
      </c>
      <c r="N392" t="n">
        <v>190964</v>
      </c>
      <c r="O392" t="n">
        <v>6117</v>
      </c>
      <c r="P392" t="n">
        <v>896</v>
      </c>
    </row>
    <row r="393">
      <c r="A393" t="inlineStr">
        <is>
          <t>B6</t>
        </is>
      </c>
      <c r="B393" t="n">
        <v>2017</v>
      </c>
      <c r="C393" t="n">
        <v>6</v>
      </c>
      <c r="D393" t="n">
        <v>25333</v>
      </c>
      <c r="E393" t="n">
        <v>621</v>
      </c>
      <c r="F393" t="n">
        <v>75</v>
      </c>
      <c r="G393" t="n">
        <v>24637</v>
      </c>
      <c r="H393" t="n">
        <v>15342</v>
      </c>
      <c r="I393" t="n">
        <v>617945</v>
      </c>
      <c r="J393" t="n">
        <v>502073</v>
      </c>
      <c r="K393" t="n">
        <v>25189</v>
      </c>
      <c r="L393" t="n">
        <v>358553</v>
      </c>
      <c r="M393" t="n">
        <v>194299</v>
      </c>
      <c r="N393" t="n">
        <v>193225</v>
      </c>
      <c r="O393" t="n">
        <v>24581</v>
      </c>
      <c r="P393" t="n">
        <v>924</v>
      </c>
    </row>
    <row r="394">
      <c r="A394" t="inlineStr">
        <is>
          <t>B6</t>
        </is>
      </c>
      <c r="B394" t="n">
        <v>2017</v>
      </c>
      <c r="C394" t="n">
        <v>7</v>
      </c>
      <c r="D394" t="n">
        <v>26436</v>
      </c>
      <c r="E394" t="n">
        <v>659</v>
      </c>
      <c r="F394" t="n">
        <v>99</v>
      </c>
      <c r="G394" t="n">
        <v>25678</v>
      </c>
      <c r="H394" t="n">
        <v>16784</v>
      </c>
      <c r="I394" t="n">
        <v>551037</v>
      </c>
      <c r="J394" t="n">
        <v>490330.6000000011</v>
      </c>
      <c r="K394" t="n">
        <v>26421</v>
      </c>
      <c r="L394" t="n">
        <v>321162</v>
      </c>
      <c r="M394" t="n">
        <v>196997</v>
      </c>
      <c r="N394" t="n">
        <v>175998</v>
      </c>
      <c r="O394" t="n">
        <v>21818</v>
      </c>
      <c r="P394" t="n">
        <v>857</v>
      </c>
    </row>
    <row r="395">
      <c r="A395" t="inlineStr">
        <is>
          <t>B6</t>
        </is>
      </c>
      <c r="B395" t="n">
        <v>2017</v>
      </c>
      <c r="C395" t="n">
        <v>8</v>
      </c>
      <c r="D395" t="n">
        <v>26194</v>
      </c>
      <c r="E395" t="n">
        <v>584</v>
      </c>
      <c r="F395" t="n">
        <v>76</v>
      </c>
      <c r="G395" t="n">
        <v>25534</v>
      </c>
      <c r="H395" t="n">
        <v>17835</v>
      </c>
      <c r="I395" t="n">
        <v>385799</v>
      </c>
      <c r="J395" t="n">
        <v>474537.3000000005</v>
      </c>
      <c r="K395" t="n">
        <v>26176</v>
      </c>
      <c r="L395" t="n">
        <v>234157</v>
      </c>
      <c r="M395" t="n">
        <v>170866</v>
      </c>
      <c r="N395" t="n">
        <v>126492</v>
      </c>
      <c r="O395" t="n">
        <v>17195</v>
      </c>
      <c r="P395" t="n">
        <v>1538</v>
      </c>
    </row>
    <row r="396">
      <c r="A396" t="inlineStr">
        <is>
          <t>B6</t>
        </is>
      </c>
      <c r="B396" t="n">
        <v>2017</v>
      </c>
      <c r="C396" t="n">
        <v>9</v>
      </c>
      <c r="D396" t="n">
        <v>23957</v>
      </c>
      <c r="E396" t="n">
        <v>2233</v>
      </c>
      <c r="F396" t="n">
        <v>34</v>
      </c>
      <c r="G396" t="n">
        <v>21690</v>
      </c>
      <c r="H396" t="n">
        <v>16803</v>
      </c>
      <c r="I396" t="n">
        <v>140143</v>
      </c>
      <c r="J396" t="n">
        <v>459455.7000000008</v>
      </c>
      <c r="K396" t="n">
        <v>23888</v>
      </c>
      <c r="L396" t="n">
        <v>134869</v>
      </c>
      <c r="M396" t="n">
        <v>100089</v>
      </c>
      <c r="N396" t="n">
        <v>102718</v>
      </c>
      <c r="O396" t="n">
        <v>10357</v>
      </c>
      <c r="P396" t="n">
        <v>491</v>
      </c>
    </row>
    <row r="397">
      <c r="A397" t="inlineStr">
        <is>
          <t>B6</t>
        </is>
      </c>
      <c r="B397" t="n">
        <v>2017</v>
      </c>
      <c r="C397" t="n">
        <v>10</v>
      </c>
      <c r="D397" t="n">
        <v>24285</v>
      </c>
      <c r="E397" t="n">
        <v>505</v>
      </c>
      <c r="F397" t="n">
        <v>48</v>
      </c>
      <c r="G397" t="n">
        <v>23732</v>
      </c>
      <c r="H397" t="n">
        <v>19342</v>
      </c>
      <c r="I397" t="n">
        <v>58591</v>
      </c>
      <c r="J397" t="n">
        <v>470672.1999999996</v>
      </c>
      <c r="K397" t="n">
        <v>24260</v>
      </c>
      <c r="L397" t="n">
        <v>103533</v>
      </c>
      <c r="M397" t="n">
        <v>77981</v>
      </c>
      <c r="N397" t="n">
        <v>105457</v>
      </c>
      <c r="O397" t="n">
        <v>6151</v>
      </c>
      <c r="P397" t="n">
        <v>617</v>
      </c>
    </row>
    <row r="398">
      <c r="A398" t="inlineStr">
        <is>
          <t>B6</t>
        </is>
      </c>
      <c r="B398" t="n">
        <v>2017</v>
      </c>
      <c r="C398" t="n">
        <v>11</v>
      </c>
      <c r="D398" t="n">
        <v>23664</v>
      </c>
      <c r="E398" t="n">
        <v>64</v>
      </c>
      <c r="F398" t="n">
        <v>37</v>
      </c>
      <c r="G398" t="n">
        <v>23563</v>
      </c>
      <c r="H398" t="n">
        <v>20481</v>
      </c>
      <c r="I398" t="n">
        <v>-98545</v>
      </c>
      <c r="J398" t="n">
        <v>471076.6999999968</v>
      </c>
      <c r="K398" t="n">
        <v>23599</v>
      </c>
      <c r="L398" t="n">
        <v>53150</v>
      </c>
      <c r="M398" t="n">
        <v>59563</v>
      </c>
      <c r="N398" t="n">
        <v>42060</v>
      </c>
      <c r="O398" t="n">
        <v>776</v>
      </c>
      <c r="P398" t="n">
        <v>2278</v>
      </c>
    </row>
    <row r="399">
      <c r="A399" t="inlineStr">
        <is>
          <t>B6</t>
        </is>
      </c>
      <c r="B399" t="n">
        <v>2017</v>
      </c>
      <c r="C399" t="n">
        <v>12</v>
      </c>
      <c r="D399" t="n">
        <v>24987</v>
      </c>
      <c r="E399" t="n">
        <v>44</v>
      </c>
      <c r="F399" t="n">
        <v>62</v>
      </c>
      <c r="G399" t="n">
        <v>24881</v>
      </c>
      <c r="H399" t="n">
        <v>18508</v>
      </c>
      <c r="I399" t="n">
        <v>239838</v>
      </c>
      <c r="J399" t="n">
        <v>486100.5999999987</v>
      </c>
      <c r="K399" t="n">
        <v>24955</v>
      </c>
      <c r="L399" t="n">
        <v>187583</v>
      </c>
      <c r="M399" t="n">
        <v>142695</v>
      </c>
      <c r="N399" t="n">
        <v>86096</v>
      </c>
      <c r="O399" t="n">
        <v>12323</v>
      </c>
      <c r="P399" t="n">
        <v>874</v>
      </c>
    </row>
    <row r="400">
      <c r="A400" t="inlineStr">
        <is>
          <t>B6</t>
        </is>
      </c>
      <c r="B400" t="n">
        <v>2018</v>
      </c>
      <c r="C400" t="n">
        <v>1</v>
      </c>
      <c r="D400" t="n">
        <v>24871</v>
      </c>
      <c r="E400" t="n">
        <v>1471</v>
      </c>
      <c r="F400" t="n">
        <v>70</v>
      </c>
      <c r="G400" t="n">
        <v>23330</v>
      </c>
      <c r="H400" t="n">
        <v>16357</v>
      </c>
      <c r="I400" t="n">
        <v>349114</v>
      </c>
      <c r="J400" t="n">
        <v>518921.8999999998</v>
      </c>
      <c r="K400" t="n">
        <v>24860</v>
      </c>
      <c r="L400" t="n">
        <v>232691</v>
      </c>
      <c r="M400" t="n">
        <v>193907</v>
      </c>
      <c r="N400" t="n">
        <v>88760</v>
      </c>
      <c r="O400" t="n">
        <v>14514</v>
      </c>
      <c r="P400" t="n">
        <v>1218</v>
      </c>
    </row>
    <row r="401">
      <c r="A401" t="inlineStr">
        <is>
          <t>B6</t>
        </is>
      </c>
      <c r="B401" t="n">
        <v>2018</v>
      </c>
      <c r="C401" t="n">
        <v>2</v>
      </c>
      <c r="D401" t="n">
        <v>22847</v>
      </c>
      <c r="E401" t="n">
        <v>358</v>
      </c>
      <c r="F401" t="n">
        <v>69</v>
      </c>
      <c r="G401" t="n">
        <v>22420</v>
      </c>
      <c r="H401" t="n">
        <v>17042</v>
      </c>
      <c r="I401" t="n">
        <v>135629</v>
      </c>
      <c r="J401" t="n">
        <v>476752.7</v>
      </c>
      <c r="K401" t="n">
        <v>22800</v>
      </c>
      <c r="L401" t="n">
        <v>120432</v>
      </c>
      <c r="M401" t="n">
        <v>122577</v>
      </c>
      <c r="N401" t="n">
        <v>68276</v>
      </c>
      <c r="O401" t="n">
        <v>3955</v>
      </c>
      <c r="P401" t="n">
        <v>420</v>
      </c>
    </row>
    <row r="402">
      <c r="A402" t="inlineStr">
        <is>
          <t>B6</t>
        </is>
      </c>
      <c r="B402" t="n">
        <v>2018</v>
      </c>
      <c r="C402" t="n">
        <v>3</v>
      </c>
      <c r="D402" t="n">
        <v>26500</v>
      </c>
      <c r="E402" t="n">
        <v>1703</v>
      </c>
      <c r="F402" t="n">
        <v>56</v>
      </c>
      <c r="G402" t="n">
        <v>24741</v>
      </c>
      <c r="H402" t="n">
        <v>17013</v>
      </c>
      <c r="I402" t="n">
        <v>323048</v>
      </c>
      <c r="J402" t="n">
        <v>535188.7999999962</v>
      </c>
      <c r="K402" t="n">
        <v>26458</v>
      </c>
      <c r="L402" t="n">
        <v>197873</v>
      </c>
      <c r="M402" t="n">
        <v>177440</v>
      </c>
      <c r="N402" t="n">
        <v>82065</v>
      </c>
      <c r="O402" t="n">
        <v>10082</v>
      </c>
      <c r="P402" t="n">
        <v>1120</v>
      </c>
    </row>
    <row r="403">
      <c r="A403" t="inlineStr">
        <is>
          <t>B6</t>
        </is>
      </c>
      <c r="B403" t="n">
        <v>2018</v>
      </c>
      <c r="C403" t="n">
        <v>4</v>
      </c>
      <c r="D403" t="n">
        <v>25836</v>
      </c>
      <c r="E403" t="n">
        <v>331</v>
      </c>
      <c r="F403" t="n">
        <v>91</v>
      </c>
      <c r="G403" t="n">
        <v>25414</v>
      </c>
      <c r="H403" t="n">
        <v>17475</v>
      </c>
      <c r="I403" t="n">
        <v>396094</v>
      </c>
      <c r="J403" t="n">
        <v>510319.1999999997</v>
      </c>
      <c r="K403" t="n">
        <v>25820</v>
      </c>
      <c r="L403" t="n">
        <v>253092</v>
      </c>
      <c r="M403" t="n">
        <v>172790</v>
      </c>
      <c r="N403" t="n">
        <v>118087</v>
      </c>
      <c r="O403" t="n">
        <v>12753</v>
      </c>
      <c r="P403" t="n">
        <v>596</v>
      </c>
    </row>
    <row r="404">
      <c r="A404" t="inlineStr">
        <is>
          <t>B6</t>
        </is>
      </c>
      <c r="B404" t="n">
        <v>2018</v>
      </c>
      <c r="C404" t="n">
        <v>5</v>
      </c>
      <c r="D404" t="n">
        <v>26513</v>
      </c>
      <c r="E404" t="n">
        <v>330</v>
      </c>
      <c r="F404" t="n">
        <v>89</v>
      </c>
      <c r="G404" t="n">
        <v>26094</v>
      </c>
      <c r="H404" t="n">
        <v>18825</v>
      </c>
      <c r="I404" t="n">
        <v>288761</v>
      </c>
      <c r="J404" t="n">
        <v>511187.1000000014</v>
      </c>
      <c r="K404" t="n">
        <v>26467</v>
      </c>
      <c r="L404" t="n">
        <v>196539</v>
      </c>
      <c r="M404" t="n">
        <v>149695</v>
      </c>
      <c r="N404" t="n">
        <v>112947</v>
      </c>
      <c r="O404" t="n">
        <v>10404</v>
      </c>
      <c r="P404" t="n">
        <v>837</v>
      </c>
    </row>
    <row r="405">
      <c r="A405" t="inlineStr">
        <is>
          <t>B6</t>
        </is>
      </c>
      <c r="B405" t="n">
        <v>2018</v>
      </c>
      <c r="C405" t="n">
        <v>6</v>
      </c>
      <c r="D405" t="n">
        <v>25860</v>
      </c>
      <c r="E405" t="n">
        <v>253</v>
      </c>
      <c r="F405" t="n">
        <v>71</v>
      </c>
      <c r="G405" t="n">
        <v>25536</v>
      </c>
      <c r="H405" t="n">
        <v>19084</v>
      </c>
      <c r="I405" t="n">
        <v>192375</v>
      </c>
      <c r="J405" t="n">
        <v>523277.1999999999</v>
      </c>
      <c r="K405" t="n">
        <v>25719</v>
      </c>
      <c r="L405" t="n">
        <v>170755</v>
      </c>
      <c r="M405" t="n">
        <v>122597</v>
      </c>
      <c r="N405" t="n">
        <v>96242</v>
      </c>
      <c r="O405" t="n">
        <v>14572</v>
      </c>
      <c r="P405" t="n">
        <v>643</v>
      </c>
    </row>
    <row r="406">
      <c r="A406" t="inlineStr">
        <is>
          <t>B6</t>
        </is>
      </c>
      <c r="B406" t="n">
        <v>2018</v>
      </c>
      <c r="C406" t="n">
        <v>7</v>
      </c>
      <c r="D406" t="n">
        <v>26671</v>
      </c>
      <c r="E406" t="n">
        <v>643</v>
      </c>
      <c r="F406" t="n">
        <v>74</v>
      </c>
      <c r="G406" t="n">
        <v>25954</v>
      </c>
      <c r="H406" t="n">
        <v>17921</v>
      </c>
      <c r="I406" t="n">
        <v>426627</v>
      </c>
      <c r="J406" t="n">
        <v>511327.8000000014</v>
      </c>
      <c r="K406" t="n">
        <v>26655</v>
      </c>
      <c r="L406" t="n">
        <v>261781</v>
      </c>
      <c r="M406" t="n">
        <v>157546</v>
      </c>
      <c r="N406" t="n">
        <v>163149</v>
      </c>
      <c r="O406" t="n">
        <v>28927</v>
      </c>
      <c r="P406" t="n">
        <v>781</v>
      </c>
    </row>
    <row r="407">
      <c r="A407" t="inlineStr">
        <is>
          <t>B6</t>
        </is>
      </c>
      <c r="B407" t="n">
        <v>2018</v>
      </c>
      <c r="C407" t="n">
        <v>8</v>
      </c>
      <c r="D407" t="n">
        <v>26623</v>
      </c>
      <c r="E407" t="n">
        <v>700</v>
      </c>
      <c r="F407" t="n">
        <v>94</v>
      </c>
      <c r="G407" t="n">
        <v>25829</v>
      </c>
      <c r="H407" t="n">
        <v>17770</v>
      </c>
      <c r="I407" t="n">
        <v>476227</v>
      </c>
      <c r="J407" t="n">
        <v>508547.9000000029</v>
      </c>
      <c r="K407" t="n">
        <v>26596</v>
      </c>
      <c r="L407" t="n">
        <v>282151</v>
      </c>
      <c r="M407" t="n">
        <v>173647</v>
      </c>
      <c r="N407" t="n">
        <v>181567</v>
      </c>
      <c r="O407" t="n">
        <v>23138</v>
      </c>
      <c r="P407" t="n">
        <v>1693</v>
      </c>
    </row>
    <row r="408">
      <c r="A408" t="inlineStr">
        <is>
          <t>B6</t>
        </is>
      </c>
      <c r="B408" t="n">
        <v>2018</v>
      </c>
      <c r="C408" t="n">
        <v>9</v>
      </c>
      <c r="D408" t="n">
        <v>24427</v>
      </c>
      <c r="E408" t="n">
        <v>260</v>
      </c>
      <c r="F408" t="n">
        <v>53</v>
      </c>
      <c r="G408" t="n">
        <v>24114</v>
      </c>
      <c r="H408" t="n">
        <v>18932</v>
      </c>
      <c r="I408" t="n">
        <v>111607</v>
      </c>
      <c r="J408" t="n">
        <v>457495.2999999996</v>
      </c>
      <c r="K408" t="n">
        <v>24349</v>
      </c>
      <c r="L408" t="n">
        <v>119513</v>
      </c>
      <c r="M408" t="n">
        <v>93588</v>
      </c>
      <c r="N408" t="n">
        <v>112694</v>
      </c>
      <c r="O408" t="n">
        <v>12044</v>
      </c>
      <c r="P408" t="n">
        <v>323</v>
      </c>
    </row>
    <row r="409">
      <c r="A409" t="inlineStr">
        <is>
          <t>B6</t>
        </is>
      </c>
      <c r="B409" t="n">
        <v>2018</v>
      </c>
      <c r="C409" t="n">
        <v>10</v>
      </c>
      <c r="D409" t="n">
        <v>24923</v>
      </c>
      <c r="E409" t="n">
        <v>142</v>
      </c>
      <c r="F409" t="n">
        <v>65</v>
      </c>
      <c r="G409" t="n">
        <v>24716</v>
      </c>
      <c r="H409" t="n">
        <v>19631</v>
      </c>
      <c r="I409" t="n">
        <v>107213</v>
      </c>
      <c r="J409" t="n">
        <v>446260.8999999997</v>
      </c>
      <c r="K409" t="n">
        <v>24915</v>
      </c>
      <c r="L409" t="n">
        <v>102904</v>
      </c>
      <c r="M409" t="n">
        <v>102142</v>
      </c>
      <c r="N409" t="n">
        <v>94245</v>
      </c>
      <c r="O409" t="n">
        <v>4353</v>
      </c>
      <c r="P409" t="n">
        <v>199</v>
      </c>
    </row>
    <row r="410">
      <c r="A410" t="inlineStr">
        <is>
          <t>B6</t>
        </is>
      </c>
      <c r="B410" t="n">
        <v>2018</v>
      </c>
      <c r="C410" t="n">
        <v>11</v>
      </c>
      <c r="D410" t="n">
        <v>24589</v>
      </c>
      <c r="E410" t="n">
        <v>175</v>
      </c>
      <c r="F410" t="n">
        <v>46</v>
      </c>
      <c r="G410" t="n">
        <v>24368</v>
      </c>
      <c r="H410" t="n">
        <v>17502</v>
      </c>
      <c r="I410" t="n">
        <v>329490</v>
      </c>
      <c r="J410" t="n">
        <v>452085.8999999996</v>
      </c>
      <c r="K410" t="n">
        <v>24551</v>
      </c>
      <c r="L410" t="n">
        <v>185882</v>
      </c>
      <c r="M410" t="n">
        <v>166391</v>
      </c>
      <c r="N410" t="n">
        <v>118923</v>
      </c>
      <c r="O410" t="n">
        <v>6379</v>
      </c>
      <c r="P410" t="n">
        <v>781</v>
      </c>
    </row>
    <row r="411">
      <c r="A411" t="inlineStr">
        <is>
          <t>B6</t>
        </is>
      </c>
      <c r="B411" t="n">
        <v>2018</v>
      </c>
      <c r="C411" t="n">
        <v>12</v>
      </c>
      <c r="D411" t="n">
        <v>25350</v>
      </c>
      <c r="E411" t="n">
        <v>53</v>
      </c>
      <c r="F411" t="n">
        <v>55</v>
      </c>
      <c r="G411" t="n">
        <v>25242</v>
      </c>
      <c r="H411" t="n">
        <v>18898</v>
      </c>
      <c r="I411" t="n">
        <v>267938</v>
      </c>
      <c r="J411" t="n">
        <v>483255.2999999959</v>
      </c>
      <c r="K411" t="n">
        <v>25222</v>
      </c>
      <c r="L411" t="n">
        <v>184591</v>
      </c>
      <c r="M411" t="n">
        <v>179586</v>
      </c>
      <c r="N411" t="n">
        <v>86173</v>
      </c>
      <c r="O411" t="n">
        <v>2667</v>
      </c>
      <c r="P411" t="n">
        <v>555</v>
      </c>
    </row>
    <row r="412">
      <c r="A412" t="inlineStr">
        <is>
          <t>B6</t>
        </is>
      </c>
      <c r="B412" t="n">
        <v>2019</v>
      </c>
      <c r="C412" t="n">
        <v>1</v>
      </c>
      <c r="D412" t="n">
        <v>24443</v>
      </c>
      <c r="E412" t="n">
        <v>980</v>
      </c>
      <c r="F412" t="n">
        <v>68</v>
      </c>
      <c r="G412" t="n">
        <v>23395</v>
      </c>
      <c r="H412" t="n">
        <v>16966</v>
      </c>
      <c r="I412" t="n">
        <v>340573</v>
      </c>
      <c r="J412" t="n">
        <v>532842.3999999972</v>
      </c>
      <c r="K412" t="n">
        <v>24387</v>
      </c>
      <c r="L412" t="n">
        <v>221477</v>
      </c>
      <c r="M412" t="n">
        <v>187546</v>
      </c>
      <c r="N412" t="n">
        <v>121012</v>
      </c>
      <c r="O412" t="n">
        <v>10979</v>
      </c>
      <c r="P412" t="n">
        <v>1021</v>
      </c>
    </row>
    <row r="413">
      <c r="A413" t="inlineStr">
        <is>
          <t>B6</t>
        </is>
      </c>
      <c r="B413" t="n">
        <v>2019</v>
      </c>
      <c r="C413" t="n">
        <v>2</v>
      </c>
      <c r="D413" t="n">
        <v>22398</v>
      </c>
      <c r="E413" t="n">
        <v>345</v>
      </c>
      <c r="F413" t="n">
        <v>70</v>
      </c>
      <c r="G413" t="n">
        <v>21983</v>
      </c>
      <c r="H413" t="n">
        <v>15675</v>
      </c>
      <c r="I413" t="n">
        <v>306822</v>
      </c>
      <c r="J413" t="n">
        <v>493088.5999999988</v>
      </c>
      <c r="K413" t="n">
        <v>22314</v>
      </c>
      <c r="L413" t="n">
        <v>201615</v>
      </c>
      <c r="M413" t="n">
        <v>173621</v>
      </c>
      <c r="N413" t="n">
        <v>101734</v>
      </c>
      <c r="O413" t="n">
        <v>13111</v>
      </c>
      <c r="P413" t="n">
        <v>1007</v>
      </c>
    </row>
    <row r="414">
      <c r="A414" t="inlineStr">
        <is>
          <t>B6</t>
        </is>
      </c>
      <c r="B414" t="n">
        <v>2019</v>
      </c>
      <c r="C414" t="n">
        <v>3</v>
      </c>
      <c r="D414" t="n">
        <v>25927</v>
      </c>
      <c r="E414" t="n">
        <v>425</v>
      </c>
      <c r="F414" t="n">
        <v>53</v>
      </c>
      <c r="G414" t="n">
        <v>25449</v>
      </c>
      <c r="H414" t="n">
        <v>19125</v>
      </c>
      <c r="I414" t="n">
        <v>246514</v>
      </c>
      <c r="J414" t="n">
        <v>570723.4000000037</v>
      </c>
      <c r="K414" t="n">
        <v>25774</v>
      </c>
      <c r="L414" t="n">
        <v>208684</v>
      </c>
      <c r="M414" t="n">
        <v>176327</v>
      </c>
      <c r="N414" t="n">
        <v>85401</v>
      </c>
      <c r="O414" t="n">
        <v>8378</v>
      </c>
      <c r="P414" t="n">
        <v>385</v>
      </c>
    </row>
    <row r="415">
      <c r="A415" t="inlineStr">
        <is>
          <t>B6</t>
        </is>
      </c>
      <c r="B415" t="n">
        <v>2019</v>
      </c>
      <c r="C415" t="n">
        <v>4</v>
      </c>
      <c r="D415" t="n">
        <v>25329</v>
      </c>
      <c r="E415" t="n">
        <v>363</v>
      </c>
      <c r="F415" t="n">
        <v>68</v>
      </c>
      <c r="G415" t="n">
        <v>24898</v>
      </c>
      <c r="H415" t="n">
        <v>18604</v>
      </c>
      <c r="I415" t="n">
        <v>255148</v>
      </c>
      <c r="J415" t="n">
        <v>596353.3000000054</v>
      </c>
      <c r="K415" t="n">
        <v>25308</v>
      </c>
      <c r="L415" t="n">
        <v>209905</v>
      </c>
      <c r="M415" t="n">
        <v>166080</v>
      </c>
      <c r="N415" t="n">
        <v>129169</v>
      </c>
      <c r="O415" t="n">
        <v>7905</v>
      </c>
      <c r="P415" t="n">
        <v>366</v>
      </c>
    </row>
    <row r="416">
      <c r="A416" t="inlineStr">
        <is>
          <t>B6</t>
        </is>
      </c>
      <c r="B416" t="n">
        <v>2019</v>
      </c>
      <c r="C416" t="n">
        <v>5</v>
      </c>
      <c r="D416" t="n">
        <v>24967</v>
      </c>
      <c r="E416" t="n">
        <v>81</v>
      </c>
      <c r="F416" t="n">
        <v>99</v>
      </c>
      <c r="G416" t="n">
        <v>24787</v>
      </c>
      <c r="H416" t="n">
        <v>19375</v>
      </c>
      <c r="I416" t="n">
        <v>136808</v>
      </c>
      <c r="J416" t="n">
        <v>550587.9000000057</v>
      </c>
      <c r="K416" t="n">
        <v>24856</v>
      </c>
      <c r="L416" t="n">
        <v>146305</v>
      </c>
      <c r="M416" t="n">
        <v>122894</v>
      </c>
      <c r="N416" t="n">
        <v>115868</v>
      </c>
      <c r="O416" t="n">
        <v>11444</v>
      </c>
      <c r="P416" t="n">
        <v>317</v>
      </c>
    </row>
    <row r="417">
      <c r="A417" t="inlineStr">
        <is>
          <t>B6</t>
        </is>
      </c>
      <c r="B417" t="n">
        <v>2019</v>
      </c>
      <c r="C417" t="n">
        <v>6</v>
      </c>
      <c r="D417" t="n">
        <v>24324</v>
      </c>
      <c r="E417" t="n">
        <v>120</v>
      </c>
      <c r="F417" t="n">
        <v>121</v>
      </c>
      <c r="G417" t="n">
        <v>24083</v>
      </c>
      <c r="H417" t="n">
        <v>17044</v>
      </c>
      <c r="I417" t="n">
        <v>356762</v>
      </c>
      <c r="J417" t="n">
        <v>542175.7000000012</v>
      </c>
      <c r="K417" t="n">
        <v>24192</v>
      </c>
      <c r="L417" t="n">
        <v>236490</v>
      </c>
      <c r="M417" t="n">
        <v>185374</v>
      </c>
      <c r="N417" t="n">
        <v>123446</v>
      </c>
      <c r="O417" t="n">
        <v>20643</v>
      </c>
      <c r="P417" t="n">
        <v>774</v>
      </c>
    </row>
    <row r="418">
      <c r="A418" t="inlineStr">
        <is>
          <t>B6</t>
        </is>
      </c>
      <c r="B418" t="n">
        <v>2019</v>
      </c>
      <c r="C418" t="n">
        <v>7</v>
      </c>
      <c r="D418" t="n">
        <v>25545</v>
      </c>
      <c r="E418" t="n">
        <v>403</v>
      </c>
      <c r="F418" t="n">
        <v>102</v>
      </c>
      <c r="G418" t="n">
        <v>25040</v>
      </c>
      <c r="H418" t="n">
        <v>17930</v>
      </c>
      <c r="I418" t="n">
        <v>447319</v>
      </c>
      <c r="J418" t="n">
        <v>570083.6000000002</v>
      </c>
      <c r="K418" t="n">
        <v>25533</v>
      </c>
      <c r="L418" t="n">
        <v>289771</v>
      </c>
      <c r="M418" t="n">
        <v>213702</v>
      </c>
      <c r="N418" t="n">
        <v>149746</v>
      </c>
      <c r="O418" t="n">
        <v>31414</v>
      </c>
      <c r="P418" t="n">
        <v>819</v>
      </c>
    </row>
    <row r="419">
      <c r="A419" t="inlineStr">
        <is>
          <t>B6</t>
        </is>
      </c>
      <c r="B419" t="n">
        <v>2019</v>
      </c>
      <c r="C419" t="n">
        <v>8</v>
      </c>
      <c r="D419" t="n">
        <v>25518</v>
      </c>
      <c r="E419" t="n">
        <v>248</v>
      </c>
      <c r="F419" t="n">
        <v>98</v>
      </c>
      <c r="G419" t="n">
        <v>25172</v>
      </c>
      <c r="H419" t="n">
        <v>17303</v>
      </c>
      <c r="I419" t="n">
        <v>507319</v>
      </c>
      <c r="J419" t="n">
        <v>566999.4000000004</v>
      </c>
      <c r="K419" t="n">
        <v>25455</v>
      </c>
      <c r="L419" t="n">
        <v>316630</v>
      </c>
      <c r="M419" t="n">
        <v>224054</v>
      </c>
      <c r="N419" t="n">
        <v>156062</v>
      </c>
      <c r="O419" t="n">
        <v>26221</v>
      </c>
      <c r="P419" t="n">
        <v>516</v>
      </c>
    </row>
    <row r="420">
      <c r="A420" t="inlineStr">
        <is>
          <t>B6</t>
        </is>
      </c>
      <c r="B420" t="n">
        <v>2019</v>
      </c>
      <c r="C420" t="n">
        <v>9</v>
      </c>
      <c r="D420" t="n">
        <v>24143</v>
      </c>
      <c r="E420" t="n">
        <v>505</v>
      </c>
      <c r="F420" t="n">
        <v>59</v>
      </c>
      <c r="G420" t="n">
        <v>23579</v>
      </c>
      <c r="H420" t="n">
        <v>19788</v>
      </c>
      <c r="I420" t="n">
        <v>-5687</v>
      </c>
      <c r="J420" t="n">
        <v>519371.8999999998</v>
      </c>
      <c r="K420" t="n">
        <v>24026</v>
      </c>
      <c r="L420" t="n">
        <v>108530</v>
      </c>
      <c r="M420" t="n">
        <v>115168</v>
      </c>
      <c r="N420" t="n">
        <v>61621</v>
      </c>
      <c r="O420" t="n">
        <v>6063</v>
      </c>
      <c r="P420" t="n">
        <v>299</v>
      </c>
    </row>
    <row r="421">
      <c r="A421" t="inlineStr">
        <is>
          <t>B6</t>
        </is>
      </c>
      <c r="B421" t="n">
        <v>2019</v>
      </c>
      <c r="C421" t="n">
        <v>10</v>
      </c>
      <c r="D421" t="n">
        <v>24891</v>
      </c>
      <c r="E421" t="n">
        <v>96</v>
      </c>
      <c r="F421" t="n">
        <v>64</v>
      </c>
      <c r="G421" t="n">
        <v>24731</v>
      </c>
      <c r="H421" t="n">
        <v>20081</v>
      </c>
      <c r="I421" t="n">
        <v>77979</v>
      </c>
      <c r="J421" t="n">
        <v>514133.3999999983</v>
      </c>
      <c r="K421" t="n">
        <v>24847</v>
      </c>
      <c r="L421" t="n">
        <v>110652</v>
      </c>
      <c r="M421" t="n">
        <v>127229</v>
      </c>
      <c r="N421" t="n">
        <v>88606</v>
      </c>
      <c r="O421" t="n">
        <v>3414</v>
      </c>
      <c r="P421" t="n">
        <v>667</v>
      </c>
    </row>
    <row r="422">
      <c r="A422" t="inlineStr">
        <is>
          <t>B6</t>
        </is>
      </c>
      <c r="B422" t="n">
        <v>2019</v>
      </c>
      <c r="C422" t="n">
        <v>11</v>
      </c>
      <c r="D422" t="n">
        <v>24709</v>
      </c>
      <c r="E422" t="n">
        <v>15</v>
      </c>
      <c r="F422" t="n">
        <v>50</v>
      </c>
      <c r="G422" t="n">
        <v>24644</v>
      </c>
      <c r="H422" t="n">
        <v>19868</v>
      </c>
      <c r="I422" t="n">
        <v>65296</v>
      </c>
      <c r="J422" t="n">
        <v>484918.800000001</v>
      </c>
      <c r="K422" t="n">
        <v>24460</v>
      </c>
      <c r="L422" t="n">
        <v>101911</v>
      </c>
      <c r="M422" t="n">
        <v>116463</v>
      </c>
      <c r="N422" t="n">
        <v>61021</v>
      </c>
      <c r="O422" t="n">
        <v>1648</v>
      </c>
      <c r="P422" t="n">
        <v>312</v>
      </c>
    </row>
    <row r="423">
      <c r="A423" t="inlineStr">
        <is>
          <t>B6</t>
        </is>
      </c>
      <c r="B423" t="n">
        <v>2019</v>
      </c>
      <c r="C423" t="n">
        <v>12</v>
      </c>
      <c r="D423" t="n">
        <v>25217</v>
      </c>
      <c r="E423" t="n">
        <v>183</v>
      </c>
      <c r="F423" t="n">
        <v>71</v>
      </c>
      <c r="G423" t="n">
        <v>24963</v>
      </c>
      <c r="H423" t="n">
        <v>16832</v>
      </c>
      <c r="I423" t="n">
        <v>550539</v>
      </c>
      <c r="J423" t="n">
        <v>504229.6999999996</v>
      </c>
      <c r="K423" t="n">
        <v>25102</v>
      </c>
      <c r="L423" t="n">
        <v>312657</v>
      </c>
      <c r="M423" t="n">
        <v>238720</v>
      </c>
      <c r="N423" t="n">
        <v>158828</v>
      </c>
      <c r="O423" t="n">
        <v>12637</v>
      </c>
      <c r="P423" t="n">
        <v>456</v>
      </c>
    </row>
    <row r="424">
      <c r="A424" t="inlineStr">
        <is>
          <t>B6</t>
        </is>
      </c>
      <c r="B424" t="n">
        <v>2020</v>
      </c>
      <c r="C424" t="n">
        <v>1</v>
      </c>
      <c r="D424" t="n">
        <v>24709</v>
      </c>
      <c r="E424" t="n">
        <v>18</v>
      </c>
      <c r="F424" t="n">
        <v>70</v>
      </c>
      <c r="G424" t="n">
        <v>24621</v>
      </c>
      <c r="H424" t="n">
        <v>20946</v>
      </c>
      <c r="I424" t="n">
        <v>-73944</v>
      </c>
      <c r="J424" t="n">
        <v>552862.1000000002</v>
      </c>
      <c r="K424" t="n">
        <v>24642</v>
      </c>
      <c r="L424" t="n">
        <v>81097</v>
      </c>
      <c r="M424" t="n">
        <v>101777</v>
      </c>
      <c r="N424" t="n">
        <v>48485</v>
      </c>
      <c r="O424" t="n">
        <v>3829</v>
      </c>
      <c r="P424" t="n">
        <v>272</v>
      </c>
    </row>
    <row r="425">
      <c r="A425" t="inlineStr">
        <is>
          <t>B6</t>
        </is>
      </c>
      <c r="B425" t="n">
        <v>2020</v>
      </c>
      <c r="C425" t="n">
        <v>2</v>
      </c>
      <c r="D425" t="n">
        <v>23527</v>
      </c>
      <c r="E425" t="n">
        <v>28</v>
      </c>
      <c r="F425" t="n">
        <v>52</v>
      </c>
      <c r="G425" t="n">
        <v>23447</v>
      </c>
      <c r="H425" t="n">
        <v>19621</v>
      </c>
      <c r="I425" t="n">
        <v>-40321</v>
      </c>
      <c r="J425" t="n">
        <v>527058.3000000028</v>
      </c>
      <c r="K425" t="n">
        <v>23259</v>
      </c>
      <c r="L425" t="n">
        <v>89280</v>
      </c>
      <c r="M425" t="n">
        <v>95407</v>
      </c>
      <c r="N425" t="n">
        <v>58621</v>
      </c>
      <c r="O425" t="n">
        <v>3259</v>
      </c>
      <c r="P425" t="n">
        <v>188</v>
      </c>
    </row>
    <row r="426">
      <c r="A426" t="inlineStr">
        <is>
          <t>B6</t>
        </is>
      </c>
      <c r="B426" t="n">
        <v>2020</v>
      </c>
      <c r="C426" t="n">
        <v>3</v>
      </c>
      <c r="D426" t="n">
        <v>25657</v>
      </c>
      <c r="E426" t="n">
        <v>4419</v>
      </c>
      <c r="F426" t="n">
        <v>32</v>
      </c>
      <c r="G426" t="n">
        <v>21206</v>
      </c>
      <c r="H426" t="n">
        <v>18648</v>
      </c>
      <c r="I426" t="n">
        <v>-166422</v>
      </c>
      <c r="J426" t="n">
        <v>574089.900000004</v>
      </c>
      <c r="K426" t="n">
        <v>25179</v>
      </c>
      <c r="L426" t="n">
        <v>42338</v>
      </c>
      <c r="M426" t="n">
        <v>71331</v>
      </c>
      <c r="N426" t="n">
        <v>32515</v>
      </c>
      <c r="O426" t="n">
        <v>1338</v>
      </c>
      <c r="P426" t="n">
        <v>251</v>
      </c>
    </row>
    <row r="427">
      <c r="A427" t="inlineStr">
        <is>
          <t>B6</t>
        </is>
      </c>
      <c r="B427" t="n">
        <v>2020</v>
      </c>
      <c r="C427" t="n">
        <v>4</v>
      </c>
      <c r="D427" t="n">
        <v>6886</v>
      </c>
      <c r="E427" t="n">
        <v>2464</v>
      </c>
      <c r="F427" t="n">
        <v>4</v>
      </c>
      <c r="G427" t="n">
        <v>4418</v>
      </c>
      <c r="H427" t="n">
        <v>4222</v>
      </c>
      <c r="I427" t="n">
        <v>-108356</v>
      </c>
      <c r="J427" t="n">
        <v>161148.8000000002</v>
      </c>
      <c r="K427" t="n">
        <v>6831</v>
      </c>
      <c r="L427" t="n">
        <v>2022</v>
      </c>
      <c r="M427" t="n">
        <v>7211</v>
      </c>
      <c r="N427" t="n">
        <v>1098</v>
      </c>
      <c r="O427" t="n">
        <v>59</v>
      </c>
      <c r="P427" t="n">
        <v>38</v>
      </c>
    </row>
    <row r="428">
      <c r="A428" t="inlineStr">
        <is>
          <t>B6</t>
        </is>
      </c>
      <c r="B428" t="n">
        <v>2020</v>
      </c>
      <c r="C428" t="n">
        <v>5</v>
      </c>
      <c r="D428" t="n">
        <v>2762</v>
      </c>
      <c r="E428" t="n">
        <v>212</v>
      </c>
      <c r="F428" t="n">
        <v>5</v>
      </c>
      <c r="G428" t="n">
        <v>2545</v>
      </c>
      <c r="H428" t="n">
        <v>2386</v>
      </c>
      <c r="I428" t="n">
        <v>-36337</v>
      </c>
      <c r="J428" t="n">
        <v>35060.90000000011</v>
      </c>
      <c r="K428" t="n">
        <v>2694</v>
      </c>
      <c r="L428" t="n">
        <v>809</v>
      </c>
      <c r="M428" t="n">
        <v>4303</v>
      </c>
      <c r="N428" t="n">
        <v>1567</v>
      </c>
      <c r="O428" t="n">
        <v>623</v>
      </c>
      <c r="P428" t="n">
        <v>0</v>
      </c>
    </row>
    <row r="429">
      <c r="A429" t="inlineStr">
        <is>
          <t>B6</t>
        </is>
      </c>
      <c r="B429" t="n">
        <v>2020</v>
      </c>
      <c r="C429" t="n">
        <v>6</v>
      </c>
      <c r="D429" t="n">
        <v>5367</v>
      </c>
      <c r="E429" t="n">
        <v>40</v>
      </c>
      <c r="F429" t="n">
        <v>17</v>
      </c>
      <c r="G429" t="n">
        <v>5310</v>
      </c>
      <c r="H429" t="n">
        <v>4835</v>
      </c>
      <c r="I429" t="n">
        <v>-43138</v>
      </c>
      <c r="J429" t="n">
        <v>62634.29999999996</v>
      </c>
      <c r="K429" t="n">
        <v>5319</v>
      </c>
      <c r="L429" t="n">
        <v>5575</v>
      </c>
      <c r="M429" t="n">
        <v>13800</v>
      </c>
      <c r="N429" t="n">
        <v>5202</v>
      </c>
      <c r="O429" t="n">
        <v>1008</v>
      </c>
      <c r="P429" t="n">
        <v>8</v>
      </c>
    </row>
    <row r="430">
      <c r="A430" t="inlineStr">
        <is>
          <t>B6</t>
        </is>
      </c>
      <c r="B430" t="n">
        <v>2020</v>
      </c>
      <c r="C430" t="n">
        <v>7</v>
      </c>
      <c r="D430" t="n">
        <v>10495</v>
      </c>
      <c r="E430" t="n">
        <v>289</v>
      </c>
      <c r="F430" t="n">
        <v>40</v>
      </c>
      <c r="G430" t="n">
        <v>10166</v>
      </c>
      <c r="H430" t="n">
        <v>8959</v>
      </c>
      <c r="I430" t="n">
        <v>-48893</v>
      </c>
      <c r="J430" t="n">
        <v>121716.6999999994</v>
      </c>
      <c r="K430" t="n">
        <v>10446</v>
      </c>
      <c r="L430" t="n">
        <v>21748</v>
      </c>
      <c r="M430" t="n">
        <v>36796</v>
      </c>
      <c r="N430" t="n">
        <v>12753</v>
      </c>
      <c r="O430" t="n">
        <v>4776</v>
      </c>
      <c r="P430" t="n">
        <v>312</v>
      </c>
    </row>
    <row r="431">
      <c r="A431" t="inlineStr">
        <is>
          <t>B6</t>
        </is>
      </c>
      <c r="B431" t="n">
        <v>2020</v>
      </c>
      <c r="C431" t="n">
        <v>8</v>
      </c>
      <c r="D431" t="n">
        <v>7870</v>
      </c>
      <c r="E431" t="n">
        <v>230</v>
      </c>
      <c r="F431" t="n">
        <v>31</v>
      </c>
      <c r="G431" t="n">
        <v>7609</v>
      </c>
      <c r="H431" t="n">
        <v>6881</v>
      </c>
      <c r="I431" t="n">
        <v>-63787</v>
      </c>
      <c r="J431" t="n">
        <v>101302.1999999999</v>
      </c>
      <c r="K431" t="n">
        <v>7820</v>
      </c>
      <c r="L431" t="n">
        <v>9028</v>
      </c>
      <c r="M431" t="n">
        <v>17748</v>
      </c>
      <c r="N431" t="n">
        <v>8942</v>
      </c>
      <c r="O431" t="n">
        <v>3508</v>
      </c>
      <c r="P431" t="n">
        <v>71</v>
      </c>
    </row>
    <row r="432">
      <c r="A432" t="inlineStr">
        <is>
          <t>B6</t>
        </is>
      </c>
      <c r="B432" t="n">
        <v>2020</v>
      </c>
      <c r="C432" t="n">
        <v>9</v>
      </c>
      <c r="D432" t="n">
        <v>6378</v>
      </c>
      <c r="E432" t="n">
        <v>58</v>
      </c>
      <c r="F432" t="n">
        <v>10</v>
      </c>
      <c r="G432" t="n">
        <v>6310</v>
      </c>
      <c r="H432" t="n">
        <v>5938</v>
      </c>
      <c r="I432" t="n">
        <v>-80025</v>
      </c>
      <c r="J432" t="n">
        <v>95394.50000000001</v>
      </c>
      <c r="K432" t="n">
        <v>6325</v>
      </c>
      <c r="L432" t="n">
        <v>3128</v>
      </c>
      <c r="M432" t="n">
        <v>9103</v>
      </c>
      <c r="N432" t="n">
        <v>3398</v>
      </c>
      <c r="O432" t="n">
        <v>436</v>
      </c>
      <c r="P432" t="n">
        <v>76</v>
      </c>
    </row>
    <row r="433">
      <c r="A433" t="inlineStr">
        <is>
          <t>B6</t>
        </is>
      </c>
      <c r="B433" t="n">
        <v>2020</v>
      </c>
      <c r="C433" t="n">
        <v>10</v>
      </c>
      <c r="D433" t="n">
        <v>8811</v>
      </c>
      <c r="E433" t="n">
        <v>17</v>
      </c>
      <c r="F433" t="n">
        <v>10</v>
      </c>
      <c r="G433" t="n">
        <v>8784</v>
      </c>
      <c r="H433" t="n">
        <v>7819</v>
      </c>
      <c r="I433" t="n">
        <v>-60160</v>
      </c>
      <c r="J433" t="n">
        <v>133382.1000000004</v>
      </c>
      <c r="K433" t="n">
        <v>8725</v>
      </c>
      <c r="L433" t="n">
        <v>11557</v>
      </c>
      <c r="M433" t="n">
        <v>26409</v>
      </c>
      <c r="N433" t="n">
        <v>11623</v>
      </c>
      <c r="O433" t="n">
        <v>1001</v>
      </c>
      <c r="P433" t="n">
        <v>61</v>
      </c>
    </row>
    <row r="434">
      <c r="A434" t="inlineStr">
        <is>
          <t>B6</t>
        </is>
      </c>
      <c r="B434" t="n">
        <v>2020</v>
      </c>
      <c r="C434" t="n">
        <v>11</v>
      </c>
      <c r="D434" t="n">
        <v>10737</v>
      </c>
      <c r="E434" t="n">
        <v>78</v>
      </c>
      <c r="F434" t="n">
        <v>21</v>
      </c>
      <c r="G434" t="n">
        <v>10638</v>
      </c>
      <c r="H434" t="n">
        <v>9573</v>
      </c>
      <c r="I434" t="n">
        <v>-57687</v>
      </c>
      <c r="J434" t="n">
        <v>147419.9000000003</v>
      </c>
      <c r="K434" t="n">
        <v>10572</v>
      </c>
      <c r="L434" t="n">
        <v>12986</v>
      </c>
      <c r="M434" t="n">
        <v>29522</v>
      </c>
      <c r="N434" t="n">
        <v>13302</v>
      </c>
      <c r="O434" t="n">
        <v>1928</v>
      </c>
      <c r="P434" t="n">
        <v>110</v>
      </c>
    </row>
    <row r="435">
      <c r="A435" t="inlineStr">
        <is>
          <t>B6</t>
        </is>
      </c>
      <c r="B435" t="n">
        <v>2020</v>
      </c>
      <c r="C435" t="n">
        <v>12</v>
      </c>
      <c r="D435" t="n">
        <v>10964</v>
      </c>
      <c r="E435" t="n">
        <v>129</v>
      </c>
      <c r="F435" t="n">
        <v>19</v>
      </c>
      <c r="G435" t="n">
        <v>10816</v>
      </c>
      <c r="H435" t="n">
        <v>8584</v>
      </c>
      <c r="I435" t="n">
        <v>64698</v>
      </c>
      <c r="J435" t="n">
        <v>129411.7000000007</v>
      </c>
      <c r="K435" t="n">
        <v>10763</v>
      </c>
      <c r="L435" t="n">
        <v>40766</v>
      </c>
      <c r="M435" t="n">
        <v>58719</v>
      </c>
      <c r="N435" t="n">
        <v>33958</v>
      </c>
      <c r="O435" t="n">
        <v>7658</v>
      </c>
      <c r="P435" t="n">
        <v>391</v>
      </c>
    </row>
    <row r="436">
      <c r="A436" t="inlineStr">
        <is>
          <t>B6</t>
        </is>
      </c>
      <c r="B436" t="n">
        <v>2021</v>
      </c>
      <c r="C436" t="n">
        <v>1</v>
      </c>
      <c r="D436" t="n">
        <v>8937</v>
      </c>
      <c r="E436" t="n">
        <v>99</v>
      </c>
      <c r="F436" t="n">
        <v>11</v>
      </c>
      <c r="G436" t="n">
        <v>8827</v>
      </c>
      <c r="H436" t="n">
        <v>6932</v>
      </c>
      <c r="I436" t="n">
        <v>40949</v>
      </c>
      <c r="J436" t="n">
        <v>105557.3000000003</v>
      </c>
      <c r="K436" t="n">
        <v>8783</v>
      </c>
      <c r="L436" t="n">
        <v>24981</v>
      </c>
      <c r="M436" t="n">
        <v>43260</v>
      </c>
      <c r="N436" t="n">
        <v>31487</v>
      </c>
      <c r="O436" t="n">
        <v>1476</v>
      </c>
      <c r="P436" t="n">
        <v>533</v>
      </c>
    </row>
    <row r="437">
      <c r="A437" t="inlineStr">
        <is>
          <t>B6</t>
        </is>
      </c>
      <c r="B437" t="n">
        <v>2021</v>
      </c>
      <c r="C437" t="n">
        <v>2</v>
      </c>
      <c r="D437" t="n">
        <v>10003</v>
      </c>
      <c r="E437" t="n">
        <v>426</v>
      </c>
      <c r="F437" t="n">
        <v>23</v>
      </c>
      <c r="G437" t="n">
        <v>9554</v>
      </c>
      <c r="H437" t="n">
        <v>6632</v>
      </c>
      <c r="I437" t="n">
        <v>126181</v>
      </c>
      <c r="J437" t="n">
        <v>138314.1000000004</v>
      </c>
      <c r="K437" t="n">
        <v>9844</v>
      </c>
      <c r="L437" t="n">
        <v>52527</v>
      </c>
      <c r="M437" t="n">
        <v>67693</v>
      </c>
      <c r="N437" t="n">
        <v>52200</v>
      </c>
      <c r="O437" t="n">
        <v>9342</v>
      </c>
      <c r="P437" t="n">
        <v>464</v>
      </c>
    </row>
    <row r="438">
      <c r="A438" t="inlineStr">
        <is>
          <t>B6</t>
        </is>
      </c>
      <c r="B438" t="n">
        <v>2021</v>
      </c>
      <c r="C438" t="n">
        <v>3</v>
      </c>
      <c r="D438" t="n">
        <v>13724</v>
      </c>
      <c r="E438" t="n">
        <v>71</v>
      </c>
      <c r="F438" t="n">
        <v>20</v>
      </c>
      <c r="G438" t="n">
        <v>13633</v>
      </c>
      <c r="H438" t="n">
        <v>12045</v>
      </c>
      <c r="I438" t="n">
        <v>-83382</v>
      </c>
      <c r="J438" t="n">
        <v>279923.9999999994</v>
      </c>
      <c r="K438" t="n">
        <v>13542</v>
      </c>
      <c r="L438" t="n">
        <v>22505</v>
      </c>
      <c r="M438" t="n">
        <v>47870</v>
      </c>
      <c r="N438" t="n">
        <v>13667</v>
      </c>
      <c r="O438" t="n">
        <v>879</v>
      </c>
      <c r="P438" t="n">
        <v>378</v>
      </c>
    </row>
    <row r="439">
      <c r="A439" t="inlineStr">
        <is>
          <t>B6</t>
        </is>
      </c>
      <c r="B439" t="n">
        <v>2021</v>
      </c>
      <c r="C439" t="n">
        <v>4</v>
      </c>
      <c r="D439" t="n">
        <v>15243</v>
      </c>
      <c r="E439" t="n">
        <v>120</v>
      </c>
      <c r="F439" t="n">
        <v>39</v>
      </c>
      <c r="G439" t="n">
        <v>15084</v>
      </c>
      <c r="H439" t="n">
        <v>12489</v>
      </c>
      <c r="I439" t="n">
        <v>27917</v>
      </c>
      <c r="J439" t="n">
        <v>318172.2000000002</v>
      </c>
      <c r="K439" t="n">
        <v>15126</v>
      </c>
      <c r="L439" t="n">
        <v>65782</v>
      </c>
      <c r="M439" t="n">
        <v>80398</v>
      </c>
      <c r="N439" t="n">
        <v>35489</v>
      </c>
      <c r="O439" t="n">
        <v>14326</v>
      </c>
      <c r="P439" t="n">
        <v>4892</v>
      </c>
    </row>
    <row r="440">
      <c r="A440" t="inlineStr">
        <is>
          <t>B6</t>
        </is>
      </c>
      <c r="B440" t="n">
        <v>2021</v>
      </c>
      <c r="C440" t="n">
        <v>5</v>
      </c>
      <c r="D440" t="n">
        <v>17565</v>
      </c>
      <c r="E440" t="n">
        <v>43</v>
      </c>
      <c r="F440" t="n">
        <v>52</v>
      </c>
      <c r="G440" t="n">
        <v>17470</v>
      </c>
      <c r="H440" t="n">
        <v>14311</v>
      </c>
      <c r="I440" t="n">
        <v>13713</v>
      </c>
      <c r="J440" t="n">
        <v>326746.9000000003</v>
      </c>
      <c r="K440" t="n">
        <v>17082</v>
      </c>
      <c r="L440" t="n">
        <v>52056</v>
      </c>
      <c r="M440" t="n">
        <v>93668</v>
      </c>
      <c r="N440" t="n">
        <v>27286</v>
      </c>
      <c r="O440" t="n">
        <v>8069</v>
      </c>
      <c r="P440" t="n">
        <v>2928</v>
      </c>
    </row>
    <row r="441">
      <c r="A441" t="inlineStr">
        <is>
          <t>B6</t>
        </is>
      </c>
      <c r="B441" t="n">
        <v>2021</v>
      </c>
      <c r="C441" t="n">
        <v>6</v>
      </c>
      <c r="D441" t="n">
        <v>18369</v>
      </c>
      <c r="E441" t="n">
        <v>113</v>
      </c>
      <c r="F441" t="n">
        <v>109</v>
      </c>
      <c r="G441" t="n">
        <v>18147</v>
      </c>
      <c r="H441" t="n">
        <v>11967</v>
      </c>
      <c r="I441" t="n">
        <v>362612</v>
      </c>
      <c r="J441" t="n">
        <v>369354.6999999997</v>
      </c>
      <c r="K441" t="n">
        <v>18127</v>
      </c>
      <c r="L441" t="n">
        <v>181384</v>
      </c>
      <c r="M441" t="n">
        <v>213267</v>
      </c>
      <c r="N441" t="n">
        <v>68736</v>
      </c>
      <c r="O441" t="n">
        <v>24026</v>
      </c>
      <c r="P441" t="n">
        <v>2442</v>
      </c>
    </row>
    <row r="442">
      <c r="A442" t="inlineStr">
        <is>
          <t>B6</t>
        </is>
      </c>
      <c r="B442" t="n">
        <v>2021</v>
      </c>
      <c r="C442" t="n">
        <v>7</v>
      </c>
      <c r="D442" t="n">
        <v>20126</v>
      </c>
      <c r="E442" t="n">
        <v>516</v>
      </c>
      <c r="F442" t="n">
        <v>169</v>
      </c>
      <c r="G442" t="n">
        <v>19441</v>
      </c>
      <c r="H442" t="n">
        <v>11204</v>
      </c>
      <c r="I442" t="n">
        <v>643308</v>
      </c>
      <c r="J442" t="n">
        <v>425645.2000000012</v>
      </c>
      <c r="K442" t="n">
        <v>19958</v>
      </c>
      <c r="L442" t="n">
        <v>301068</v>
      </c>
      <c r="M442" t="n">
        <v>327105</v>
      </c>
      <c r="N442" t="n">
        <v>96349</v>
      </c>
      <c r="O442" t="n">
        <v>29371</v>
      </c>
      <c r="P442" t="n">
        <v>3629</v>
      </c>
    </row>
    <row r="443">
      <c r="A443" t="inlineStr">
        <is>
          <t>B6</t>
        </is>
      </c>
      <c r="B443" t="n">
        <v>2021</v>
      </c>
      <c r="C443" t="n">
        <v>8</v>
      </c>
      <c r="D443" t="n">
        <v>20271</v>
      </c>
      <c r="E443" t="n">
        <v>425</v>
      </c>
      <c r="F443" t="n">
        <v>111</v>
      </c>
      <c r="G443" t="n">
        <v>19735</v>
      </c>
      <c r="H443" t="n">
        <v>13384</v>
      </c>
      <c r="I443" t="n">
        <v>323334</v>
      </c>
      <c r="J443" t="n">
        <v>428983.7000000018</v>
      </c>
      <c r="K443" t="n">
        <v>20087</v>
      </c>
      <c r="L443" t="n">
        <v>169893</v>
      </c>
      <c r="M443" t="n">
        <v>218667</v>
      </c>
      <c r="N443" t="n">
        <v>67668</v>
      </c>
      <c r="O443" t="n">
        <v>16216</v>
      </c>
      <c r="P443" t="n">
        <v>2642</v>
      </c>
    </row>
    <row r="444">
      <c r="A444" t="inlineStr">
        <is>
          <t>B6</t>
        </is>
      </c>
      <c r="B444" t="n">
        <v>2021</v>
      </c>
      <c r="C444" t="n">
        <v>9</v>
      </c>
      <c r="D444" t="n">
        <v>18575</v>
      </c>
      <c r="E444" t="n">
        <v>487</v>
      </c>
      <c r="F444" t="n">
        <v>66</v>
      </c>
      <c r="G444" t="n">
        <v>18022</v>
      </c>
      <c r="H444" t="n">
        <v>13796</v>
      </c>
      <c r="I444" t="n">
        <v>149362</v>
      </c>
      <c r="J444" t="n">
        <v>372983.8999999995</v>
      </c>
      <c r="K444" t="n">
        <v>18341</v>
      </c>
      <c r="L444" t="n">
        <v>102878</v>
      </c>
      <c r="M444" t="n">
        <v>153412</v>
      </c>
      <c r="N444" t="n">
        <v>56618</v>
      </c>
      <c r="O444" t="n">
        <v>12186</v>
      </c>
      <c r="P444" t="n">
        <v>875</v>
      </c>
    </row>
    <row r="445">
      <c r="A445" t="inlineStr">
        <is>
          <t>B6</t>
        </is>
      </c>
      <c r="B445" t="n">
        <v>2021</v>
      </c>
      <c r="C445" t="n">
        <v>10</v>
      </c>
      <c r="D445" t="n">
        <v>19083</v>
      </c>
      <c r="E445" t="n">
        <v>54</v>
      </c>
      <c r="F445" t="n">
        <v>71</v>
      </c>
      <c r="G445" t="n">
        <v>18958</v>
      </c>
      <c r="H445" t="n">
        <v>14977</v>
      </c>
      <c r="I445" t="n">
        <v>80225</v>
      </c>
      <c r="J445" t="n">
        <v>369477.7000000003</v>
      </c>
      <c r="K445" t="n">
        <v>18925</v>
      </c>
      <c r="L445" t="n">
        <v>71569</v>
      </c>
      <c r="M445" t="n">
        <v>121741</v>
      </c>
      <c r="N445" t="n">
        <v>45978</v>
      </c>
      <c r="O445" t="n">
        <v>7970</v>
      </c>
      <c r="P445" t="n">
        <v>1237</v>
      </c>
    </row>
    <row r="446">
      <c r="A446" t="inlineStr">
        <is>
          <t>B6</t>
        </is>
      </c>
      <c r="B446" t="n">
        <v>2021</v>
      </c>
      <c r="C446" t="n">
        <v>11</v>
      </c>
      <c r="D446" t="n">
        <v>19625</v>
      </c>
      <c r="E446" t="n">
        <v>27</v>
      </c>
      <c r="F446" t="n">
        <v>32</v>
      </c>
      <c r="G446" t="n">
        <v>19566</v>
      </c>
      <c r="H446" t="n">
        <v>15172</v>
      </c>
      <c r="I446" t="n">
        <v>98894</v>
      </c>
      <c r="J446" t="n">
        <v>395388</v>
      </c>
      <c r="K446" t="n">
        <v>19460</v>
      </c>
      <c r="L446" t="n">
        <v>66908</v>
      </c>
      <c r="M446" t="n">
        <v>136059</v>
      </c>
      <c r="N446" t="n">
        <v>47535</v>
      </c>
      <c r="O446" t="n">
        <v>5217</v>
      </c>
      <c r="P446" t="n">
        <v>1243</v>
      </c>
    </row>
    <row r="447">
      <c r="A447" t="inlineStr">
        <is>
          <t>B6</t>
        </is>
      </c>
      <c r="B447" t="n">
        <v>2021</v>
      </c>
      <c r="C447" t="n">
        <v>12</v>
      </c>
      <c r="D447" t="n">
        <v>21181</v>
      </c>
      <c r="E447" t="n">
        <v>918</v>
      </c>
      <c r="F447" t="n">
        <v>119</v>
      </c>
      <c r="G447" t="n">
        <v>20144</v>
      </c>
      <c r="H447" t="n">
        <v>13663</v>
      </c>
      <c r="I447" t="n">
        <v>323964</v>
      </c>
      <c r="J447" t="n">
        <v>422931.9999999991</v>
      </c>
      <c r="K447" t="n">
        <v>20888</v>
      </c>
      <c r="L447" t="n">
        <v>151534</v>
      </c>
      <c r="M447" t="n">
        <v>222789</v>
      </c>
      <c r="N447" t="n">
        <v>68757</v>
      </c>
      <c r="O447" t="n">
        <v>3733</v>
      </c>
      <c r="P447" t="n">
        <v>1483</v>
      </c>
    </row>
    <row r="448">
      <c r="A448" t="inlineStr">
        <is>
          <t>B6</t>
        </is>
      </c>
      <c r="B448" t="n">
        <v>2022</v>
      </c>
      <c r="C448" t="n">
        <v>1</v>
      </c>
      <c r="D448" t="n">
        <v>21332</v>
      </c>
      <c r="E448" t="n">
        <v>2088</v>
      </c>
      <c r="F448" t="n">
        <v>52</v>
      </c>
      <c r="G448" t="n">
        <v>19192</v>
      </c>
      <c r="H448" t="n">
        <v>13047</v>
      </c>
      <c r="I448" t="n">
        <v>359295</v>
      </c>
      <c r="J448" t="n">
        <v>475638.0999999999</v>
      </c>
      <c r="K448" t="n">
        <v>21216</v>
      </c>
      <c r="L448" t="n">
        <v>174169</v>
      </c>
      <c r="M448" t="n">
        <v>248617</v>
      </c>
      <c r="N448" t="n">
        <v>72076</v>
      </c>
      <c r="O448" t="n">
        <v>17642</v>
      </c>
      <c r="P448" t="n">
        <v>2054</v>
      </c>
    </row>
    <row r="449">
      <c r="A449" t="inlineStr">
        <is>
          <t>B6</t>
        </is>
      </c>
      <c r="B449" t="n">
        <v>2022</v>
      </c>
      <c r="C449" t="n">
        <v>2</v>
      </c>
      <c r="D449" t="n">
        <v>20579</v>
      </c>
      <c r="E449" t="n">
        <v>1048</v>
      </c>
      <c r="F449" t="n">
        <v>64</v>
      </c>
      <c r="G449" t="n">
        <v>19467</v>
      </c>
      <c r="H449" t="n">
        <v>12728</v>
      </c>
      <c r="I449" t="n">
        <v>400570</v>
      </c>
      <c r="J449" t="n">
        <v>475084.0999999999</v>
      </c>
      <c r="K449" t="n">
        <v>20255</v>
      </c>
      <c r="L449" t="n">
        <v>213373</v>
      </c>
      <c r="M449" t="n">
        <v>244433</v>
      </c>
      <c r="N449" t="n">
        <v>79564</v>
      </c>
      <c r="O449" t="n">
        <v>13652</v>
      </c>
      <c r="P449" t="n">
        <v>1305</v>
      </c>
    </row>
    <row r="450">
      <c r="A450" t="inlineStr">
        <is>
          <t>B6</t>
        </is>
      </c>
      <c r="B450" t="n">
        <v>2022</v>
      </c>
      <c r="C450" t="n">
        <v>3</v>
      </c>
      <c r="D450" t="n">
        <v>22949</v>
      </c>
      <c r="E450" t="n">
        <v>635</v>
      </c>
      <c r="F450" t="n">
        <v>114</v>
      </c>
      <c r="G450" t="n">
        <v>22200</v>
      </c>
      <c r="H450" t="n">
        <v>15051</v>
      </c>
      <c r="I450" t="n">
        <v>397734</v>
      </c>
      <c r="J450" t="n">
        <v>548645.3000000025</v>
      </c>
      <c r="K450" t="n">
        <v>22601</v>
      </c>
      <c r="L450" t="n">
        <v>216323</v>
      </c>
      <c r="M450" t="n">
        <v>250189</v>
      </c>
      <c r="N450" t="n">
        <v>95954</v>
      </c>
      <c r="O450" t="n">
        <v>10608</v>
      </c>
      <c r="P450" t="n">
        <v>2000</v>
      </c>
    </row>
    <row r="451">
      <c r="A451" t="inlineStr">
        <is>
          <t>B6</t>
        </is>
      </c>
      <c r="B451" t="n">
        <v>2022</v>
      </c>
      <c r="C451" t="n">
        <v>4</v>
      </c>
      <c r="D451" t="n">
        <v>24141</v>
      </c>
      <c r="E451" t="n">
        <v>2163</v>
      </c>
      <c r="F451" t="n">
        <v>80</v>
      </c>
      <c r="G451" t="n">
        <v>21898</v>
      </c>
      <c r="H451" t="n">
        <v>12871</v>
      </c>
      <c r="I451" t="n">
        <v>658048</v>
      </c>
      <c r="J451" t="n">
        <v>544918.5000000036</v>
      </c>
      <c r="K451" t="n">
        <v>24026</v>
      </c>
      <c r="L451" t="n">
        <v>312786</v>
      </c>
      <c r="M451" t="n">
        <v>355757</v>
      </c>
      <c r="N451" t="n">
        <v>97642</v>
      </c>
      <c r="O451" t="n">
        <v>17481</v>
      </c>
      <c r="P451" t="n">
        <v>2067</v>
      </c>
    </row>
    <row r="452">
      <c r="A452" t="inlineStr">
        <is>
          <t>B6</t>
        </is>
      </c>
      <c r="B452" t="n">
        <v>2022</v>
      </c>
      <c r="C452" t="n">
        <v>5</v>
      </c>
      <c r="D452" t="n">
        <v>23602</v>
      </c>
      <c r="E452" t="n">
        <v>539</v>
      </c>
      <c r="F452" t="n">
        <v>113</v>
      </c>
      <c r="G452" t="n">
        <v>22950</v>
      </c>
      <c r="H452" t="n">
        <v>16378</v>
      </c>
      <c r="I452" t="n">
        <v>287273</v>
      </c>
      <c r="J452" t="n">
        <v>534066.7000000064</v>
      </c>
      <c r="K452" t="n">
        <v>23381</v>
      </c>
      <c r="L452" t="n">
        <v>160884</v>
      </c>
      <c r="M452" t="n">
        <v>202766</v>
      </c>
      <c r="N452" t="n">
        <v>87770</v>
      </c>
      <c r="O452" t="n">
        <v>19636</v>
      </c>
      <c r="P452" t="n">
        <v>968</v>
      </c>
    </row>
    <row r="453">
      <c r="A453" t="inlineStr">
        <is>
          <t>B6</t>
        </is>
      </c>
      <c r="B453" t="n">
        <v>2022</v>
      </c>
      <c r="C453" t="n">
        <v>6</v>
      </c>
      <c r="D453" t="n">
        <v>21323</v>
      </c>
      <c r="E453" t="n">
        <v>743</v>
      </c>
      <c r="F453" t="n">
        <v>100</v>
      </c>
      <c r="G453" t="n">
        <v>20480</v>
      </c>
      <c r="H453" t="n">
        <v>13072</v>
      </c>
      <c r="I453" t="n">
        <v>491002</v>
      </c>
      <c r="J453" t="n">
        <v>457304.1000000046</v>
      </c>
      <c r="K453" t="n">
        <v>21026</v>
      </c>
      <c r="L453" t="n">
        <v>206139</v>
      </c>
      <c r="M453" t="n">
        <v>259686</v>
      </c>
      <c r="N453" t="n">
        <v>132908</v>
      </c>
      <c r="O453" t="n">
        <v>25127</v>
      </c>
      <c r="P453" t="n">
        <v>803</v>
      </c>
    </row>
    <row r="454">
      <c r="A454" t="inlineStr">
        <is>
          <t>B6</t>
        </is>
      </c>
      <c r="B454" t="n">
        <v>2022</v>
      </c>
      <c r="C454" t="n">
        <v>7</v>
      </c>
      <c r="D454" t="n">
        <v>22867</v>
      </c>
      <c r="E454" t="n">
        <v>415</v>
      </c>
      <c r="F454" t="n">
        <v>112</v>
      </c>
      <c r="G454" t="n">
        <v>22340</v>
      </c>
      <c r="H454" t="n">
        <v>15412</v>
      </c>
      <c r="I454" t="n">
        <v>377957</v>
      </c>
      <c r="J454" t="n">
        <v>485690.1000000006</v>
      </c>
      <c r="K454" t="n">
        <v>22828</v>
      </c>
      <c r="L454" t="n">
        <v>186747</v>
      </c>
      <c r="M454" t="n">
        <v>243335</v>
      </c>
      <c r="N454" t="n">
        <v>94822</v>
      </c>
      <c r="O454" t="n">
        <v>20883</v>
      </c>
      <c r="P454" t="n">
        <v>975</v>
      </c>
    </row>
    <row r="455">
      <c r="A455" t="inlineStr">
        <is>
          <t>B6</t>
        </is>
      </c>
      <c r="B455" t="n">
        <v>2022</v>
      </c>
      <c r="C455" t="n">
        <v>8</v>
      </c>
      <c r="D455" t="n">
        <v>23100</v>
      </c>
      <c r="E455" t="n">
        <v>551</v>
      </c>
      <c r="F455" t="n">
        <v>77</v>
      </c>
      <c r="G455" t="n">
        <v>22472</v>
      </c>
      <c r="H455" t="n">
        <v>15231</v>
      </c>
      <c r="I455" t="n">
        <v>403752</v>
      </c>
      <c r="J455" t="n">
        <v>492135.4000000023</v>
      </c>
      <c r="K455" t="n">
        <v>23048</v>
      </c>
      <c r="L455" t="n">
        <v>194851</v>
      </c>
      <c r="M455" t="n">
        <v>224680</v>
      </c>
      <c r="N455" t="n">
        <v>120462</v>
      </c>
      <c r="O455" t="n">
        <v>28415</v>
      </c>
      <c r="P455" t="n">
        <v>1652</v>
      </c>
    </row>
    <row r="456">
      <c r="A456" t="inlineStr">
        <is>
          <t>B6</t>
        </is>
      </c>
      <c r="B456" t="n">
        <v>2022</v>
      </c>
      <c r="C456" t="n">
        <v>9</v>
      </c>
      <c r="D456" t="n">
        <v>22469</v>
      </c>
      <c r="E456" t="n">
        <v>793</v>
      </c>
      <c r="F456" t="n">
        <v>88</v>
      </c>
      <c r="G456" t="n">
        <v>21588</v>
      </c>
      <c r="H456" t="n">
        <v>15452</v>
      </c>
      <c r="I456" t="n">
        <v>275394</v>
      </c>
      <c r="J456" t="n">
        <v>434527.8</v>
      </c>
      <c r="K456" t="n">
        <v>22283</v>
      </c>
      <c r="L456" t="n">
        <v>135138</v>
      </c>
      <c r="M456" t="n">
        <v>181493</v>
      </c>
      <c r="N456" t="n">
        <v>93912</v>
      </c>
      <c r="O456" t="n">
        <v>15611</v>
      </c>
      <c r="P456" t="n">
        <v>1043</v>
      </c>
    </row>
    <row r="457">
      <c r="A457" t="inlineStr">
        <is>
          <t>B6</t>
        </is>
      </c>
      <c r="B457" t="n">
        <v>2022</v>
      </c>
      <c r="C457" t="n">
        <v>10</v>
      </c>
      <c r="D457" t="n">
        <v>23353</v>
      </c>
      <c r="E457" t="n">
        <v>334</v>
      </c>
      <c r="F457" t="n">
        <v>55</v>
      </c>
      <c r="G457" t="n">
        <v>22964</v>
      </c>
      <c r="H457" t="n">
        <v>16966</v>
      </c>
      <c r="I457" t="n">
        <v>214018</v>
      </c>
      <c r="J457" t="n">
        <v>435906.8000000005</v>
      </c>
      <c r="K457" t="n">
        <v>23227</v>
      </c>
      <c r="L457" t="n">
        <v>108801</v>
      </c>
      <c r="M457" t="n">
        <v>160164</v>
      </c>
      <c r="N457" t="n">
        <v>85171</v>
      </c>
      <c r="O457" t="n">
        <v>7017</v>
      </c>
      <c r="P457" t="n">
        <v>489</v>
      </c>
    </row>
    <row r="458">
      <c r="A458" t="inlineStr">
        <is>
          <t>B6</t>
        </is>
      </c>
      <c r="B458" t="n">
        <v>2022</v>
      </c>
      <c r="C458" t="n">
        <v>11</v>
      </c>
      <c r="D458" t="n">
        <v>23462</v>
      </c>
      <c r="E458" t="n">
        <v>445</v>
      </c>
      <c r="F458" t="n">
        <v>61</v>
      </c>
      <c r="G458" t="n">
        <v>22956</v>
      </c>
      <c r="H458" t="n">
        <v>16156</v>
      </c>
      <c r="I458" t="n">
        <v>312930</v>
      </c>
      <c r="J458" t="n">
        <v>511543.6999999979</v>
      </c>
      <c r="K458" t="n">
        <v>23238</v>
      </c>
      <c r="L458" t="n">
        <v>181852</v>
      </c>
      <c r="M458" t="n">
        <v>202200</v>
      </c>
      <c r="N458" t="n">
        <v>77963</v>
      </c>
      <c r="O458" t="n">
        <v>5905</v>
      </c>
      <c r="P458" t="n">
        <v>848</v>
      </c>
    </row>
    <row r="459">
      <c r="A459" t="inlineStr">
        <is>
          <t>B6</t>
        </is>
      </c>
      <c r="B459" t="n">
        <v>2022</v>
      </c>
      <c r="C459" t="n">
        <v>12</v>
      </c>
      <c r="D459" t="n">
        <v>23881</v>
      </c>
      <c r="E459" t="n">
        <v>465</v>
      </c>
      <c r="F459" t="n">
        <v>61</v>
      </c>
      <c r="G459" t="n">
        <v>23355</v>
      </c>
      <c r="H459" t="n">
        <v>14125</v>
      </c>
      <c r="I459" t="n">
        <v>581898</v>
      </c>
      <c r="J459" t="n">
        <v>497453.4999999991</v>
      </c>
      <c r="K459" t="n">
        <v>23473</v>
      </c>
      <c r="L459" t="n">
        <v>270069</v>
      </c>
      <c r="M459" t="n">
        <v>308694</v>
      </c>
      <c r="N459" t="n">
        <v>108913</v>
      </c>
      <c r="O459" t="n">
        <v>7069</v>
      </c>
      <c r="P459" t="n">
        <v>1344</v>
      </c>
    </row>
    <row r="460">
      <c r="A460" t="inlineStr">
        <is>
          <t>B6</t>
        </is>
      </c>
      <c r="B460" t="n">
        <v>2023</v>
      </c>
      <c r="C460" t="n">
        <v>1</v>
      </c>
      <c r="D460" t="n">
        <v>23249</v>
      </c>
      <c r="E460" t="n">
        <v>194</v>
      </c>
      <c r="F460" t="n">
        <v>77</v>
      </c>
      <c r="G460" t="n">
        <v>22978</v>
      </c>
      <c r="H460" t="n">
        <v>16894</v>
      </c>
      <c r="I460" t="n">
        <v>242467</v>
      </c>
      <c r="J460" t="n">
        <v>553029.3999999994</v>
      </c>
      <c r="K460" t="n">
        <v>22822</v>
      </c>
      <c r="L460" t="n">
        <v>168151</v>
      </c>
      <c r="M460" t="n">
        <v>191090</v>
      </c>
      <c r="N460" t="n">
        <v>97010</v>
      </c>
      <c r="O460" t="n">
        <v>3496</v>
      </c>
      <c r="P460" t="n">
        <v>2002</v>
      </c>
    </row>
    <row r="461">
      <c r="A461" t="inlineStr">
        <is>
          <t>B6</t>
        </is>
      </c>
      <c r="B461" t="n">
        <v>2023</v>
      </c>
      <c r="C461" t="n">
        <v>2</v>
      </c>
      <c r="D461" t="n">
        <v>22186</v>
      </c>
      <c r="E461" t="n">
        <v>372</v>
      </c>
      <c r="F461" t="n">
        <v>87</v>
      </c>
      <c r="G461" t="n">
        <v>21727</v>
      </c>
      <c r="H461" t="n">
        <v>15958</v>
      </c>
      <c r="I461" t="n">
        <v>228002</v>
      </c>
      <c r="J461" t="n">
        <v>528457.3000000007</v>
      </c>
      <c r="K461" t="n">
        <v>21634</v>
      </c>
      <c r="L461" t="n">
        <v>168466</v>
      </c>
      <c r="M461" t="n">
        <v>176489</v>
      </c>
      <c r="N461" t="n">
        <v>74089</v>
      </c>
      <c r="O461" t="n">
        <v>14130</v>
      </c>
      <c r="P461" t="n">
        <v>487</v>
      </c>
    </row>
    <row r="462">
      <c r="A462" t="inlineStr">
        <is>
          <t>B6</t>
        </is>
      </c>
      <c r="B462" t="n">
        <v>2023</v>
      </c>
      <c r="C462" t="n">
        <v>3</v>
      </c>
      <c r="D462" t="n">
        <v>25793</v>
      </c>
      <c r="E462" t="n">
        <v>403</v>
      </c>
      <c r="F462" t="n">
        <v>72</v>
      </c>
      <c r="G462" t="n">
        <v>25318</v>
      </c>
      <c r="H462" t="n">
        <v>16947</v>
      </c>
      <c r="I462" t="n">
        <v>444772</v>
      </c>
      <c r="J462" t="n">
        <v>614318.6000000022</v>
      </c>
      <c r="K462" t="n">
        <v>25056</v>
      </c>
      <c r="L462" t="n">
        <v>260066</v>
      </c>
      <c r="M462" t="n">
        <v>254891</v>
      </c>
      <c r="N462" t="n">
        <v>100047</v>
      </c>
      <c r="O462" t="n">
        <v>6529</v>
      </c>
      <c r="P462" t="n">
        <v>1275</v>
      </c>
    </row>
    <row r="463">
      <c r="A463" t="inlineStr">
        <is>
          <t>B6</t>
        </is>
      </c>
      <c r="B463" t="n">
        <v>2023</v>
      </c>
      <c r="C463" t="n">
        <v>4</v>
      </c>
      <c r="D463" t="n">
        <v>24285</v>
      </c>
      <c r="E463" t="n">
        <v>705</v>
      </c>
      <c r="F463" t="n">
        <v>107</v>
      </c>
      <c r="G463" t="n">
        <v>23473</v>
      </c>
      <c r="H463" t="n">
        <v>15851</v>
      </c>
      <c r="I463" t="n">
        <v>453306</v>
      </c>
      <c r="J463" t="n">
        <v>559200.6000000044</v>
      </c>
      <c r="K463" t="n">
        <v>23638</v>
      </c>
      <c r="L463" t="n">
        <v>241075</v>
      </c>
      <c r="M463" t="n">
        <v>241409</v>
      </c>
      <c r="N463" t="n">
        <v>122035</v>
      </c>
      <c r="O463" t="n">
        <v>15210</v>
      </c>
      <c r="P463" t="n">
        <v>1343</v>
      </c>
    </row>
    <row r="464">
      <c r="A464" t="inlineStr">
        <is>
          <t>B6</t>
        </is>
      </c>
      <c r="B464" t="n">
        <v>2023</v>
      </c>
      <c r="C464" t="n">
        <v>5</v>
      </c>
      <c r="D464" t="n">
        <v>24639</v>
      </c>
      <c r="E464" t="n">
        <v>185</v>
      </c>
      <c r="F464" t="n">
        <v>69</v>
      </c>
      <c r="G464" t="n">
        <v>24385</v>
      </c>
      <c r="H464" t="n">
        <v>18500</v>
      </c>
      <c r="I464" t="n">
        <v>220229</v>
      </c>
      <c r="J464" t="n">
        <v>564900.3000000031</v>
      </c>
      <c r="K464" t="n">
        <v>23906</v>
      </c>
      <c r="L464" t="n">
        <v>180333</v>
      </c>
      <c r="M464" t="n">
        <v>210056</v>
      </c>
      <c r="N464" t="n">
        <v>47949</v>
      </c>
      <c r="O464" t="n">
        <v>10994</v>
      </c>
      <c r="P464" t="n">
        <v>828</v>
      </c>
    </row>
    <row r="465">
      <c r="A465" t="inlineStr">
        <is>
          <t>B6</t>
        </is>
      </c>
      <c r="B465" t="n">
        <v>2023</v>
      </c>
      <c r="C465" t="n">
        <v>6</v>
      </c>
      <c r="D465" t="n">
        <v>22795</v>
      </c>
      <c r="E465" t="n">
        <v>797</v>
      </c>
      <c r="F465" t="n">
        <v>167</v>
      </c>
      <c r="G465" t="n">
        <v>21831</v>
      </c>
      <c r="H465" t="n">
        <v>13859</v>
      </c>
      <c r="I465" t="n">
        <v>611674</v>
      </c>
      <c r="J465" t="n">
        <v>512354.5000000027</v>
      </c>
      <c r="K465" t="n">
        <v>21838</v>
      </c>
      <c r="L465" t="n">
        <v>319301</v>
      </c>
      <c r="M465" t="n">
        <v>269060</v>
      </c>
      <c r="N465" t="n">
        <v>141240</v>
      </c>
      <c r="O465" t="n">
        <v>43481</v>
      </c>
      <c r="P465" t="n">
        <v>968</v>
      </c>
    </row>
    <row r="466">
      <c r="A466" t="inlineStr">
        <is>
          <t>B6</t>
        </is>
      </c>
      <c r="B466" t="n">
        <v>2023</v>
      </c>
      <c r="C466" t="n">
        <v>7</v>
      </c>
      <c r="D466" t="n">
        <v>22853</v>
      </c>
      <c r="E466" t="n">
        <v>1564</v>
      </c>
      <c r="F466" t="n">
        <v>181</v>
      </c>
      <c r="G466" t="n">
        <v>21108</v>
      </c>
      <c r="H466" t="n">
        <v>11314</v>
      </c>
      <c r="I466" t="n">
        <v>961817</v>
      </c>
      <c r="J466" t="n">
        <v>493191.2000000032</v>
      </c>
      <c r="K466" t="n">
        <v>21828</v>
      </c>
      <c r="L466" t="n">
        <v>439304</v>
      </c>
      <c r="M466" t="n">
        <v>401398</v>
      </c>
      <c r="N466" t="n">
        <v>187914</v>
      </c>
      <c r="O466" t="n">
        <v>36591</v>
      </c>
      <c r="P466" t="n">
        <v>1280</v>
      </c>
    </row>
    <row r="467">
      <c r="A467" t="inlineStr">
        <is>
          <t>B6</t>
        </is>
      </c>
      <c r="B467" t="n">
        <v>2023</v>
      </c>
      <c r="C467" t="n">
        <v>8</v>
      </c>
      <c r="D467" t="n">
        <v>22895</v>
      </c>
      <c r="E467" t="n">
        <v>669</v>
      </c>
      <c r="F467" t="n">
        <v>105</v>
      </c>
      <c r="G467" t="n">
        <v>22121</v>
      </c>
      <c r="H467" t="n">
        <v>14105</v>
      </c>
      <c r="I467" t="n">
        <v>539308</v>
      </c>
      <c r="J467" t="n">
        <v>484092.4000000025</v>
      </c>
      <c r="K467" t="n">
        <v>21841</v>
      </c>
      <c r="L467" t="n">
        <v>293648</v>
      </c>
      <c r="M467" t="n">
        <v>282727</v>
      </c>
      <c r="N467" t="n">
        <v>99599</v>
      </c>
      <c r="O467" t="n">
        <v>11043</v>
      </c>
      <c r="P467" t="n">
        <v>801</v>
      </c>
    </row>
    <row r="468">
      <c r="A468" t="inlineStr">
        <is>
          <t>B6</t>
        </is>
      </c>
      <c r="B468" t="n">
        <v>2023</v>
      </c>
      <c r="C468" t="n">
        <v>9</v>
      </c>
      <c r="D468" t="n">
        <v>21412</v>
      </c>
      <c r="E468" t="n">
        <v>724</v>
      </c>
      <c r="F468" t="n">
        <v>131</v>
      </c>
      <c r="G468" t="n">
        <v>20557</v>
      </c>
      <c r="H468" t="n">
        <v>12953</v>
      </c>
      <c r="I468" t="n">
        <v>608114</v>
      </c>
      <c r="J468" t="n">
        <v>457823.3</v>
      </c>
      <c r="K468" t="n">
        <v>20580</v>
      </c>
      <c r="L468" t="n">
        <v>289043</v>
      </c>
      <c r="M468" t="n">
        <v>287818</v>
      </c>
      <c r="N468" t="n">
        <v>139848</v>
      </c>
      <c r="O468" t="n">
        <v>24419</v>
      </c>
      <c r="P468" t="n">
        <v>946</v>
      </c>
    </row>
    <row r="469">
      <c r="A469" t="inlineStr">
        <is>
          <t>B6</t>
        </is>
      </c>
      <c r="B469" t="n">
        <v>2023</v>
      </c>
      <c r="C469" t="n">
        <v>10</v>
      </c>
      <c r="D469" t="n">
        <v>22066</v>
      </c>
      <c r="E469" t="n">
        <v>35</v>
      </c>
      <c r="F469" t="n">
        <v>59</v>
      </c>
      <c r="G469" t="n">
        <v>21972</v>
      </c>
      <c r="H469" t="n">
        <v>16310</v>
      </c>
      <c r="I469" t="n">
        <v>247527</v>
      </c>
      <c r="J469" t="n">
        <v>477797.4999999998</v>
      </c>
      <c r="K469" t="n">
        <v>21353</v>
      </c>
      <c r="L469" t="n">
        <v>164301</v>
      </c>
      <c r="M469" t="n">
        <v>213583</v>
      </c>
      <c r="N469" t="n">
        <v>46117</v>
      </c>
      <c r="O469" t="n">
        <v>3739</v>
      </c>
      <c r="P469" t="n">
        <v>392</v>
      </c>
    </row>
    <row r="470">
      <c r="A470" t="inlineStr">
        <is>
          <t>B6</t>
        </is>
      </c>
      <c r="B470" t="n">
        <v>2023</v>
      </c>
      <c r="C470" t="n">
        <v>11</v>
      </c>
      <c r="D470" t="n">
        <v>21281</v>
      </c>
      <c r="E470" t="n">
        <v>32</v>
      </c>
      <c r="F470" t="n">
        <v>36</v>
      </c>
      <c r="G470" t="n">
        <v>21213</v>
      </c>
      <c r="H470" t="n">
        <v>16390</v>
      </c>
      <c r="I470" t="n">
        <v>138521</v>
      </c>
      <c r="J470" t="n">
        <v>519536.5000000022</v>
      </c>
      <c r="K470" t="n">
        <v>20728</v>
      </c>
      <c r="L470" t="n">
        <v>125153</v>
      </c>
      <c r="M470" t="n">
        <v>181770</v>
      </c>
      <c r="N470" t="n">
        <v>37749</v>
      </c>
      <c r="O470" t="n">
        <v>2549</v>
      </c>
      <c r="P470" t="n">
        <v>524</v>
      </c>
    </row>
    <row r="471">
      <c r="A471" t="inlineStr">
        <is>
          <t>B6</t>
        </is>
      </c>
      <c r="B471" t="n">
        <v>2023</v>
      </c>
      <c r="C471" t="n">
        <v>12</v>
      </c>
      <c r="D471" t="n">
        <v>21398</v>
      </c>
      <c r="E471" t="n">
        <v>83</v>
      </c>
      <c r="F471" t="n">
        <v>83</v>
      </c>
      <c r="G471" t="n">
        <v>21232</v>
      </c>
      <c r="H471" t="n">
        <v>15284</v>
      </c>
      <c r="I471" t="n">
        <v>252758</v>
      </c>
      <c r="J471" t="n">
        <v>498309.6999999994</v>
      </c>
      <c r="K471" t="n">
        <v>20623</v>
      </c>
      <c r="L471" t="n">
        <v>172804</v>
      </c>
      <c r="M471" t="n">
        <v>185545</v>
      </c>
      <c r="N471" t="n">
        <v>72162</v>
      </c>
      <c r="O471" t="n">
        <v>5786</v>
      </c>
      <c r="P471" t="n">
        <v>530</v>
      </c>
    </row>
    <row r="472">
      <c r="A472" t="inlineStr">
        <is>
          <t>B6</t>
        </is>
      </c>
      <c r="B472" t="n">
        <v>2024</v>
      </c>
      <c r="C472" t="n">
        <v>1</v>
      </c>
      <c r="D472" t="n">
        <v>19580</v>
      </c>
      <c r="E472" t="n">
        <v>334</v>
      </c>
      <c r="F472" t="n">
        <v>74</v>
      </c>
      <c r="G472" t="n">
        <v>19172</v>
      </c>
      <c r="H472" t="n">
        <v>13607</v>
      </c>
      <c r="I472" t="n">
        <v>259248</v>
      </c>
      <c r="J472" t="n">
        <v>460310.8999999994</v>
      </c>
      <c r="K472" t="n">
        <v>18935</v>
      </c>
      <c r="L472" t="n">
        <v>157993</v>
      </c>
      <c r="M472" t="n">
        <v>173848</v>
      </c>
      <c r="N472" t="n">
        <v>86435</v>
      </c>
      <c r="O472" t="n">
        <v>15588</v>
      </c>
      <c r="P472" t="n">
        <v>492</v>
      </c>
    </row>
    <row r="473">
      <c r="A473" t="inlineStr">
        <is>
          <t>B6</t>
        </is>
      </c>
      <c r="B473" t="n">
        <v>2024</v>
      </c>
      <c r="C473" t="n">
        <v>2</v>
      </c>
      <c r="D473" t="n">
        <v>19235</v>
      </c>
      <c r="E473" t="n">
        <v>267</v>
      </c>
      <c r="F473" t="n">
        <v>45</v>
      </c>
      <c r="G473" t="n">
        <v>18923</v>
      </c>
      <c r="H473" t="n">
        <v>14284</v>
      </c>
      <c r="I473" t="n">
        <v>142797</v>
      </c>
      <c r="J473" t="n">
        <v>449852.7999999988</v>
      </c>
      <c r="K473" t="n">
        <v>18422</v>
      </c>
      <c r="L473" t="n">
        <v>134283</v>
      </c>
      <c r="M473" t="n">
        <v>139242</v>
      </c>
      <c r="N473" t="n">
        <v>52566</v>
      </c>
      <c r="O473" t="n">
        <v>5684</v>
      </c>
      <c r="P473" t="n">
        <v>467</v>
      </c>
    </row>
    <row r="474">
      <c r="A474" t="inlineStr">
        <is>
          <t>B6</t>
        </is>
      </c>
      <c r="B474" t="n">
        <v>2024</v>
      </c>
      <c r="C474" t="n">
        <v>3</v>
      </c>
      <c r="D474" t="n">
        <v>21565</v>
      </c>
      <c r="E474" t="n">
        <v>309</v>
      </c>
      <c r="F474" t="n">
        <v>66</v>
      </c>
      <c r="G474" t="n">
        <v>21190</v>
      </c>
      <c r="H474" t="n">
        <v>14745</v>
      </c>
      <c r="I474" t="n">
        <v>373118</v>
      </c>
      <c r="J474" t="n">
        <v>498516.8000000023</v>
      </c>
      <c r="K474" t="n">
        <v>20455</v>
      </c>
      <c r="L474" t="n">
        <v>228364</v>
      </c>
      <c r="M474" t="n">
        <v>217239</v>
      </c>
      <c r="N474" t="n">
        <v>92310</v>
      </c>
      <c r="O474" t="n">
        <v>13461</v>
      </c>
      <c r="P474" t="n">
        <v>618</v>
      </c>
    </row>
    <row r="475">
      <c r="A475" t="inlineStr">
        <is>
          <t>B6</t>
        </is>
      </c>
      <c r="B475" t="n">
        <v>2024</v>
      </c>
      <c r="C475" t="n">
        <v>4</v>
      </c>
      <c r="D475" t="n">
        <v>20124</v>
      </c>
      <c r="E475" t="n">
        <v>288</v>
      </c>
      <c r="F475" t="n">
        <v>74</v>
      </c>
      <c r="G475" t="n">
        <v>19762</v>
      </c>
      <c r="H475" t="n">
        <v>15361</v>
      </c>
      <c r="I475" t="n">
        <v>141187</v>
      </c>
      <c r="J475" t="n">
        <v>468480.3999999992</v>
      </c>
      <c r="K475" t="n">
        <v>19563</v>
      </c>
      <c r="L475" t="n">
        <v>137707</v>
      </c>
      <c r="M475" t="n">
        <v>138935</v>
      </c>
      <c r="N475" t="n">
        <v>68596</v>
      </c>
      <c r="O475" t="n">
        <v>5342</v>
      </c>
      <c r="P475" t="n">
        <v>991</v>
      </c>
    </row>
    <row r="476">
      <c r="A476" t="inlineStr">
        <is>
          <t>B6</t>
        </is>
      </c>
      <c r="B476" t="n">
        <v>2024</v>
      </c>
      <c r="C476" t="n">
        <v>5</v>
      </c>
      <c r="D476" t="n">
        <v>21246</v>
      </c>
      <c r="E476" t="n">
        <v>104</v>
      </c>
      <c r="F476" t="n">
        <v>85</v>
      </c>
      <c r="G476" t="n">
        <v>21057</v>
      </c>
      <c r="H476" t="n">
        <v>15823</v>
      </c>
      <c r="I476" t="n">
        <v>202674</v>
      </c>
      <c r="J476" t="n">
        <v>487069.8000000018</v>
      </c>
      <c r="K476" t="n">
        <v>20356</v>
      </c>
      <c r="L476" t="n">
        <v>150539</v>
      </c>
      <c r="M476" t="n">
        <v>156531</v>
      </c>
      <c r="N476" t="n">
        <v>89683</v>
      </c>
      <c r="O476" t="n">
        <v>7677</v>
      </c>
      <c r="P476" t="n">
        <v>329</v>
      </c>
    </row>
    <row r="477">
      <c r="A477" t="inlineStr">
        <is>
          <t>B6</t>
        </is>
      </c>
      <c r="B477" t="n">
        <v>2024</v>
      </c>
      <c r="C477" t="n">
        <v>6</v>
      </c>
      <c r="D477" t="n">
        <v>19903</v>
      </c>
      <c r="E477" t="n">
        <v>490</v>
      </c>
      <c r="F477" t="n">
        <v>125</v>
      </c>
      <c r="G477" t="n">
        <v>19288</v>
      </c>
      <c r="H477" t="n">
        <v>13878</v>
      </c>
      <c r="I477" t="n">
        <v>297253</v>
      </c>
      <c r="J477" t="n">
        <v>439361.1000000008</v>
      </c>
      <c r="K477" t="n">
        <v>19161</v>
      </c>
      <c r="L477" t="n">
        <v>170426</v>
      </c>
      <c r="M477" t="n">
        <v>175206</v>
      </c>
      <c r="N477" t="n">
        <v>105935</v>
      </c>
      <c r="O477" t="n">
        <v>18131</v>
      </c>
      <c r="P477" t="n">
        <v>727</v>
      </c>
    </row>
    <row r="478">
      <c r="A478" t="inlineStr">
        <is>
          <t>B6</t>
        </is>
      </c>
      <c r="B478" t="n">
        <v>2024</v>
      </c>
      <c r="C478" t="n">
        <v>7</v>
      </c>
      <c r="D478" t="n">
        <v>20182</v>
      </c>
      <c r="E478" t="n">
        <v>234</v>
      </c>
      <c r="F478" t="n">
        <v>96</v>
      </c>
      <c r="G478" t="n">
        <v>19852</v>
      </c>
      <c r="H478" t="n">
        <v>13711</v>
      </c>
      <c r="I478" t="n">
        <v>372019</v>
      </c>
      <c r="J478" t="n">
        <v>441208.9000000012</v>
      </c>
      <c r="K478" t="n">
        <v>19575</v>
      </c>
      <c r="L478" t="n">
        <v>197027</v>
      </c>
      <c r="M478" t="n">
        <v>202802</v>
      </c>
      <c r="N478" t="n">
        <v>105053</v>
      </c>
      <c r="O478" t="n">
        <v>10157</v>
      </c>
      <c r="P478" t="n">
        <v>703</v>
      </c>
    </row>
    <row r="479">
      <c r="A479" t="inlineStr">
        <is>
          <t>B6</t>
        </is>
      </c>
      <c r="B479" t="n">
        <v>2024</v>
      </c>
      <c r="C479" t="n">
        <v>8</v>
      </c>
      <c r="D479" t="n">
        <v>20498</v>
      </c>
      <c r="E479" t="n">
        <v>916</v>
      </c>
      <c r="F479" t="n">
        <v>120</v>
      </c>
      <c r="G479" t="n">
        <v>19462</v>
      </c>
      <c r="H479" t="n">
        <v>12443</v>
      </c>
      <c r="I479" t="n">
        <v>508051</v>
      </c>
      <c r="J479" t="n">
        <v>444834.9000000004</v>
      </c>
      <c r="K479" t="n">
        <v>19814</v>
      </c>
      <c r="L479" t="n">
        <v>237584</v>
      </c>
      <c r="M479" t="n">
        <v>239274</v>
      </c>
      <c r="N479" t="n">
        <v>136924</v>
      </c>
      <c r="O479" t="n">
        <v>20181</v>
      </c>
      <c r="P479" t="n">
        <v>910</v>
      </c>
    </row>
    <row r="480">
      <c r="A480" t="inlineStr">
        <is>
          <t>B6</t>
        </is>
      </c>
      <c r="B480" t="n">
        <v>2024</v>
      </c>
      <c r="C480" t="n">
        <v>9</v>
      </c>
      <c r="D480" t="n">
        <v>18350</v>
      </c>
      <c r="E480" t="n">
        <v>76</v>
      </c>
      <c r="F480" t="n">
        <v>61</v>
      </c>
      <c r="G480" t="n">
        <v>18213</v>
      </c>
      <c r="H480" t="n">
        <v>14953</v>
      </c>
      <c r="I480" t="n">
        <v>41470</v>
      </c>
      <c r="J480" t="n">
        <v>425172.7999999998</v>
      </c>
      <c r="K480" t="n">
        <v>17616</v>
      </c>
      <c r="L480" t="n">
        <v>64374</v>
      </c>
      <c r="M480" t="n">
        <v>114875</v>
      </c>
      <c r="N480" t="n">
        <v>43759</v>
      </c>
      <c r="O480" t="n">
        <v>7085</v>
      </c>
      <c r="P480" t="n">
        <v>144</v>
      </c>
    </row>
    <row r="481">
      <c r="A481" t="inlineStr">
        <is>
          <t>B6</t>
        </is>
      </c>
      <c r="B481" t="n">
        <v>2024</v>
      </c>
      <c r="C481" t="n">
        <v>10</v>
      </c>
      <c r="D481" t="n">
        <v>19694</v>
      </c>
      <c r="E481" t="n">
        <v>489</v>
      </c>
      <c r="F481" t="n">
        <v>33</v>
      </c>
      <c r="G481" t="n">
        <v>19172</v>
      </c>
      <c r="H481" t="n">
        <v>16455</v>
      </c>
      <c r="I481" t="n">
        <v>-68407</v>
      </c>
      <c r="J481" t="n">
        <v>470961.7999999983</v>
      </c>
      <c r="K481" t="n">
        <v>18955</v>
      </c>
      <c r="L481" t="n">
        <v>46862</v>
      </c>
      <c r="M481" t="n">
        <v>80570</v>
      </c>
      <c r="N481" t="n">
        <v>29450</v>
      </c>
      <c r="O481" t="n">
        <v>1027</v>
      </c>
      <c r="P481" t="n">
        <v>394</v>
      </c>
    </row>
    <row r="482">
      <c r="A482" t="inlineStr">
        <is>
          <t>B6</t>
        </is>
      </c>
      <c r="B482" t="n">
        <v>2024</v>
      </c>
      <c r="C482" t="n">
        <v>11</v>
      </c>
      <c r="D482" t="n">
        <v>19134</v>
      </c>
      <c r="E482" t="n">
        <v>0</v>
      </c>
      <c r="F482" t="n">
        <v>25</v>
      </c>
      <c r="G482" t="n">
        <v>19109</v>
      </c>
      <c r="H482" t="n">
        <v>16108</v>
      </c>
      <c r="I482" t="n">
        <v>-58985</v>
      </c>
      <c r="J482" t="n">
        <v>480575.0999999964</v>
      </c>
      <c r="K482" t="n">
        <v>18210</v>
      </c>
      <c r="L482" t="n">
        <v>55678</v>
      </c>
      <c r="M482" t="n">
        <v>85837</v>
      </c>
      <c r="N482" t="n">
        <v>39356</v>
      </c>
      <c r="O482" t="n">
        <v>546</v>
      </c>
      <c r="P482" t="n">
        <v>399</v>
      </c>
    </row>
    <row r="483">
      <c r="A483" t="inlineStr">
        <is>
          <t>B6</t>
        </is>
      </c>
      <c r="B483" t="n">
        <v>2024</v>
      </c>
      <c r="C483" t="n">
        <v>12</v>
      </c>
      <c r="D483" t="n">
        <v>20771</v>
      </c>
      <c r="E483" t="n">
        <v>228</v>
      </c>
      <c r="F483" t="n">
        <v>60</v>
      </c>
      <c r="G483" t="n">
        <v>20483</v>
      </c>
      <c r="H483" t="n">
        <v>14194</v>
      </c>
      <c r="I483" t="n">
        <v>320726</v>
      </c>
      <c r="J483" t="n">
        <v>477528.0999999991</v>
      </c>
      <c r="K483" t="n">
        <v>19764</v>
      </c>
      <c r="L483" t="n">
        <v>221948</v>
      </c>
      <c r="M483" t="n">
        <v>137589</v>
      </c>
      <c r="N483" t="n">
        <v>92873</v>
      </c>
      <c r="O483" t="n">
        <v>11962</v>
      </c>
      <c r="P483" t="n">
        <v>835</v>
      </c>
    </row>
    <row r="484">
      <c r="A484" t="inlineStr">
        <is>
          <t>B6</t>
        </is>
      </c>
      <c r="B484" t="n">
        <v>2025</v>
      </c>
      <c r="C484" t="n">
        <v>1</v>
      </c>
      <c r="D484" t="n">
        <v>17918</v>
      </c>
      <c r="E484" t="n">
        <v>323</v>
      </c>
      <c r="F484" t="n">
        <v>37</v>
      </c>
      <c r="G484" t="n">
        <v>17558</v>
      </c>
      <c r="H484" t="n">
        <v>13264</v>
      </c>
      <c r="I484" t="n">
        <v>102037</v>
      </c>
      <c r="J484" t="n">
        <v>425837.9000000018</v>
      </c>
      <c r="K484" t="n">
        <v>17017</v>
      </c>
      <c r="L484" t="n">
        <v>109358</v>
      </c>
      <c r="M484" t="n">
        <v>81987</v>
      </c>
      <c r="N484" t="n">
        <v>65543</v>
      </c>
      <c r="O484" t="n">
        <v>5995</v>
      </c>
      <c r="P484" t="n">
        <v>528</v>
      </c>
    </row>
    <row r="485">
      <c r="A485" t="inlineStr">
        <is>
          <t>B6</t>
        </is>
      </c>
      <c r="B485" t="n">
        <v>2025</v>
      </c>
      <c r="C485" t="n">
        <v>2</v>
      </c>
      <c r="D485" t="n">
        <v>17685</v>
      </c>
      <c r="E485" t="n">
        <v>458</v>
      </c>
      <c r="F485" t="n">
        <v>46</v>
      </c>
      <c r="G485" t="n">
        <v>17181</v>
      </c>
      <c r="H485" t="n">
        <v>12291</v>
      </c>
      <c r="I485" t="n">
        <v>218448</v>
      </c>
      <c r="J485" t="n">
        <v>434358.8000000008</v>
      </c>
      <c r="K485" t="n">
        <v>16662</v>
      </c>
      <c r="L485" t="n">
        <v>171433</v>
      </c>
      <c r="M485" t="n">
        <v>91809</v>
      </c>
      <c r="N485" t="n">
        <v>103210</v>
      </c>
      <c r="O485" t="n">
        <v>14700</v>
      </c>
      <c r="P485" t="n">
        <v>784</v>
      </c>
    </row>
    <row r="486">
      <c r="A486" t="inlineStr">
        <is>
          <t>B6</t>
        </is>
      </c>
      <c r="B486" t="n">
        <v>2025</v>
      </c>
      <c r="C486" t="n">
        <v>3</v>
      </c>
      <c r="D486" t="n">
        <v>21304</v>
      </c>
      <c r="E486" t="n">
        <v>165</v>
      </c>
      <c r="F486" t="n">
        <v>106</v>
      </c>
      <c r="G486" t="n">
        <v>21033</v>
      </c>
      <c r="H486" t="n">
        <v>16229</v>
      </c>
      <c r="I486" t="n">
        <v>158440</v>
      </c>
      <c r="J486" t="n">
        <v>518723.5999999997</v>
      </c>
      <c r="K486" t="n">
        <v>20166</v>
      </c>
      <c r="L486" t="n">
        <v>165510</v>
      </c>
      <c r="M486" t="n">
        <v>101268</v>
      </c>
      <c r="N486" t="n">
        <v>98422</v>
      </c>
      <c r="O486" t="n">
        <v>9162</v>
      </c>
      <c r="P486" t="n">
        <v>517</v>
      </c>
    </row>
    <row r="487">
      <c r="A487" t="inlineStr">
        <is>
          <t>B6</t>
        </is>
      </c>
      <c r="B487" t="n">
        <v>2025</v>
      </c>
      <c r="C487" t="n">
        <v>4</v>
      </c>
      <c r="D487" t="n">
        <v>20002</v>
      </c>
      <c r="E487" t="n">
        <v>42</v>
      </c>
      <c r="F487" t="n">
        <v>52</v>
      </c>
      <c r="G487" t="n">
        <v>19908</v>
      </c>
      <c r="H487" t="n">
        <v>16404</v>
      </c>
      <c r="I487" t="n">
        <v>-13874</v>
      </c>
      <c r="J487" t="n">
        <v>500828.9000000053</v>
      </c>
      <c r="K487" t="n">
        <v>19041</v>
      </c>
      <c r="L487" t="n">
        <v>89612</v>
      </c>
      <c r="M487" t="n">
        <v>64922</v>
      </c>
      <c r="N487" t="n">
        <v>58830</v>
      </c>
      <c r="O487" t="n">
        <v>3028</v>
      </c>
      <c r="P487" t="n">
        <v>177</v>
      </c>
    </row>
    <row r="488">
      <c r="A488" t="inlineStr">
        <is>
          <t>B6</t>
        </is>
      </c>
      <c r="B488" t="n">
        <v>2025</v>
      </c>
      <c r="C488" t="n">
        <v>5</v>
      </c>
      <c r="D488" t="n">
        <v>19663</v>
      </c>
      <c r="E488" t="n">
        <v>96</v>
      </c>
      <c r="F488" t="n">
        <v>106</v>
      </c>
      <c r="G488" t="n">
        <v>19461</v>
      </c>
      <c r="H488" t="n">
        <v>14436</v>
      </c>
      <c r="I488" t="n">
        <v>190965</v>
      </c>
      <c r="J488" t="n">
        <v>454612.3000000009</v>
      </c>
      <c r="K488" t="n">
        <v>18624</v>
      </c>
      <c r="L488" t="n">
        <v>138553</v>
      </c>
      <c r="M488" t="n">
        <v>82398</v>
      </c>
      <c r="N488" t="n">
        <v>132723</v>
      </c>
      <c r="O488" t="n">
        <v>11568</v>
      </c>
      <c r="P488" t="n">
        <v>137</v>
      </c>
    </row>
    <row r="489">
      <c r="A489" t="inlineStr">
        <is>
          <t>B6</t>
        </is>
      </c>
      <c r="B489" t="n">
        <v>2025</v>
      </c>
      <c r="C489" t="n">
        <v>6</v>
      </c>
      <c r="D489" t="n">
        <v>18953</v>
      </c>
      <c r="E489" t="n">
        <v>121</v>
      </c>
      <c r="F489" t="n">
        <v>102</v>
      </c>
      <c r="G489" t="n">
        <v>18730</v>
      </c>
      <c r="H489" t="n">
        <v>13431</v>
      </c>
      <c r="I489" t="n">
        <v>263542</v>
      </c>
      <c r="J489" t="n">
        <v>423405.8000000023</v>
      </c>
      <c r="K489" t="n">
        <v>17698</v>
      </c>
      <c r="L489" t="n">
        <v>167565</v>
      </c>
      <c r="M489" t="n">
        <v>110963</v>
      </c>
      <c r="N489" t="n">
        <v>125761</v>
      </c>
      <c r="O489" t="n">
        <v>13718</v>
      </c>
      <c r="P489" t="n">
        <v>1185</v>
      </c>
    </row>
    <row r="490">
      <c r="A490" t="inlineStr">
        <is>
          <t>B6</t>
        </is>
      </c>
      <c r="B490" t="n">
        <v>2025</v>
      </c>
      <c r="C490" t="n">
        <v>7</v>
      </c>
      <c r="D490" t="n">
        <v>20690</v>
      </c>
      <c r="E490" t="n">
        <v>1043</v>
      </c>
      <c r="F490" t="n">
        <v>135</v>
      </c>
      <c r="G490" t="n">
        <v>19512</v>
      </c>
      <c r="H490" t="n">
        <v>12932</v>
      </c>
      <c r="I490" t="n">
        <v>481089</v>
      </c>
      <c r="J490" t="n">
        <v>453501.3999999986</v>
      </c>
      <c r="K490" t="n">
        <v>19140</v>
      </c>
      <c r="L490" t="n">
        <v>255318</v>
      </c>
      <c r="M490" t="n">
        <v>172153</v>
      </c>
      <c r="N490" t="n">
        <v>170039</v>
      </c>
      <c r="O490" t="n">
        <v>21060</v>
      </c>
      <c r="P490" t="n">
        <v>822</v>
      </c>
    </row>
    <row r="491">
      <c r="A491" t="inlineStr">
        <is>
          <t>B6</t>
        </is>
      </c>
      <c r="B491" t="n">
        <v>2025</v>
      </c>
      <c r="C491" t="n">
        <v>8</v>
      </c>
      <c r="D491" t="n">
        <v>20204</v>
      </c>
      <c r="E491" t="n">
        <v>131</v>
      </c>
      <c r="F491" t="n">
        <v>100</v>
      </c>
      <c r="G491" t="n">
        <v>19973</v>
      </c>
      <c r="H491" t="n">
        <v>15032</v>
      </c>
      <c r="I491" t="n">
        <v>211621</v>
      </c>
      <c r="J491" t="n">
        <v>439250.200000001</v>
      </c>
      <c r="K491" t="n">
        <v>18668</v>
      </c>
      <c r="L491" t="n">
        <v>182975</v>
      </c>
      <c r="M491" t="n">
        <v>110282</v>
      </c>
      <c r="N491" t="n">
        <v>83198</v>
      </c>
      <c r="O491" t="n">
        <v>13358</v>
      </c>
      <c r="P491" t="n">
        <v>628</v>
      </c>
    </row>
    <row r="492">
      <c r="A492" t="inlineStr">
        <is>
          <t>B6</t>
        </is>
      </c>
      <c r="B492" t="n">
        <v>2025</v>
      </c>
      <c r="C492" t="n">
        <v>9</v>
      </c>
      <c r="D492" t="n">
        <v>16215</v>
      </c>
      <c r="E492" t="n">
        <v>94</v>
      </c>
      <c r="F492" t="n">
        <v>42</v>
      </c>
      <c r="G492" t="n">
        <v>16079</v>
      </c>
      <c r="H492" t="n">
        <v>12732</v>
      </c>
      <c r="I492" t="n">
        <v>62102</v>
      </c>
      <c r="J492" t="n">
        <v>402457.2000000001</v>
      </c>
      <c r="K492" t="n">
        <v>15305</v>
      </c>
      <c r="L492" t="n">
        <v>73393</v>
      </c>
      <c r="M492" t="n">
        <v>57462</v>
      </c>
      <c r="N492" t="n">
        <v>93611</v>
      </c>
      <c r="O492" t="n">
        <v>7403</v>
      </c>
      <c r="P492" t="n">
        <v>461</v>
      </c>
    </row>
    <row r="493">
      <c r="A493" t="inlineStr">
        <is>
          <t>B6</t>
        </is>
      </c>
      <c r="B493" t="n">
        <v>2025</v>
      </c>
      <c r="C493" t="n">
        <v>10</v>
      </c>
      <c r="D493" t="n">
        <v>18401</v>
      </c>
      <c r="E493" t="n">
        <v>193</v>
      </c>
      <c r="F493" t="n">
        <v>64</v>
      </c>
      <c r="G493" t="n">
        <v>18144</v>
      </c>
      <c r="H493" t="n">
        <v>13527</v>
      </c>
      <c r="I493" t="n">
        <v>159956</v>
      </c>
      <c r="J493" t="n">
        <v>457970.0999999996</v>
      </c>
      <c r="K493" t="n">
        <v>17548</v>
      </c>
      <c r="L493" t="n">
        <v>120061</v>
      </c>
      <c r="M493" t="n">
        <v>79945</v>
      </c>
      <c r="N493" t="n">
        <v>124236</v>
      </c>
      <c r="O493" t="n">
        <v>4359</v>
      </c>
      <c r="P493" t="n">
        <v>182</v>
      </c>
    </row>
    <row r="494">
      <c r="A494" t="inlineStr">
        <is>
          <t>B6</t>
        </is>
      </c>
      <c r="B494" t="n">
        <v>2025</v>
      </c>
      <c r="C494" t="n">
        <v>11</v>
      </c>
      <c r="D494" t="n">
        <v>19818</v>
      </c>
      <c r="E494" t="n">
        <v>587</v>
      </c>
      <c r="F494" t="n">
        <v>54</v>
      </c>
      <c r="G494" t="n">
        <v>19177</v>
      </c>
      <c r="H494" t="n">
        <v>14400</v>
      </c>
      <c r="I494" t="n">
        <v>211166</v>
      </c>
      <c r="J494" t="n">
        <v>441994.5000000001</v>
      </c>
      <c r="K494" t="n">
        <v>18716</v>
      </c>
      <c r="L494" t="n">
        <v>165634</v>
      </c>
      <c r="M494" t="n">
        <v>106529</v>
      </c>
      <c r="N494" t="n">
        <v>98329</v>
      </c>
      <c r="O494" t="n">
        <v>1757</v>
      </c>
      <c r="P494" t="n">
        <v>402</v>
      </c>
    </row>
    <row r="495">
      <c r="A495" t="inlineStr">
        <is>
          <t>B6</t>
        </is>
      </c>
      <c r="B495" t="n">
        <v>2025</v>
      </c>
      <c r="C495" t="n">
        <v>12</v>
      </c>
      <c r="D495" t="n">
        <v>20560</v>
      </c>
      <c r="E495" t="n">
        <v>572</v>
      </c>
      <c r="F495" t="n">
        <v>41</v>
      </c>
      <c r="G495" t="n">
        <v>19947</v>
      </c>
      <c r="H495" t="n">
        <v>12737</v>
      </c>
      <c r="I495" t="n">
        <v>437226</v>
      </c>
      <c r="J495" t="n">
        <v>447172.6999999995</v>
      </c>
      <c r="K495" t="n">
        <v>19293</v>
      </c>
      <c r="L495" t="n">
        <v>248367</v>
      </c>
      <c r="M495" t="n">
        <v>166259</v>
      </c>
      <c r="N495" t="n">
        <v>118027</v>
      </c>
      <c r="O495" t="n">
        <v>15109</v>
      </c>
      <c r="P495" t="n">
        <v>1325</v>
      </c>
    </row>
    <row r="496">
      <c r="A496" t="inlineStr">
        <is>
          <t>B6</t>
        </is>
      </c>
      <c r="B496" t="n">
        <v>2026</v>
      </c>
      <c r="C496" t="n">
        <v>1</v>
      </c>
      <c r="D496" t="n">
        <v>18109</v>
      </c>
      <c r="E496" t="n">
        <v>1201</v>
      </c>
      <c r="F496" t="n">
        <v>33</v>
      </c>
      <c r="G496" t="n">
        <v>16875</v>
      </c>
      <c r="H496" t="n">
        <v>11536</v>
      </c>
      <c r="I496" t="n">
        <v>271470</v>
      </c>
      <c r="J496" t="n">
        <v>415172.0000000002</v>
      </c>
      <c r="K496" t="n">
        <v>16893</v>
      </c>
      <c r="L496" t="n">
        <v>179126</v>
      </c>
      <c r="M496" t="n">
        <v>114242</v>
      </c>
      <c r="N496" t="n">
        <v>94549</v>
      </c>
      <c r="O496" t="n">
        <v>15969</v>
      </c>
      <c r="P496" t="n">
        <v>874</v>
      </c>
    </row>
    <row r="497">
      <c r="A497" t="inlineStr">
        <is>
          <t>B6</t>
        </is>
      </c>
      <c r="B497" t="n">
        <v>2026</v>
      </c>
      <c r="C497" t="n">
        <v>2</v>
      </c>
      <c r="D497" t="n">
        <v>17871</v>
      </c>
      <c r="E497" t="n">
        <v>1377</v>
      </c>
      <c r="F497" t="n">
        <v>37</v>
      </c>
      <c r="G497" t="n">
        <v>16457</v>
      </c>
      <c r="H497" t="n">
        <v>11142</v>
      </c>
      <c r="I497" t="n">
        <v>269976</v>
      </c>
      <c r="J497" t="n">
        <v>406053.399999999</v>
      </c>
      <c r="K497" t="n">
        <v>16563</v>
      </c>
      <c r="L497" t="n">
        <v>185567</v>
      </c>
      <c r="M497" t="n">
        <v>108792</v>
      </c>
      <c r="N497" t="n">
        <v>83057</v>
      </c>
      <c r="O497" t="n">
        <v>10273</v>
      </c>
      <c r="P497" t="n">
        <v>321</v>
      </c>
    </row>
    <row r="498">
      <c r="A498" t="inlineStr">
        <is>
          <t>B6</t>
        </is>
      </c>
      <c r="B498" t="n">
        <v>2026</v>
      </c>
      <c r="C498" t="n">
        <v>3</v>
      </c>
      <c r="D498" t="n">
        <v>21340</v>
      </c>
      <c r="E498" t="n">
        <v>432</v>
      </c>
      <c r="F498" t="n">
        <v>83</v>
      </c>
      <c r="G498" t="n">
        <v>20825</v>
      </c>
      <c r="H498" t="n">
        <v>14578</v>
      </c>
      <c r="I498" t="n">
        <v>304810</v>
      </c>
      <c r="J498" t="n">
        <v>486458.3000000021</v>
      </c>
      <c r="K498" t="n">
        <v>19720</v>
      </c>
      <c r="L498" t="n">
        <v>223893</v>
      </c>
      <c r="M498" t="n">
        <v>121867</v>
      </c>
      <c r="N498" t="n">
        <v>105684</v>
      </c>
      <c r="O498" t="n">
        <v>10763</v>
      </c>
      <c r="P498" t="n">
        <v>2259</v>
      </c>
    </row>
    <row r="499">
      <c r="A499" t="inlineStr">
        <is>
          <t>B6</t>
        </is>
      </c>
      <c r="B499" t="n">
        <v>2026</v>
      </c>
      <c r="C499" t="n">
        <v>4</v>
      </c>
      <c r="D499" t="n">
        <v>20650</v>
      </c>
      <c r="E499" t="n">
        <v>21</v>
      </c>
      <c r="F499" t="n">
        <v>57</v>
      </c>
      <c r="G499" t="n">
        <v>20572</v>
      </c>
      <c r="H499" t="n">
        <v>15607</v>
      </c>
      <c r="I499" t="n">
        <v>144422</v>
      </c>
      <c r="J499" t="n">
        <v>437485.4000000025</v>
      </c>
      <c r="K499" t="n">
        <v>19074</v>
      </c>
      <c r="L499" t="n">
        <v>138877</v>
      </c>
      <c r="M499" t="n">
        <v>73298</v>
      </c>
      <c r="N499" t="n">
        <v>85712</v>
      </c>
      <c r="O499" t="n">
        <v>2411</v>
      </c>
      <c r="P499" t="n">
        <v>636</v>
      </c>
    </row>
    <row r="500">
      <c r="A500" t="inlineStr">
        <is>
          <t>B6</t>
        </is>
      </c>
      <c r="B500" t="n">
        <v>2026</v>
      </c>
      <c r="C500" t="n">
        <v>5</v>
      </c>
      <c r="D500" t="n">
        <v>19806</v>
      </c>
      <c r="E500" t="n">
        <v>42</v>
      </c>
      <c r="F500" t="n">
        <v>49</v>
      </c>
      <c r="G500" t="n">
        <v>19715</v>
      </c>
      <c r="H500" t="n">
        <v>16044</v>
      </c>
      <c r="I500" t="n">
        <v>44010</v>
      </c>
      <c r="J500" t="n">
        <v>441064.1000000026</v>
      </c>
      <c r="K500" t="n">
        <v>18419</v>
      </c>
      <c r="L500" t="n">
        <v>99901</v>
      </c>
      <c r="M500" t="n">
        <v>61330</v>
      </c>
      <c r="N500" t="n">
        <v>65360</v>
      </c>
      <c r="O500" t="n">
        <v>5996</v>
      </c>
      <c r="P500" t="n">
        <v>279</v>
      </c>
    </row>
    <row r="501">
      <c r="A501" t="inlineStr">
        <is>
          <t>B6</t>
        </is>
      </c>
      <c r="B501" t="n">
        <v>2026</v>
      </c>
      <c r="C501" t="n">
        <v>6</v>
      </c>
      <c r="D501" t="n">
        <v>20804</v>
      </c>
      <c r="E501" t="n">
        <v>316</v>
      </c>
      <c r="F501" t="n">
        <v>89</v>
      </c>
      <c r="G501" t="n">
        <v>20399</v>
      </c>
      <c r="H501" t="n">
        <v>15311</v>
      </c>
      <c r="I501" t="n">
        <v>209760</v>
      </c>
      <c r="J501" t="n">
        <v>463552.900000002</v>
      </c>
      <c r="K501" t="n">
        <v>19245</v>
      </c>
      <c r="L501" t="n">
        <v>184979</v>
      </c>
      <c r="M501" t="n">
        <v>97870</v>
      </c>
      <c r="N501" t="n">
        <v>109936</v>
      </c>
      <c r="O501" t="n">
        <v>11552</v>
      </c>
      <c r="P501" t="n">
        <v>429</v>
      </c>
    </row>
    <row r="502">
      <c r="A502" t="inlineStr">
        <is>
          <t>B6</t>
        </is>
      </c>
      <c r="B502" t="n">
        <v>2026</v>
      </c>
      <c r="C502" t="n">
        <v>7</v>
      </c>
      <c r="D502" t="n">
        <v>23312</v>
      </c>
      <c r="E502" t="n">
        <v>2279</v>
      </c>
      <c r="F502" t="n">
        <v>151</v>
      </c>
      <c r="G502" t="n">
        <v>20882</v>
      </c>
      <c r="H502" t="n">
        <v>12994</v>
      </c>
      <c r="I502" t="n">
        <v>576485</v>
      </c>
      <c r="J502" t="n">
        <v>498005.5000000006</v>
      </c>
      <c r="K502" t="n">
        <v>21431</v>
      </c>
      <c r="L502" t="n">
        <v>320036</v>
      </c>
      <c r="M502" t="n">
        <v>213813</v>
      </c>
      <c r="N502" t="n">
        <v>153170</v>
      </c>
      <c r="O502" t="n">
        <v>23456</v>
      </c>
      <c r="P502" t="n">
        <v>897</v>
      </c>
    </row>
    <row r="503">
      <c r="A503" t="inlineStr">
        <is>
          <t>DL</t>
        </is>
      </c>
      <c r="B503" t="n">
        <v>2015</v>
      </c>
      <c r="C503" t="n">
        <v>1</v>
      </c>
      <c r="D503" t="n">
        <v>64421</v>
      </c>
      <c r="E503" t="n">
        <v>678</v>
      </c>
      <c r="F503" t="n">
        <v>67</v>
      </c>
      <c r="G503" t="n">
        <v>63676</v>
      </c>
      <c r="H503" t="n">
        <v>55490</v>
      </c>
      <c r="I503" t="n">
        <v>-130144</v>
      </c>
      <c r="J503" t="n">
        <v>1384575.900000001</v>
      </c>
      <c r="K503" t="n">
        <v>64325</v>
      </c>
      <c r="L503" t="n">
        <v>120406</v>
      </c>
      <c r="M503" t="n">
        <v>177509</v>
      </c>
      <c r="N503" t="n">
        <v>119586</v>
      </c>
      <c r="O503" t="n">
        <v>41375</v>
      </c>
      <c r="P503" t="n">
        <v>582</v>
      </c>
    </row>
    <row r="504">
      <c r="A504" t="inlineStr">
        <is>
          <t>DL</t>
        </is>
      </c>
      <c r="B504" t="n">
        <v>2015</v>
      </c>
      <c r="C504" t="n">
        <v>2</v>
      </c>
      <c r="D504" t="n">
        <v>60884</v>
      </c>
      <c r="E504" t="n">
        <v>1696</v>
      </c>
      <c r="F504" t="n">
        <v>118</v>
      </c>
      <c r="G504" t="n">
        <v>59070</v>
      </c>
      <c r="H504" t="n">
        <v>47484</v>
      </c>
      <c r="I504" t="n">
        <v>331663</v>
      </c>
      <c r="J504" t="n">
        <v>1270126.800000003</v>
      </c>
      <c r="K504" t="n">
        <v>60784</v>
      </c>
      <c r="L504" t="n">
        <v>221922</v>
      </c>
      <c r="M504" t="n">
        <v>254968</v>
      </c>
      <c r="N504" t="n">
        <v>169486</v>
      </c>
      <c r="O504" t="n">
        <v>104403</v>
      </c>
      <c r="P504" t="n">
        <v>164</v>
      </c>
    </row>
    <row r="505">
      <c r="A505" t="inlineStr">
        <is>
          <t>DL</t>
        </is>
      </c>
      <c r="B505" t="n">
        <v>2015</v>
      </c>
      <c r="C505" t="n">
        <v>3</v>
      </c>
      <c r="D505" t="n">
        <v>74166</v>
      </c>
      <c r="E505" t="n">
        <v>524</v>
      </c>
      <c r="F505" t="n">
        <v>135</v>
      </c>
      <c r="G505" t="n">
        <v>73507</v>
      </c>
      <c r="H505" t="n">
        <v>62276</v>
      </c>
      <c r="I505" t="n">
        <v>152745</v>
      </c>
      <c r="J505" t="n">
        <v>1444693.500000004</v>
      </c>
      <c r="K505" t="n">
        <v>74074</v>
      </c>
      <c r="L505" t="n">
        <v>188540</v>
      </c>
      <c r="M505" t="n">
        <v>256494</v>
      </c>
      <c r="N505" t="n">
        <v>167774</v>
      </c>
      <c r="O505" t="n">
        <v>53835</v>
      </c>
      <c r="P505" t="n">
        <v>133</v>
      </c>
    </row>
    <row r="506">
      <c r="A506" t="inlineStr">
        <is>
          <t>DL</t>
        </is>
      </c>
      <c r="B506" t="n">
        <v>2015</v>
      </c>
      <c r="C506" t="n">
        <v>4</v>
      </c>
      <c r="D506" t="n">
        <v>72170</v>
      </c>
      <c r="E506" t="n">
        <v>147</v>
      </c>
      <c r="F506" t="n">
        <v>127</v>
      </c>
      <c r="G506" t="n">
        <v>71896</v>
      </c>
      <c r="H506" t="n">
        <v>62677</v>
      </c>
      <c r="I506" t="n">
        <v>5992</v>
      </c>
      <c r="J506" t="n">
        <v>1361315.300000002</v>
      </c>
      <c r="K506" t="n">
        <v>72121</v>
      </c>
      <c r="L506" t="n">
        <v>152249</v>
      </c>
      <c r="M506" t="n">
        <v>204474</v>
      </c>
      <c r="N506" t="n">
        <v>140575</v>
      </c>
      <c r="O506" t="n">
        <v>36066</v>
      </c>
      <c r="P506" t="n">
        <v>236</v>
      </c>
    </row>
    <row r="507">
      <c r="A507" t="inlineStr">
        <is>
          <t>DL</t>
        </is>
      </c>
      <c r="B507" t="n">
        <v>2015</v>
      </c>
      <c r="C507" t="n">
        <v>5</v>
      </c>
      <c r="D507" t="n">
        <v>74815</v>
      </c>
      <c r="E507" t="n">
        <v>143</v>
      </c>
      <c r="F507" t="n">
        <v>201</v>
      </c>
      <c r="G507" t="n">
        <v>74471</v>
      </c>
      <c r="H507" t="n">
        <v>65207</v>
      </c>
      <c r="I507" t="n">
        <v>11121</v>
      </c>
      <c r="J507" t="n">
        <v>1390204.800000003</v>
      </c>
      <c r="K507" t="n">
        <v>74714</v>
      </c>
      <c r="L507" t="n">
        <v>191312</v>
      </c>
      <c r="M507" t="n">
        <v>229196</v>
      </c>
      <c r="N507" t="n">
        <v>163145</v>
      </c>
      <c r="O507" t="n">
        <v>50454</v>
      </c>
      <c r="P507" t="n">
        <v>224</v>
      </c>
    </row>
    <row r="508">
      <c r="A508" t="inlineStr">
        <is>
          <t>DL</t>
        </is>
      </c>
      <c r="B508" t="n">
        <v>2015</v>
      </c>
      <c r="C508" t="n">
        <v>6</v>
      </c>
      <c r="D508" t="n">
        <v>77255</v>
      </c>
      <c r="E508" t="n">
        <v>239</v>
      </c>
      <c r="F508" t="n">
        <v>256</v>
      </c>
      <c r="G508" t="n">
        <v>76760</v>
      </c>
      <c r="H508" t="n">
        <v>63465</v>
      </c>
      <c r="I508" t="n">
        <v>339248</v>
      </c>
      <c r="J508" t="n">
        <v>1438241.7</v>
      </c>
      <c r="K508" t="n">
        <v>77175</v>
      </c>
      <c r="L508" t="n">
        <v>277648</v>
      </c>
      <c r="M508" t="n">
        <v>286103</v>
      </c>
      <c r="N508" t="n">
        <v>226209</v>
      </c>
      <c r="O508" t="n">
        <v>81087</v>
      </c>
      <c r="P508" t="n">
        <v>472</v>
      </c>
    </row>
    <row r="509">
      <c r="A509" t="inlineStr">
        <is>
          <t>DL</t>
        </is>
      </c>
      <c r="B509" t="n">
        <v>2015</v>
      </c>
      <c r="C509" t="n">
        <v>7</v>
      </c>
      <c r="D509" t="n">
        <v>80741</v>
      </c>
      <c r="E509" t="n">
        <v>106</v>
      </c>
      <c r="F509" t="n">
        <v>249</v>
      </c>
      <c r="G509" t="n">
        <v>80386</v>
      </c>
      <c r="H509" t="n">
        <v>68016</v>
      </c>
      <c r="I509" t="n">
        <v>96854</v>
      </c>
      <c r="J509" t="n">
        <v>1507823.200000001</v>
      </c>
      <c r="K509" t="n">
        <v>80676</v>
      </c>
      <c r="L509" t="n">
        <v>232647</v>
      </c>
      <c r="M509" t="n">
        <v>260456</v>
      </c>
      <c r="N509" t="n">
        <v>184135</v>
      </c>
      <c r="O509" t="n">
        <v>44146</v>
      </c>
      <c r="P509" t="n">
        <v>451</v>
      </c>
    </row>
    <row r="510">
      <c r="A510" t="inlineStr">
        <is>
          <t>DL</t>
        </is>
      </c>
      <c r="B510" t="n">
        <v>2015</v>
      </c>
      <c r="C510" t="n">
        <v>8</v>
      </c>
      <c r="D510" t="n">
        <v>80947</v>
      </c>
      <c r="E510" t="n">
        <v>69</v>
      </c>
      <c r="F510" t="n">
        <v>203</v>
      </c>
      <c r="G510" t="n">
        <v>80675</v>
      </c>
      <c r="H510" t="n">
        <v>69183</v>
      </c>
      <c r="I510" t="n">
        <v>52690</v>
      </c>
      <c r="J510" t="n">
        <v>1480394.600000001</v>
      </c>
      <c r="K510" t="n">
        <v>80892</v>
      </c>
      <c r="L510" t="n">
        <v>216133</v>
      </c>
      <c r="M510" t="n">
        <v>253078</v>
      </c>
      <c r="N510" t="n">
        <v>168512</v>
      </c>
      <c r="O510" t="n">
        <v>52470</v>
      </c>
      <c r="P510" t="n">
        <v>230</v>
      </c>
    </row>
    <row r="511">
      <c r="A511" t="inlineStr">
        <is>
          <t>DL</t>
        </is>
      </c>
      <c r="B511" t="n">
        <v>2015</v>
      </c>
      <c r="C511" t="n">
        <v>9</v>
      </c>
      <c r="D511" t="n">
        <v>72063</v>
      </c>
      <c r="E511" t="n">
        <v>6</v>
      </c>
      <c r="F511" t="n">
        <v>107</v>
      </c>
      <c r="G511" t="n">
        <v>71950</v>
      </c>
      <c r="H511" t="n">
        <v>65238</v>
      </c>
      <c r="I511" t="n">
        <v>-266458</v>
      </c>
      <c r="J511" t="n">
        <v>1339528.700000003</v>
      </c>
      <c r="K511" t="n">
        <v>72013</v>
      </c>
      <c r="L511" t="n">
        <v>93583</v>
      </c>
      <c r="M511" t="n">
        <v>162971</v>
      </c>
      <c r="N511" t="n">
        <v>94929</v>
      </c>
      <c r="O511" t="n">
        <v>23671</v>
      </c>
      <c r="P511" t="n">
        <v>172</v>
      </c>
    </row>
    <row r="512">
      <c r="A512" t="inlineStr">
        <is>
          <t>DL</t>
        </is>
      </c>
      <c r="B512" t="n">
        <v>2015</v>
      </c>
      <c r="C512" t="n">
        <v>10</v>
      </c>
      <c r="D512" t="n">
        <v>75552</v>
      </c>
      <c r="E512" t="n">
        <v>17</v>
      </c>
      <c r="F512" t="n">
        <v>77</v>
      </c>
      <c r="G512" t="n">
        <v>75458</v>
      </c>
      <c r="H512" t="n">
        <v>69577</v>
      </c>
      <c r="I512" t="n">
        <v>-378159</v>
      </c>
      <c r="J512" t="n">
        <v>1474265.100000005</v>
      </c>
      <c r="K512" t="n">
        <v>75505</v>
      </c>
      <c r="L512" t="n">
        <v>76722</v>
      </c>
      <c r="M512" t="n">
        <v>175804</v>
      </c>
      <c r="N512" t="n">
        <v>70847</v>
      </c>
      <c r="O512" t="n">
        <v>7901</v>
      </c>
      <c r="P512" t="n">
        <v>91</v>
      </c>
    </row>
    <row r="513">
      <c r="A513" t="inlineStr">
        <is>
          <t>DL</t>
        </is>
      </c>
      <c r="B513" t="n">
        <v>2015</v>
      </c>
      <c r="C513" t="n">
        <v>11</v>
      </c>
      <c r="D513" t="n">
        <v>72228</v>
      </c>
      <c r="E513" t="n">
        <v>14</v>
      </c>
      <c r="F513" t="n">
        <v>76</v>
      </c>
      <c r="G513" t="n">
        <v>72138</v>
      </c>
      <c r="H513" t="n">
        <v>64619</v>
      </c>
      <c r="I513" t="n">
        <v>-229068</v>
      </c>
      <c r="J513" t="n">
        <v>1471120.400000006</v>
      </c>
      <c r="K513" t="n">
        <v>72148</v>
      </c>
      <c r="L513" t="n">
        <v>110303</v>
      </c>
      <c r="M513" t="n">
        <v>185247</v>
      </c>
      <c r="N513" t="n">
        <v>99145</v>
      </c>
      <c r="O513" t="n">
        <v>20185</v>
      </c>
      <c r="P513" t="n">
        <v>800</v>
      </c>
    </row>
    <row r="514">
      <c r="A514" t="inlineStr">
        <is>
          <t>DL</t>
        </is>
      </c>
      <c r="B514" t="n">
        <v>2015</v>
      </c>
      <c r="C514" t="n">
        <v>12</v>
      </c>
      <c r="D514" t="n">
        <v>70639</v>
      </c>
      <c r="E514" t="n">
        <v>185</v>
      </c>
      <c r="F514" t="n">
        <v>166</v>
      </c>
      <c r="G514" t="n">
        <v>70288</v>
      </c>
      <c r="H514" t="n">
        <v>59020</v>
      </c>
      <c r="I514" t="n">
        <v>176043</v>
      </c>
      <c r="J514" t="n">
        <v>1455106.599999998</v>
      </c>
      <c r="K514" t="n">
        <v>70547</v>
      </c>
      <c r="L514" t="n">
        <v>254663</v>
      </c>
      <c r="M514" t="n">
        <v>261269</v>
      </c>
      <c r="N514" t="n">
        <v>175040</v>
      </c>
      <c r="O514" t="n">
        <v>87308</v>
      </c>
      <c r="P514" t="n">
        <v>355</v>
      </c>
    </row>
    <row r="515">
      <c r="A515" t="inlineStr">
        <is>
          <t>DL</t>
        </is>
      </c>
      <c r="B515" t="n">
        <v>2016</v>
      </c>
      <c r="C515" t="n">
        <v>1</v>
      </c>
      <c r="D515" t="n">
        <v>69711</v>
      </c>
      <c r="E515" t="n">
        <v>974</v>
      </c>
      <c r="F515" t="n">
        <v>88</v>
      </c>
      <c r="G515" t="n">
        <v>68649</v>
      </c>
      <c r="H515" t="n">
        <v>59415</v>
      </c>
      <c r="I515" t="n">
        <v>-57578</v>
      </c>
      <c r="J515" t="n">
        <v>1503869.699999999</v>
      </c>
      <c r="K515" t="n">
        <v>69666</v>
      </c>
      <c r="L515" t="n">
        <v>164158</v>
      </c>
      <c r="M515" t="n">
        <v>228514</v>
      </c>
      <c r="N515" t="n">
        <v>133927</v>
      </c>
      <c r="O515" t="n">
        <v>61263</v>
      </c>
      <c r="P515" t="n">
        <v>151</v>
      </c>
    </row>
    <row r="516">
      <c r="A516" t="inlineStr">
        <is>
          <t>DL</t>
        </is>
      </c>
      <c r="B516" t="n">
        <v>2016</v>
      </c>
      <c r="C516" t="n">
        <v>2</v>
      </c>
      <c r="D516" t="n">
        <v>67771</v>
      </c>
      <c r="E516" t="n">
        <v>313</v>
      </c>
      <c r="F516" t="n">
        <v>169</v>
      </c>
      <c r="G516" t="n">
        <v>67289</v>
      </c>
      <c r="H516" t="n">
        <v>58569</v>
      </c>
      <c r="I516" t="n">
        <v>-107027</v>
      </c>
      <c r="J516" t="n">
        <v>1521702.399999999</v>
      </c>
      <c r="K516" t="n">
        <v>67686</v>
      </c>
      <c r="L516" t="n">
        <v>177281</v>
      </c>
      <c r="M516" t="n">
        <v>215444</v>
      </c>
      <c r="N516" t="n">
        <v>147797</v>
      </c>
      <c r="O516" t="n">
        <v>57588</v>
      </c>
      <c r="P516" t="n">
        <v>341</v>
      </c>
    </row>
    <row r="517">
      <c r="A517" t="inlineStr">
        <is>
          <t>DL</t>
        </is>
      </c>
      <c r="B517" t="n">
        <v>2016</v>
      </c>
      <c r="C517" t="n">
        <v>3</v>
      </c>
      <c r="D517" t="n">
        <v>78210</v>
      </c>
      <c r="E517" t="n">
        <v>58</v>
      </c>
      <c r="F517" t="n">
        <v>142</v>
      </c>
      <c r="G517" t="n">
        <v>78010</v>
      </c>
      <c r="H517" t="n">
        <v>68710</v>
      </c>
      <c r="I517" t="n">
        <v>-167605</v>
      </c>
      <c r="J517" t="n">
        <v>1632510.400000005</v>
      </c>
      <c r="K517" t="n">
        <v>78143</v>
      </c>
      <c r="L517" t="n">
        <v>161981</v>
      </c>
      <c r="M517" t="n">
        <v>232842</v>
      </c>
      <c r="N517" t="n">
        <v>135988</v>
      </c>
      <c r="O517" t="n">
        <v>28200</v>
      </c>
      <c r="P517" t="n">
        <v>404</v>
      </c>
    </row>
    <row r="518">
      <c r="A518" t="inlineStr">
        <is>
          <t>DL</t>
        </is>
      </c>
      <c r="B518" t="n">
        <v>2016</v>
      </c>
      <c r="C518" t="n">
        <v>4</v>
      </c>
      <c r="D518" t="n">
        <v>76607</v>
      </c>
      <c r="E518" t="n">
        <v>53</v>
      </c>
      <c r="F518" t="n">
        <v>94</v>
      </c>
      <c r="G518" t="n">
        <v>76460</v>
      </c>
      <c r="H518" t="n">
        <v>69166</v>
      </c>
      <c r="I518" t="n">
        <v>-345789</v>
      </c>
      <c r="J518" t="n">
        <v>1593541.300000004</v>
      </c>
      <c r="K518" t="n">
        <v>76568</v>
      </c>
      <c r="L518" t="n">
        <v>124134</v>
      </c>
      <c r="M518" t="n">
        <v>217190</v>
      </c>
      <c r="N518" t="n">
        <v>95763</v>
      </c>
      <c r="O518" t="n">
        <v>17549</v>
      </c>
      <c r="P518" t="n">
        <v>118</v>
      </c>
    </row>
    <row r="519">
      <c r="A519" t="inlineStr">
        <is>
          <t>DL</t>
        </is>
      </c>
      <c r="B519" t="n">
        <v>2016</v>
      </c>
      <c r="C519" t="n">
        <v>5</v>
      </c>
      <c r="D519" t="n">
        <v>80556</v>
      </c>
      <c r="E519" t="n">
        <v>39</v>
      </c>
      <c r="F519" t="n">
        <v>118</v>
      </c>
      <c r="G519" t="n">
        <v>80399</v>
      </c>
      <c r="H519" t="n">
        <v>71394</v>
      </c>
      <c r="I519" t="n">
        <v>-170655</v>
      </c>
      <c r="J519" t="n">
        <v>1520485.200000003</v>
      </c>
      <c r="K519" t="n">
        <v>80474</v>
      </c>
      <c r="L519" t="n">
        <v>145811</v>
      </c>
      <c r="M519" t="n">
        <v>244975</v>
      </c>
      <c r="N519" t="n">
        <v>106623</v>
      </c>
      <c r="O519" t="n">
        <v>21451</v>
      </c>
      <c r="P519" t="n">
        <v>483</v>
      </c>
    </row>
    <row r="520">
      <c r="A520" t="inlineStr">
        <is>
          <t>DL</t>
        </is>
      </c>
      <c r="B520" t="n">
        <v>2016</v>
      </c>
      <c r="C520" t="n">
        <v>6</v>
      </c>
      <c r="D520" t="n">
        <v>81517</v>
      </c>
      <c r="E520" t="n">
        <v>13</v>
      </c>
      <c r="F520" t="n">
        <v>239</v>
      </c>
      <c r="G520" t="n">
        <v>81265</v>
      </c>
      <c r="H520" t="n">
        <v>68006</v>
      </c>
      <c r="I520" t="n">
        <v>208763</v>
      </c>
      <c r="J520" t="n">
        <v>1618539.9</v>
      </c>
      <c r="K520" t="n">
        <v>81427</v>
      </c>
      <c r="L520" t="n">
        <v>305234</v>
      </c>
      <c r="M520" t="n">
        <v>310694</v>
      </c>
      <c r="N520" t="n">
        <v>208600</v>
      </c>
      <c r="O520" t="n">
        <v>61369</v>
      </c>
      <c r="P520" t="n">
        <v>399</v>
      </c>
    </row>
    <row r="521">
      <c r="A521" t="inlineStr">
        <is>
          <t>DL</t>
        </is>
      </c>
      <c r="B521" t="n">
        <v>2016</v>
      </c>
      <c r="C521" t="n">
        <v>7</v>
      </c>
      <c r="D521" t="n">
        <v>83677</v>
      </c>
      <c r="E521" t="n">
        <v>241</v>
      </c>
      <c r="F521" t="n">
        <v>310</v>
      </c>
      <c r="G521" t="n">
        <v>83126</v>
      </c>
      <c r="H521" t="n">
        <v>68298</v>
      </c>
      <c r="I521" t="n">
        <v>463729</v>
      </c>
      <c r="J521" t="n">
        <v>1720022.600000002</v>
      </c>
      <c r="K521" t="n">
        <v>83642</v>
      </c>
      <c r="L521" t="n">
        <v>378254</v>
      </c>
      <c r="M521" t="n">
        <v>396055</v>
      </c>
      <c r="N521" t="n">
        <v>326867</v>
      </c>
      <c r="O521" t="n">
        <v>92372</v>
      </c>
      <c r="P521" t="n">
        <v>355</v>
      </c>
    </row>
    <row r="522">
      <c r="A522" t="inlineStr">
        <is>
          <t>DL</t>
        </is>
      </c>
      <c r="B522" t="n">
        <v>2016</v>
      </c>
      <c r="C522" t="n">
        <v>8</v>
      </c>
      <c r="D522" t="n">
        <v>84540</v>
      </c>
      <c r="E522" t="n">
        <v>1807</v>
      </c>
      <c r="F522" t="n">
        <v>173</v>
      </c>
      <c r="G522" t="n">
        <v>82560</v>
      </c>
      <c r="H522" t="n">
        <v>67560</v>
      </c>
      <c r="I522" t="n">
        <v>675283</v>
      </c>
      <c r="J522" t="n">
        <v>1725911.000000002</v>
      </c>
      <c r="K522" t="n">
        <v>84510</v>
      </c>
      <c r="L522" t="n">
        <v>465651</v>
      </c>
      <c r="M522" t="n">
        <v>678645</v>
      </c>
      <c r="N522" t="n">
        <v>225627</v>
      </c>
      <c r="O522" t="n">
        <v>37704</v>
      </c>
      <c r="P522" t="n">
        <v>1703</v>
      </c>
    </row>
    <row r="523">
      <c r="A523" t="inlineStr">
        <is>
          <t>DL</t>
        </is>
      </c>
      <c r="B523" t="n">
        <v>2016</v>
      </c>
      <c r="C523" t="n">
        <v>9</v>
      </c>
      <c r="D523" t="n">
        <v>75475</v>
      </c>
      <c r="E523" t="n">
        <v>10</v>
      </c>
      <c r="F523" t="n">
        <v>134</v>
      </c>
      <c r="G523" t="n">
        <v>75331</v>
      </c>
      <c r="H523" t="n">
        <v>68063</v>
      </c>
      <c r="I523" t="n">
        <v>-320276</v>
      </c>
      <c r="J523" t="n">
        <v>1477794.500000004</v>
      </c>
      <c r="K523" t="n">
        <v>75339</v>
      </c>
      <c r="L523" t="n">
        <v>107545</v>
      </c>
      <c r="M523" t="n">
        <v>187857</v>
      </c>
      <c r="N523" t="n">
        <v>107209</v>
      </c>
      <c r="O523" t="n">
        <v>26185</v>
      </c>
      <c r="P523" t="n">
        <v>429</v>
      </c>
    </row>
    <row r="524">
      <c r="A524" t="inlineStr">
        <is>
          <t>DL</t>
        </is>
      </c>
      <c r="B524" t="n">
        <v>2016</v>
      </c>
      <c r="C524" t="n">
        <v>10</v>
      </c>
      <c r="D524" t="n">
        <v>78967</v>
      </c>
      <c r="E524" t="n">
        <v>473</v>
      </c>
      <c r="F524" t="n">
        <v>72</v>
      </c>
      <c r="G524" t="n">
        <v>78422</v>
      </c>
      <c r="H524" t="n">
        <v>72786</v>
      </c>
      <c r="I524" t="n">
        <v>-537724</v>
      </c>
      <c r="J524" t="n">
        <v>1614872.400000007</v>
      </c>
      <c r="K524" t="n">
        <v>78937</v>
      </c>
      <c r="L524" t="n">
        <v>66128</v>
      </c>
      <c r="M524" t="n">
        <v>155429</v>
      </c>
      <c r="N524" t="n">
        <v>80030</v>
      </c>
      <c r="O524" t="n">
        <v>4195</v>
      </c>
      <c r="P524" t="n">
        <v>390</v>
      </c>
    </row>
    <row r="525">
      <c r="A525" t="inlineStr">
        <is>
          <t>DL</t>
        </is>
      </c>
      <c r="B525" t="n">
        <v>2016</v>
      </c>
      <c r="C525" t="n">
        <v>11</v>
      </c>
      <c r="D525" t="n">
        <v>74103</v>
      </c>
      <c r="E525" t="n">
        <v>0</v>
      </c>
      <c r="F525" t="n">
        <v>79</v>
      </c>
      <c r="G525" t="n">
        <v>74024</v>
      </c>
      <c r="H525" t="n">
        <v>67707</v>
      </c>
      <c r="I525" t="n">
        <v>-465303</v>
      </c>
      <c r="J525" t="n">
        <v>1599853.100000004</v>
      </c>
      <c r="K525" t="n">
        <v>74012</v>
      </c>
      <c r="L525" t="n">
        <v>86401</v>
      </c>
      <c r="M525" t="n">
        <v>161009</v>
      </c>
      <c r="N525" t="n">
        <v>90361</v>
      </c>
      <c r="O525" t="n">
        <v>11386</v>
      </c>
      <c r="P525" t="n">
        <v>445</v>
      </c>
    </row>
    <row r="526">
      <c r="A526" t="inlineStr">
        <is>
          <t>DL</t>
        </is>
      </c>
      <c r="B526" t="n">
        <v>2016</v>
      </c>
      <c r="C526" t="n">
        <v>12</v>
      </c>
      <c r="D526" t="n">
        <v>71612</v>
      </c>
      <c r="E526" t="n">
        <v>135</v>
      </c>
      <c r="F526" t="n">
        <v>116</v>
      </c>
      <c r="G526" t="n">
        <v>71361</v>
      </c>
      <c r="H526" t="n">
        <v>58284</v>
      </c>
      <c r="I526" t="n">
        <v>314212</v>
      </c>
      <c r="J526" t="n">
        <v>1571967.699999986</v>
      </c>
      <c r="K526" t="n">
        <v>71548</v>
      </c>
      <c r="L526" t="n">
        <v>252060</v>
      </c>
      <c r="M526" t="n">
        <v>334783</v>
      </c>
      <c r="N526" t="n">
        <v>203219</v>
      </c>
      <c r="O526" t="n">
        <v>72756</v>
      </c>
      <c r="P526" t="n">
        <v>598</v>
      </c>
    </row>
    <row r="527">
      <c r="A527" t="inlineStr">
        <is>
          <t>DL</t>
        </is>
      </c>
      <c r="B527" t="n">
        <v>2017</v>
      </c>
      <c r="C527" t="n">
        <v>1</v>
      </c>
      <c r="D527" t="n">
        <v>69813</v>
      </c>
      <c r="E527" t="n">
        <v>782</v>
      </c>
      <c r="F527" t="n">
        <v>189</v>
      </c>
      <c r="G527" t="n">
        <v>68842</v>
      </c>
      <c r="H527" t="n">
        <v>56335</v>
      </c>
      <c r="I527" t="n">
        <v>296384</v>
      </c>
      <c r="J527" t="n">
        <v>1668579.800000006</v>
      </c>
      <c r="K527" t="n">
        <v>69768</v>
      </c>
      <c r="L527" t="n">
        <v>274704</v>
      </c>
      <c r="M527" t="n">
        <v>385953</v>
      </c>
      <c r="N527" t="n">
        <v>210571</v>
      </c>
      <c r="O527" t="n">
        <v>119719</v>
      </c>
      <c r="P527" t="n">
        <v>424</v>
      </c>
    </row>
    <row r="528">
      <c r="A528" t="inlineStr">
        <is>
          <t>DL</t>
        </is>
      </c>
      <c r="B528" t="n">
        <v>2017</v>
      </c>
      <c r="C528" t="n">
        <v>2</v>
      </c>
      <c r="D528" t="n">
        <v>65313</v>
      </c>
      <c r="E528" t="n">
        <v>356</v>
      </c>
      <c r="F528" t="n">
        <v>95</v>
      </c>
      <c r="G528" t="n">
        <v>64862</v>
      </c>
      <c r="H528" t="n">
        <v>58434</v>
      </c>
      <c r="I528" t="n">
        <v>-410418</v>
      </c>
      <c r="J528" t="n">
        <v>1558071.700000003</v>
      </c>
      <c r="K528" t="n">
        <v>65253</v>
      </c>
      <c r="L528" t="n">
        <v>103547</v>
      </c>
      <c r="M528" t="n">
        <v>150944</v>
      </c>
      <c r="N528" t="n">
        <v>107583</v>
      </c>
      <c r="O528" t="n">
        <v>30638</v>
      </c>
      <c r="P528" t="n">
        <v>104</v>
      </c>
    </row>
    <row r="529">
      <c r="A529" t="inlineStr">
        <is>
          <t>DL</t>
        </is>
      </c>
      <c r="B529" t="n">
        <v>2017</v>
      </c>
      <c r="C529" t="n">
        <v>3</v>
      </c>
      <c r="D529" t="n">
        <v>79070</v>
      </c>
      <c r="E529" t="n">
        <v>439</v>
      </c>
      <c r="F529" t="n">
        <v>137</v>
      </c>
      <c r="G529" t="n">
        <v>78494</v>
      </c>
      <c r="H529" t="n">
        <v>68721</v>
      </c>
      <c r="I529" t="n">
        <v>-148039</v>
      </c>
      <c r="J529" t="n">
        <v>1820728.600000004</v>
      </c>
      <c r="K529" t="n">
        <v>78972</v>
      </c>
      <c r="L529" t="n">
        <v>189238</v>
      </c>
      <c r="M529" t="n">
        <v>238209</v>
      </c>
      <c r="N529" t="n">
        <v>185917</v>
      </c>
      <c r="O529" t="n">
        <v>48899</v>
      </c>
      <c r="P529" t="n">
        <v>311</v>
      </c>
    </row>
    <row r="530">
      <c r="A530" t="inlineStr">
        <is>
          <t>DL</t>
        </is>
      </c>
      <c r="B530" t="n">
        <v>2017</v>
      </c>
      <c r="C530" t="n">
        <v>4</v>
      </c>
      <c r="D530" t="n">
        <v>77046</v>
      </c>
      <c r="E530" t="n">
        <v>3151</v>
      </c>
      <c r="F530" t="n">
        <v>177</v>
      </c>
      <c r="G530" t="n">
        <v>73718</v>
      </c>
      <c r="H530" t="n">
        <v>59225</v>
      </c>
      <c r="I530" t="n">
        <v>828058</v>
      </c>
      <c r="J530" t="n">
        <v>1612241.700000002</v>
      </c>
      <c r="K530" t="n">
        <v>76979</v>
      </c>
      <c r="L530" t="n">
        <v>442391</v>
      </c>
      <c r="M530" t="n">
        <v>514692</v>
      </c>
      <c r="N530" t="n">
        <v>284173</v>
      </c>
      <c r="O530" t="n">
        <v>224027</v>
      </c>
      <c r="P530" t="n">
        <v>493</v>
      </c>
    </row>
    <row r="531">
      <c r="A531" t="inlineStr">
        <is>
          <t>DL</t>
        </is>
      </c>
      <c r="B531" t="n">
        <v>2017</v>
      </c>
      <c r="C531" t="n">
        <v>5</v>
      </c>
      <c r="D531" t="n">
        <v>80742</v>
      </c>
      <c r="E531" t="n">
        <v>56</v>
      </c>
      <c r="F531" t="n">
        <v>175</v>
      </c>
      <c r="G531" t="n">
        <v>80511</v>
      </c>
      <c r="H531" t="n">
        <v>66817</v>
      </c>
      <c r="I531" t="n">
        <v>277745</v>
      </c>
      <c r="J531" t="n">
        <v>1539837.8</v>
      </c>
      <c r="K531" t="n">
        <v>80673</v>
      </c>
      <c r="L531" t="n">
        <v>266189</v>
      </c>
      <c r="M531" t="n">
        <v>302808</v>
      </c>
      <c r="N531" t="n">
        <v>297900</v>
      </c>
      <c r="O531" t="n">
        <v>21646</v>
      </c>
      <c r="P531" t="n">
        <v>402</v>
      </c>
    </row>
    <row r="532">
      <c r="A532" t="inlineStr">
        <is>
          <t>DL</t>
        </is>
      </c>
      <c r="B532" t="n">
        <v>2017</v>
      </c>
      <c r="C532" t="n">
        <v>6</v>
      </c>
      <c r="D532" t="n">
        <v>81033</v>
      </c>
      <c r="E532" t="n">
        <v>93</v>
      </c>
      <c r="F532" t="n">
        <v>194</v>
      </c>
      <c r="G532" t="n">
        <v>80746</v>
      </c>
      <c r="H532" t="n">
        <v>67065</v>
      </c>
      <c r="I532" t="n">
        <v>254856</v>
      </c>
      <c r="J532" t="n">
        <v>1650157.2</v>
      </c>
      <c r="K532" t="n">
        <v>80931</v>
      </c>
      <c r="L532" t="n">
        <v>277443</v>
      </c>
      <c r="M532" t="n">
        <v>314004</v>
      </c>
      <c r="N532" t="n">
        <v>270994</v>
      </c>
      <c r="O532" t="n">
        <v>47064</v>
      </c>
      <c r="P532" t="n">
        <v>884</v>
      </c>
    </row>
    <row r="533">
      <c r="A533" t="inlineStr">
        <is>
          <t>DL</t>
        </is>
      </c>
      <c r="B533" t="n">
        <v>2017</v>
      </c>
      <c r="C533" t="n">
        <v>7</v>
      </c>
      <c r="D533" t="n">
        <v>83604</v>
      </c>
      <c r="E533" t="n">
        <v>36</v>
      </c>
      <c r="F533" t="n">
        <v>241</v>
      </c>
      <c r="G533" t="n">
        <v>83327</v>
      </c>
      <c r="H533" t="n">
        <v>69510</v>
      </c>
      <c r="I533" t="n">
        <v>231902</v>
      </c>
      <c r="J533" t="n">
        <v>1708044.099999996</v>
      </c>
      <c r="K533" t="n">
        <v>83551</v>
      </c>
      <c r="L533" t="n">
        <v>280089</v>
      </c>
      <c r="M533" t="n">
        <v>353040</v>
      </c>
      <c r="N533" t="n">
        <v>259272</v>
      </c>
      <c r="O533" t="n">
        <v>53414</v>
      </c>
      <c r="P533" t="n">
        <v>2199</v>
      </c>
    </row>
    <row r="534">
      <c r="A534" t="inlineStr">
        <is>
          <t>DL</t>
        </is>
      </c>
      <c r="B534" t="n">
        <v>2017</v>
      </c>
      <c r="C534" t="n">
        <v>8</v>
      </c>
      <c r="D534" t="n">
        <v>84805</v>
      </c>
      <c r="E534" t="n">
        <v>191</v>
      </c>
      <c r="F534" t="n">
        <v>163</v>
      </c>
      <c r="G534" t="n">
        <v>84451</v>
      </c>
      <c r="H534" t="n">
        <v>74144</v>
      </c>
      <c r="I534" t="n">
        <v>-182677</v>
      </c>
      <c r="J534" t="n">
        <v>1717265.799999997</v>
      </c>
      <c r="K534" t="n">
        <v>84763</v>
      </c>
      <c r="L534" t="n">
        <v>174936</v>
      </c>
      <c r="M534" t="n">
        <v>242963</v>
      </c>
      <c r="N534" t="n">
        <v>166696</v>
      </c>
      <c r="O534" t="n">
        <v>22743</v>
      </c>
      <c r="P534" t="n">
        <v>937</v>
      </c>
    </row>
    <row r="535">
      <c r="A535" t="inlineStr">
        <is>
          <t>DL</t>
        </is>
      </c>
      <c r="B535" t="n">
        <v>2017</v>
      </c>
      <c r="C535" t="n">
        <v>9</v>
      </c>
      <c r="D535" t="n">
        <v>75505</v>
      </c>
      <c r="E535" t="n">
        <v>1705</v>
      </c>
      <c r="F535" t="n">
        <v>125</v>
      </c>
      <c r="G535" t="n">
        <v>73675</v>
      </c>
      <c r="H535" t="n">
        <v>66973</v>
      </c>
      <c r="I535" t="n">
        <v>-289815</v>
      </c>
      <c r="J535" t="n">
        <v>1432975.600000003</v>
      </c>
      <c r="K535" t="n">
        <v>75487</v>
      </c>
      <c r="L535" t="n">
        <v>91815</v>
      </c>
      <c r="M535" t="n">
        <v>183457</v>
      </c>
      <c r="N535" t="n">
        <v>118517</v>
      </c>
      <c r="O535" t="n">
        <v>37216</v>
      </c>
      <c r="P535" t="n">
        <v>283</v>
      </c>
    </row>
    <row r="536">
      <c r="A536" t="inlineStr">
        <is>
          <t>DL</t>
        </is>
      </c>
      <c r="B536" t="n">
        <v>2017</v>
      </c>
      <c r="C536" t="n">
        <v>10</v>
      </c>
      <c r="D536" t="n">
        <v>79476</v>
      </c>
      <c r="E536" t="n">
        <v>10</v>
      </c>
      <c r="F536" t="n">
        <v>85</v>
      </c>
      <c r="G536" t="n">
        <v>79381</v>
      </c>
      <c r="H536" t="n">
        <v>71065</v>
      </c>
      <c r="I536" t="n">
        <v>-177793</v>
      </c>
      <c r="J536" t="n">
        <v>1508062.000000004</v>
      </c>
      <c r="K536" t="n">
        <v>79469</v>
      </c>
      <c r="L536" t="n">
        <v>137303</v>
      </c>
      <c r="M536" t="n">
        <v>199703</v>
      </c>
      <c r="N536" t="n">
        <v>155802</v>
      </c>
      <c r="O536" t="n">
        <v>13611</v>
      </c>
      <c r="P536" t="n">
        <v>1058</v>
      </c>
    </row>
    <row r="537">
      <c r="A537" t="inlineStr">
        <is>
          <t>DL</t>
        </is>
      </c>
      <c r="B537" t="n">
        <v>2017</v>
      </c>
      <c r="C537" t="n">
        <v>11</v>
      </c>
      <c r="D537" t="n">
        <v>74348</v>
      </c>
      <c r="E537" t="n">
        <v>0</v>
      </c>
      <c r="F537" t="n">
        <v>60</v>
      </c>
      <c r="G537" t="n">
        <v>74288</v>
      </c>
      <c r="H537" t="n">
        <v>69646</v>
      </c>
      <c r="I537" t="n">
        <v>-666387</v>
      </c>
      <c r="J537" t="n">
        <v>1643832.300000001</v>
      </c>
      <c r="K537" t="n">
        <v>74295</v>
      </c>
      <c r="L537" t="n">
        <v>49584</v>
      </c>
      <c r="M537" t="n">
        <v>128605</v>
      </c>
      <c r="N537" t="n">
        <v>62584</v>
      </c>
      <c r="O537" t="n">
        <v>7860</v>
      </c>
      <c r="P537" t="n">
        <v>425</v>
      </c>
    </row>
    <row r="538">
      <c r="A538" t="inlineStr">
        <is>
          <t>DL</t>
        </is>
      </c>
      <c r="B538" t="n">
        <v>2017</v>
      </c>
      <c r="C538" t="n">
        <v>12</v>
      </c>
      <c r="D538" t="n">
        <v>72805</v>
      </c>
      <c r="E538" t="n">
        <v>2141</v>
      </c>
      <c r="F538" t="n">
        <v>167</v>
      </c>
      <c r="G538" t="n">
        <v>70497</v>
      </c>
      <c r="H538" t="n">
        <v>60762</v>
      </c>
      <c r="I538" t="n">
        <v>-82036</v>
      </c>
      <c r="J538" t="n">
        <v>1818854.999999983</v>
      </c>
      <c r="K538" t="n">
        <v>72701</v>
      </c>
      <c r="L538" t="n">
        <v>159184</v>
      </c>
      <c r="M538" t="n">
        <v>270588</v>
      </c>
      <c r="N538" t="n">
        <v>192672</v>
      </c>
      <c r="O538" t="n">
        <v>103005</v>
      </c>
      <c r="P538" t="n">
        <v>823</v>
      </c>
    </row>
    <row r="539">
      <c r="A539" t="inlineStr">
        <is>
          <t>DL</t>
        </is>
      </c>
      <c r="B539" t="n">
        <v>2018</v>
      </c>
      <c r="C539" t="n">
        <v>1</v>
      </c>
      <c r="D539" t="n">
        <v>71253</v>
      </c>
      <c r="E539" t="n">
        <v>1538</v>
      </c>
      <c r="F539" t="n">
        <v>115</v>
      </c>
      <c r="G539" t="n">
        <v>69600</v>
      </c>
      <c r="H539" t="n">
        <v>60057</v>
      </c>
      <c r="I539" t="n">
        <v>-81134</v>
      </c>
      <c r="J539" t="n">
        <v>1734260.199999997</v>
      </c>
      <c r="K539" t="n">
        <v>71227</v>
      </c>
      <c r="L539" t="n">
        <v>210202</v>
      </c>
      <c r="M539" t="n">
        <v>221638</v>
      </c>
      <c r="N539" t="n">
        <v>180576</v>
      </c>
      <c r="O539" t="n">
        <v>131835</v>
      </c>
      <c r="P539" t="n">
        <v>182</v>
      </c>
    </row>
    <row r="540">
      <c r="A540" t="inlineStr">
        <is>
          <t>DL</t>
        </is>
      </c>
      <c r="B540" t="n">
        <v>2018</v>
      </c>
      <c r="C540" t="n">
        <v>2</v>
      </c>
      <c r="D540" t="n">
        <v>66302</v>
      </c>
      <c r="E540" t="n">
        <v>70</v>
      </c>
      <c r="F540" t="n">
        <v>122</v>
      </c>
      <c r="G540" t="n">
        <v>66110</v>
      </c>
      <c r="H540" t="n">
        <v>58262</v>
      </c>
      <c r="I540" t="n">
        <v>-228503</v>
      </c>
      <c r="J540" t="n">
        <v>1578341.999999993</v>
      </c>
      <c r="K540" t="n">
        <v>66247</v>
      </c>
      <c r="L540" t="n">
        <v>163621</v>
      </c>
      <c r="M540" t="n">
        <v>203762</v>
      </c>
      <c r="N540" t="n">
        <v>129105</v>
      </c>
      <c r="O540" t="n">
        <v>48518</v>
      </c>
      <c r="P540" t="n">
        <v>569</v>
      </c>
    </row>
    <row r="541">
      <c r="A541" t="inlineStr">
        <is>
          <t>DL</t>
        </is>
      </c>
      <c r="B541" t="n">
        <v>2018</v>
      </c>
      <c r="C541" t="n">
        <v>3</v>
      </c>
      <c r="D541" t="n">
        <v>81365</v>
      </c>
      <c r="E541" t="n">
        <v>869</v>
      </c>
      <c r="F541" t="n">
        <v>102</v>
      </c>
      <c r="G541" t="n">
        <v>80394</v>
      </c>
      <c r="H541" t="n">
        <v>70760</v>
      </c>
      <c r="I541" t="n">
        <v>-164260</v>
      </c>
      <c r="J541" t="n">
        <v>1730242.600000003</v>
      </c>
      <c r="K541" t="n">
        <v>81253</v>
      </c>
      <c r="L541" t="n">
        <v>147204</v>
      </c>
      <c r="M541" t="n">
        <v>223242</v>
      </c>
      <c r="N541" t="n">
        <v>136772</v>
      </c>
      <c r="O541" t="n">
        <v>58621</v>
      </c>
      <c r="P541" t="n">
        <v>767</v>
      </c>
    </row>
    <row r="542">
      <c r="A542" t="inlineStr">
        <is>
          <t>DL</t>
        </is>
      </c>
      <c r="B542" t="n">
        <v>2018</v>
      </c>
      <c r="C542" t="n">
        <v>4</v>
      </c>
      <c r="D542" t="n">
        <v>79013</v>
      </c>
      <c r="E542" t="n">
        <v>268</v>
      </c>
      <c r="F542" t="n">
        <v>138</v>
      </c>
      <c r="G542" t="n">
        <v>78607</v>
      </c>
      <c r="H542" t="n">
        <v>68260</v>
      </c>
      <c r="I542" t="n">
        <v>-51439</v>
      </c>
      <c r="J542" t="n">
        <v>1497702.800000001</v>
      </c>
      <c r="K542" t="n">
        <v>78970</v>
      </c>
      <c r="L542" t="n">
        <v>173231</v>
      </c>
      <c r="M542" t="n">
        <v>232160</v>
      </c>
      <c r="N542" t="n">
        <v>174881</v>
      </c>
      <c r="O542" t="n">
        <v>40109</v>
      </c>
      <c r="P542" t="n">
        <v>402</v>
      </c>
    </row>
    <row r="543">
      <c r="A543" t="inlineStr">
        <is>
          <t>DL</t>
        </is>
      </c>
      <c r="B543" t="n">
        <v>2018</v>
      </c>
      <c r="C543" t="n">
        <v>5</v>
      </c>
      <c r="D543" t="n">
        <v>81735</v>
      </c>
      <c r="E543" t="n">
        <v>23</v>
      </c>
      <c r="F543" t="n">
        <v>178</v>
      </c>
      <c r="G543" t="n">
        <v>81534</v>
      </c>
      <c r="H543" t="n">
        <v>69456</v>
      </c>
      <c r="I543" t="n">
        <v>121132</v>
      </c>
      <c r="J543" t="n">
        <v>1417683.5</v>
      </c>
      <c r="K543" t="n">
        <v>81668</v>
      </c>
      <c r="L543" t="n">
        <v>184475</v>
      </c>
      <c r="M543" t="n">
        <v>268261</v>
      </c>
      <c r="N543" t="n">
        <v>215322</v>
      </c>
      <c r="O543" t="n">
        <v>46449</v>
      </c>
      <c r="P543" t="n">
        <v>993</v>
      </c>
    </row>
    <row r="544">
      <c r="A544" t="inlineStr">
        <is>
          <t>DL</t>
        </is>
      </c>
      <c r="B544" t="n">
        <v>2018</v>
      </c>
      <c r="C544" t="n">
        <v>6</v>
      </c>
      <c r="D544" t="n">
        <v>83653</v>
      </c>
      <c r="E544" t="n">
        <v>131</v>
      </c>
      <c r="F544" t="n">
        <v>271</v>
      </c>
      <c r="G544" t="n">
        <v>83251</v>
      </c>
      <c r="H544" t="n">
        <v>68218</v>
      </c>
      <c r="I544" t="n">
        <v>475191</v>
      </c>
      <c r="J544" t="n">
        <v>1668967.999999997</v>
      </c>
      <c r="K544" t="n">
        <v>83614</v>
      </c>
      <c r="L544" t="n">
        <v>391699</v>
      </c>
      <c r="M544" t="n">
        <v>385447</v>
      </c>
      <c r="N544" t="n">
        <v>275277</v>
      </c>
      <c r="O544" t="n">
        <v>115048</v>
      </c>
      <c r="P544" t="n">
        <v>529</v>
      </c>
    </row>
    <row r="545">
      <c r="A545" t="inlineStr">
        <is>
          <t>DL</t>
        </is>
      </c>
      <c r="B545" t="n">
        <v>2018</v>
      </c>
      <c r="C545" t="n">
        <v>7</v>
      </c>
      <c r="D545" t="n">
        <v>86544</v>
      </c>
      <c r="E545" t="n">
        <v>128</v>
      </c>
      <c r="F545" t="n">
        <v>288</v>
      </c>
      <c r="G545" t="n">
        <v>86128</v>
      </c>
      <c r="H545" t="n">
        <v>72171</v>
      </c>
      <c r="I545" t="n">
        <v>277873</v>
      </c>
      <c r="J545" t="n">
        <v>1727999.199999995</v>
      </c>
      <c r="K545" t="n">
        <v>86471</v>
      </c>
      <c r="L545" t="n">
        <v>347042</v>
      </c>
      <c r="M545" t="n">
        <v>303077</v>
      </c>
      <c r="N545" t="n">
        <v>303754</v>
      </c>
      <c r="O545" t="n">
        <v>85044</v>
      </c>
      <c r="P545" t="n">
        <v>510</v>
      </c>
    </row>
    <row r="546">
      <c r="A546" t="inlineStr">
        <is>
          <t>DL</t>
        </is>
      </c>
      <c r="B546" t="n">
        <v>2018</v>
      </c>
      <c r="C546" t="n">
        <v>8</v>
      </c>
      <c r="D546" t="n">
        <v>87966</v>
      </c>
      <c r="E546" t="n">
        <v>156</v>
      </c>
      <c r="F546" t="n">
        <v>230</v>
      </c>
      <c r="G546" t="n">
        <v>87580</v>
      </c>
      <c r="H546" t="n">
        <v>73290</v>
      </c>
      <c r="I546" t="n">
        <v>265944</v>
      </c>
      <c r="J546" t="n">
        <v>1751447.399999992</v>
      </c>
      <c r="K546" t="n">
        <v>87912</v>
      </c>
      <c r="L546" t="n">
        <v>332690</v>
      </c>
      <c r="M546" t="n">
        <v>313154</v>
      </c>
      <c r="N546" t="n">
        <v>308364</v>
      </c>
      <c r="O546" t="n">
        <v>66550</v>
      </c>
      <c r="P546" t="n">
        <v>811</v>
      </c>
    </row>
    <row r="547">
      <c r="A547" t="inlineStr">
        <is>
          <t>DL</t>
        </is>
      </c>
      <c r="B547" t="n">
        <v>2018</v>
      </c>
      <c r="C547" t="n">
        <v>9</v>
      </c>
      <c r="D547" t="n">
        <v>78075</v>
      </c>
      <c r="E547" t="n">
        <v>112</v>
      </c>
      <c r="F547" t="n">
        <v>134</v>
      </c>
      <c r="G547" t="n">
        <v>77829</v>
      </c>
      <c r="H547" t="n">
        <v>68914</v>
      </c>
      <c r="I547" t="n">
        <v>-233984</v>
      </c>
      <c r="J547" t="n">
        <v>1446620.400000003</v>
      </c>
      <c r="K547" t="n">
        <v>78059</v>
      </c>
      <c r="L547" t="n">
        <v>133448</v>
      </c>
      <c r="M547" t="n">
        <v>188598</v>
      </c>
      <c r="N547" t="n">
        <v>163076</v>
      </c>
      <c r="O547" t="n">
        <v>28540</v>
      </c>
      <c r="P547" t="n">
        <v>695</v>
      </c>
    </row>
    <row r="548">
      <c r="A548" t="inlineStr">
        <is>
          <t>DL</t>
        </is>
      </c>
      <c r="B548" t="n">
        <v>2018</v>
      </c>
      <c r="C548" t="n">
        <v>10</v>
      </c>
      <c r="D548" t="n">
        <v>82134</v>
      </c>
      <c r="E548" t="n">
        <v>74</v>
      </c>
      <c r="F548" t="n">
        <v>110</v>
      </c>
      <c r="G548" t="n">
        <v>81950</v>
      </c>
      <c r="H548" t="n">
        <v>73933</v>
      </c>
      <c r="I548" t="n">
        <v>-290668</v>
      </c>
      <c r="J548" t="n">
        <v>1508350.200000002</v>
      </c>
      <c r="K548" t="n">
        <v>82122</v>
      </c>
      <c r="L548" t="n">
        <v>115274</v>
      </c>
      <c r="M548" t="n">
        <v>175682</v>
      </c>
      <c r="N548" t="n">
        <v>115986</v>
      </c>
      <c r="O548" t="n">
        <v>23271</v>
      </c>
      <c r="P548" t="n">
        <v>223</v>
      </c>
    </row>
    <row r="549">
      <c r="A549" t="inlineStr">
        <is>
          <t>DL</t>
        </is>
      </c>
      <c r="B549" t="n">
        <v>2018</v>
      </c>
      <c r="C549" t="n">
        <v>11</v>
      </c>
      <c r="D549" t="n">
        <v>76236</v>
      </c>
      <c r="E549" t="n">
        <v>104</v>
      </c>
      <c r="F549" t="n">
        <v>125</v>
      </c>
      <c r="G549" t="n">
        <v>76007</v>
      </c>
      <c r="H549" t="n">
        <v>63467</v>
      </c>
      <c r="I549" t="n">
        <v>94595</v>
      </c>
      <c r="J549" t="n">
        <v>1603128.800000004</v>
      </c>
      <c r="K549" t="n">
        <v>75956</v>
      </c>
      <c r="L549" t="n">
        <v>218743</v>
      </c>
      <c r="M549" t="n">
        <v>230084</v>
      </c>
      <c r="N549" t="n">
        <v>210242</v>
      </c>
      <c r="O549" t="n">
        <v>54811</v>
      </c>
      <c r="P549" t="n">
        <v>163</v>
      </c>
    </row>
    <row r="550">
      <c r="A550" t="inlineStr">
        <is>
          <t>DL</t>
        </is>
      </c>
      <c r="B550" t="n">
        <v>2018</v>
      </c>
      <c r="C550" t="n">
        <v>12</v>
      </c>
      <c r="D550" t="n">
        <v>75006</v>
      </c>
      <c r="E550" t="n">
        <v>54</v>
      </c>
      <c r="F550" t="n">
        <v>105</v>
      </c>
      <c r="G550" t="n">
        <v>74847</v>
      </c>
      <c r="H550" t="n">
        <v>66860</v>
      </c>
      <c r="I550" t="n">
        <v>-458295</v>
      </c>
      <c r="J550" t="n">
        <v>1761805.099999983</v>
      </c>
      <c r="K550" t="n">
        <v>74884</v>
      </c>
      <c r="L550" t="n">
        <v>107164</v>
      </c>
      <c r="M550" t="n">
        <v>167964</v>
      </c>
      <c r="N550" t="n">
        <v>119007</v>
      </c>
      <c r="O550" t="n">
        <v>31520</v>
      </c>
      <c r="P550" t="n">
        <v>121</v>
      </c>
    </row>
    <row r="551">
      <c r="A551" t="inlineStr">
        <is>
          <t>DL</t>
        </is>
      </c>
      <c r="B551" t="n">
        <v>2019</v>
      </c>
      <c r="C551" t="n">
        <v>1</v>
      </c>
      <c r="D551" t="n">
        <v>73836</v>
      </c>
      <c r="E551" t="n">
        <v>328</v>
      </c>
      <c r="F551" t="n">
        <v>105</v>
      </c>
      <c r="G551" t="n">
        <v>73403</v>
      </c>
      <c r="H551" t="n">
        <v>64000</v>
      </c>
      <c r="I551" t="n">
        <v>-126252</v>
      </c>
      <c r="J551" t="n">
        <v>1692938.699999985</v>
      </c>
      <c r="K551" t="n">
        <v>73798</v>
      </c>
      <c r="L551" t="n">
        <v>176751</v>
      </c>
      <c r="M551" t="n">
        <v>221778</v>
      </c>
      <c r="N551" t="n">
        <v>192976</v>
      </c>
      <c r="O551" t="n">
        <v>72918</v>
      </c>
      <c r="P551" t="n">
        <v>170</v>
      </c>
    </row>
    <row r="552">
      <c r="A552" t="inlineStr">
        <is>
          <t>DL</t>
        </is>
      </c>
      <c r="B552" t="n">
        <v>2019</v>
      </c>
      <c r="C552" t="n">
        <v>2</v>
      </c>
      <c r="D552" t="n">
        <v>67337</v>
      </c>
      <c r="E552" t="n">
        <v>64</v>
      </c>
      <c r="F552" t="n">
        <v>156</v>
      </c>
      <c r="G552" t="n">
        <v>67117</v>
      </c>
      <c r="H552" t="n">
        <v>54934</v>
      </c>
      <c r="I552" t="n">
        <v>267280</v>
      </c>
      <c r="J552" t="n">
        <v>1535532.999999989</v>
      </c>
      <c r="K552" t="n">
        <v>67309</v>
      </c>
      <c r="L552" t="n">
        <v>277551</v>
      </c>
      <c r="M552" t="n">
        <v>261649</v>
      </c>
      <c r="N552" t="n">
        <v>238089</v>
      </c>
      <c r="O552" t="n">
        <v>108760</v>
      </c>
      <c r="P552" t="n">
        <v>1172</v>
      </c>
    </row>
    <row r="553">
      <c r="A553" t="inlineStr">
        <is>
          <t>DL</t>
        </is>
      </c>
      <c r="B553" t="n">
        <v>2019</v>
      </c>
      <c r="C553" t="n">
        <v>3</v>
      </c>
      <c r="D553" t="n">
        <v>84208</v>
      </c>
      <c r="E553" t="n">
        <v>66</v>
      </c>
      <c r="F553" t="n">
        <v>77</v>
      </c>
      <c r="G553" t="n">
        <v>84065</v>
      </c>
      <c r="H553" t="n">
        <v>74321</v>
      </c>
      <c r="I553" t="n">
        <v>-182957</v>
      </c>
      <c r="J553" t="n">
        <v>1787286.300000002</v>
      </c>
      <c r="K553" t="n">
        <v>84094</v>
      </c>
      <c r="L553" t="n">
        <v>176473</v>
      </c>
      <c r="M553" t="n">
        <v>253470</v>
      </c>
      <c r="N553" t="n">
        <v>143122</v>
      </c>
      <c r="O553" t="n">
        <v>45444</v>
      </c>
      <c r="P553" t="n">
        <v>778</v>
      </c>
    </row>
    <row r="554">
      <c r="A554" t="inlineStr">
        <is>
          <t>DL</t>
        </is>
      </c>
      <c r="B554" t="n">
        <v>2019</v>
      </c>
      <c r="C554" t="n">
        <v>4</v>
      </c>
      <c r="D554" t="n">
        <v>81949</v>
      </c>
      <c r="E554" t="n">
        <v>146</v>
      </c>
      <c r="F554" t="n">
        <v>160</v>
      </c>
      <c r="G554" t="n">
        <v>81643</v>
      </c>
      <c r="H554" t="n">
        <v>70618</v>
      </c>
      <c r="I554" t="n">
        <v>77705</v>
      </c>
      <c r="J554" t="n">
        <v>1667854.199999998</v>
      </c>
      <c r="K554" t="n">
        <v>81908</v>
      </c>
      <c r="L554" t="n">
        <v>273503</v>
      </c>
      <c r="M554" t="n">
        <v>299661</v>
      </c>
      <c r="N554" t="n">
        <v>236532</v>
      </c>
      <c r="O554" t="n">
        <v>54070</v>
      </c>
      <c r="P554" t="n">
        <v>531</v>
      </c>
    </row>
    <row r="555">
      <c r="A555" t="inlineStr">
        <is>
          <t>DL</t>
        </is>
      </c>
      <c r="B555" t="n">
        <v>2019</v>
      </c>
      <c r="C555" t="n">
        <v>5</v>
      </c>
      <c r="D555" t="n">
        <v>85579</v>
      </c>
      <c r="E555" t="n">
        <v>0</v>
      </c>
      <c r="F555" t="n">
        <v>222</v>
      </c>
      <c r="G555" t="n">
        <v>85357</v>
      </c>
      <c r="H555" t="n">
        <v>74164</v>
      </c>
      <c r="I555" t="n">
        <v>-9772</v>
      </c>
      <c r="J555" t="n">
        <v>1659021.399999997</v>
      </c>
      <c r="K555" t="n">
        <v>85452</v>
      </c>
      <c r="L555" t="n">
        <v>213468</v>
      </c>
      <c r="M555" t="n">
        <v>271562</v>
      </c>
      <c r="N555" t="n">
        <v>219405</v>
      </c>
      <c r="O555" t="n">
        <v>41123</v>
      </c>
      <c r="P555" t="n">
        <v>830</v>
      </c>
    </row>
    <row r="556">
      <c r="A556" t="inlineStr">
        <is>
          <t>DL</t>
        </is>
      </c>
      <c r="B556" t="n">
        <v>2019</v>
      </c>
      <c r="C556" t="n">
        <v>6</v>
      </c>
      <c r="D556" t="n">
        <v>87350</v>
      </c>
      <c r="E556" t="n">
        <v>167</v>
      </c>
      <c r="F556" t="n">
        <v>338</v>
      </c>
      <c r="G556" t="n">
        <v>86845</v>
      </c>
      <c r="H556" t="n">
        <v>69767</v>
      </c>
      <c r="I556" t="n">
        <v>576364</v>
      </c>
      <c r="J556" t="n">
        <v>1645912.999999997</v>
      </c>
      <c r="K556" t="n">
        <v>87272</v>
      </c>
      <c r="L556" t="n">
        <v>385251</v>
      </c>
      <c r="M556" t="n">
        <v>401619</v>
      </c>
      <c r="N556" t="n">
        <v>316159</v>
      </c>
      <c r="O556" t="n">
        <v>71945</v>
      </c>
      <c r="P556" t="n">
        <v>1308</v>
      </c>
    </row>
    <row r="557">
      <c r="A557" t="inlineStr">
        <is>
          <t>DL</t>
        </is>
      </c>
      <c r="B557" t="n">
        <v>2019</v>
      </c>
      <c r="C557" t="n">
        <v>7</v>
      </c>
      <c r="D557" t="n">
        <v>90812</v>
      </c>
      <c r="E557" t="n">
        <v>355</v>
      </c>
      <c r="F557" t="n">
        <v>358</v>
      </c>
      <c r="G557" t="n">
        <v>90099</v>
      </c>
      <c r="H557" t="n">
        <v>73407</v>
      </c>
      <c r="I557" t="n">
        <v>687820</v>
      </c>
      <c r="J557" t="n">
        <v>1685771.199999995</v>
      </c>
      <c r="K557" t="n">
        <v>90752</v>
      </c>
      <c r="L557" t="n">
        <v>445775</v>
      </c>
      <c r="M557" t="n">
        <v>491239</v>
      </c>
      <c r="N557" t="n">
        <v>350310</v>
      </c>
      <c r="O557" t="n">
        <v>88232</v>
      </c>
      <c r="P557" t="n">
        <v>842</v>
      </c>
    </row>
    <row r="558">
      <c r="A558" t="inlineStr">
        <is>
          <t>DL</t>
        </is>
      </c>
      <c r="B558" t="n">
        <v>2019</v>
      </c>
      <c r="C558" t="n">
        <v>8</v>
      </c>
      <c r="D558" t="n">
        <v>91278</v>
      </c>
      <c r="E558" t="n">
        <v>216</v>
      </c>
      <c r="F558" t="n">
        <v>224</v>
      </c>
      <c r="G558" t="n">
        <v>90838</v>
      </c>
      <c r="H558" t="n">
        <v>75931</v>
      </c>
      <c r="I558" t="n">
        <v>334633</v>
      </c>
      <c r="J558" t="n">
        <v>1712844.099999995</v>
      </c>
      <c r="K558" t="n">
        <v>91203</v>
      </c>
      <c r="L558" t="n">
        <v>307054</v>
      </c>
      <c r="M558" t="n">
        <v>397448</v>
      </c>
      <c r="N558" t="n">
        <v>306731</v>
      </c>
      <c r="O558" t="n">
        <v>49337</v>
      </c>
      <c r="P558" t="n">
        <v>1139</v>
      </c>
    </row>
    <row r="559">
      <c r="A559" t="inlineStr">
        <is>
          <t>DL</t>
        </is>
      </c>
      <c r="B559" t="n">
        <v>2019</v>
      </c>
      <c r="C559" t="n">
        <v>9</v>
      </c>
      <c r="D559" t="n">
        <v>81745</v>
      </c>
      <c r="E559" t="n">
        <v>407</v>
      </c>
      <c r="F559" t="n">
        <v>184</v>
      </c>
      <c r="G559" t="n">
        <v>81154</v>
      </c>
      <c r="H559" t="n">
        <v>72447</v>
      </c>
      <c r="I559" t="n">
        <v>-160577</v>
      </c>
      <c r="J559" t="n">
        <v>1419458.099999997</v>
      </c>
      <c r="K559" t="n">
        <v>81693</v>
      </c>
      <c r="L559" t="n">
        <v>137960</v>
      </c>
      <c r="M559" t="n">
        <v>213524</v>
      </c>
      <c r="N559" t="n">
        <v>168718</v>
      </c>
      <c r="O559" t="n">
        <v>30851</v>
      </c>
      <c r="P559" t="n">
        <v>348</v>
      </c>
    </row>
    <row r="560">
      <c r="A560" t="inlineStr">
        <is>
          <t>DL</t>
        </is>
      </c>
      <c r="B560" t="n">
        <v>2019</v>
      </c>
      <c r="C560" t="n">
        <v>10</v>
      </c>
      <c r="D560" t="n">
        <v>86322</v>
      </c>
      <c r="E560" t="n">
        <v>10</v>
      </c>
      <c r="F560" t="n">
        <v>133</v>
      </c>
      <c r="G560" t="n">
        <v>86179</v>
      </c>
      <c r="H560" t="n">
        <v>74751</v>
      </c>
      <c r="I560" t="n">
        <v>-47703</v>
      </c>
      <c r="J560" t="n">
        <v>1563244.79999999</v>
      </c>
      <c r="K560" t="n">
        <v>86261</v>
      </c>
      <c r="L560" t="n">
        <v>156281</v>
      </c>
      <c r="M560" t="n">
        <v>237795</v>
      </c>
      <c r="N560" t="n">
        <v>191169</v>
      </c>
      <c r="O560" t="n">
        <v>20956</v>
      </c>
      <c r="P560" t="n">
        <v>917</v>
      </c>
    </row>
    <row r="561">
      <c r="A561" t="inlineStr">
        <is>
          <t>DL</t>
        </is>
      </c>
      <c r="B561" t="n">
        <v>2019</v>
      </c>
      <c r="C561" t="n">
        <v>11</v>
      </c>
      <c r="D561" t="n">
        <v>80046</v>
      </c>
      <c r="E561" t="n">
        <v>57</v>
      </c>
      <c r="F561" t="n">
        <v>69</v>
      </c>
      <c r="G561" t="n">
        <v>79920</v>
      </c>
      <c r="H561" t="n">
        <v>71703</v>
      </c>
      <c r="I561" t="n">
        <v>-260758</v>
      </c>
      <c r="J561" t="n">
        <v>1590250.099999995</v>
      </c>
      <c r="K561" t="n">
        <v>79877</v>
      </c>
      <c r="L561" t="n">
        <v>127332</v>
      </c>
      <c r="M561" t="n">
        <v>187728</v>
      </c>
      <c r="N561" t="n">
        <v>135397</v>
      </c>
      <c r="O561" t="n">
        <v>33261</v>
      </c>
      <c r="P561" t="n">
        <v>329</v>
      </c>
    </row>
    <row r="562">
      <c r="A562" t="inlineStr">
        <is>
          <t>DL</t>
        </is>
      </c>
      <c r="B562" t="n">
        <v>2019</v>
      </c>
      <c r="C562" t="n">
        <v>12</v>
      </c>
      <c r="D562" t="n">
        <v>81524</v>
      </c>
      <c r="E562" t="n">
        <v>26</v>
      </c>
      <c r="F562" t="n">
        <v>93</v>
      </c>
      <c r="G562" t="n">
        <v>81405</v>
      </c>
      <c r="H562" t="n">
        <v>68961</v>
      </c>
      <c r="I562" t="n">
        <v>15921</v>
      </c>
      <c r="J562" t="n">
        <v>1723344.599999984</v>
      </c>
      <c r="K562" t="n">
        <v>81143</v>
      </c>
      <c r="L562" t="n">
        <v>215545</v>
      </c>
      <c r="M562" t="n">
        <v>257675</v>
      </c>
      <c r="N562" t="n">
        <v>217742</v>
      </c>
      <c r="O562" t="n">
        <v>43330</v>
      </c>
      <c r="P562" t="n">
        <v>436</v>
      </c>
    </row>
    <row r="563">
      <c r="A563" t="inlineStr">
        <is>
          <t>DL</t>
        </is>
      </c>
      <c r="B563" t="n">
        <v>2020</v>
      </c>
      <c r="C563" t="n">
        <v>1</v>
      </c>
      <c r="D563" t="n">
        <v>80067</v>
      </c>
      <c r="E563" t="n">
        <v>41</v>
      </c>
      <c r="F563" t="n">
        <v>98</v>
      </c>
      <c r="G563" t="n">
        <v>79928</v>
      </c>
      <c r="H563" t="n">
        <v>71469</v>
      </c>
      <c r="I563" t="n">
        <v>-353130</v>
      </c>
      <c r="J563" t="n">
        <v>1713614.399999994</v>
      </c>
      <c r="K563" t="n">
        <v>79951</v>
      </c>
      <c r="L563" t="n">
        <v>119258</v>
      </c>
      <c r="M563" t="n">
        <v>194011</v>
      </c>
      <c r="N563" t="n">
        <v>140998</v>
      </c>
      <c r="O563" t="n">
        <v>45688</v>
      </c>
      <c r="P563" t="n">
        <v>643</v>
      </c>
    </row>
    <row r="564">
      <c r="A564" t="inlineStr">
        <is>
          <t>DL</t>
        </is>
      </c>
      <c r="B564" t="n">
        <v>2020</v>
      </c>
      <c r="C564" t="n">
        <v>2</v>
      </c>
      <c r="D564" t="n">
        <v>75446</v>
      </c>
      <c r="E564" t="n">
        <v>18</v>
      </c>
      <c r="F564" t="n">
        <v>90</v>
      </c>
      <c r="G564" t="n">
        <v>75338</v>
      </c>
      <c r="H564" t="n">
        <v>65460</v>
      </c>
      <c r="I564" t="n">
        <v>-87724</v>
      </c>
      <c r="J564" t="n">
        <v>1593835.399999995</v>
      </c>
      <c r="K564" t="n">
        <v>75361</v>
      </c>
      <c r="L564" t="n">
        <v>249693</v>
      </c>
      <c r="M564" t="n">
        <v>210382</v>
      </c>
      <c r="N564" t="n">
        <v>173368</v>
      </c>
      <c r="O564" t="n">
        <v>43191</v>
      </c>
      <c r="P564" t="n">
        <v>301</v>
      </c>
    </row>
    <row r="565">
      <c r="A565" t="inlineStr">
        <is>
          <t>DL</t>
        </is>
      </c>
      <c r="B565" t="n">
        <v>2020</v>
      </c>
      <c r="C565" t="n">
        <v>3</v>
      </c>
      <c r="D565" t="n">
        <v>86291</v>
      </c>
      <c r="E565" t="n">
        <v>19657</v>
      </c>
      <c r="F565" t="n">
        <v>95</v>
      </c>
      <c r="G565" t="n">
        <v>66539</v>
      </c>
      <c r="H565" t="n">
        <v>61232</v>
      </c>
      <c r="I565" t="n">
        <v>-491070</v>
      </c>
      <c r="J565" t="n">
        <v>1784906.899999997</v>
      </c>
      <c r="K565" t="n">
        <v>85695</v>
      </c>
      <c r="L565" t="n">
        <v>66456</v>
      </c>
      <c r="M565" t="n">
        <v>186205</v>
      </c>
      <c r="N565" t="n">
        <v>77168</v>
      </c>
      <c r="O565" t="n">
        <v>9428</v>
      </c>
      <c r="P565" t="n">
        <v>299</v>
      </c>
    </row>
    <row r="566">
      <c r="A566" t="inlineStr">
        <is>
          <t>DL</t>
        </is>
      </c>
      <c r="B566" t="n">
        <v>2020</v>
      </c>
      <c r="C566" t="n">
        <v>4</v>
      </c>
      <c r="D566" t="n">
        <v>26002</v>
      </c>
      <c r="E566" t="n">
        <v>6894</v>
      </c>
      <c r="F566" t="n">
        <v>16</v>
      </c>
      <c r="G566" t="n">
        <v>19092</v>
      </c>
      <c r="H566" t="n">
        <v>17569</v>
      </c>
      <c r="I566" t="n">
        <v>-95062</v>
      </c>
      <c r="J566" t="n">
        <v>275396.8000000004</v>
      </c>
      <c r="K566" t="n">
        <v>25937</v>
      </c>
      <c r="L566" t="n">
        <v>6069</v>
      </c>
      <c r="M566" t="n">
        <v>63656</v>
      </c>
      <c r="N566" t="n">
        <v>18480</v>
      </c>
      <c r="O566" t="n">
        <v>1124</v>
      </c>
      <c r="P566" t="n">
        <v>104</v>
      </c>
    </row>
    <row r="567">
      <c r="A567" t="inlineStr">
        <is>
          <t>DL</t>
        </is>
      </c>
      <c r="B567" t="n">
        <v>2020</v>
      </c>
      <c r="C567" t="n">
        <v>5</v>
      </c>
      <c r="D567" t="n">
        <v>16952</v>
      </c>
      <c r="E567" t="n">
        <v>23</v>
      </c>
      <c r="F567" t="n">
        <v>14</v>
      </c>
      <c r="G567" t="n">
        <v>16915</v>
      </c>
      <c r="H567" t="n">
        <v>16079</v>
      </c>
      <c r="I567" t="n">
        <v>-105094</v>
      </c>
      <c r="J567" t="n">
        <v>162082.8000000005</v>
      </c>
      <c r="K567" t="n">
        <v>16948</v>
      </c>
      <c r="L567" t="n">
        <v>3477</v>
      </c>
      <c r="M567" t="n">
        <v>32267</v>
      </c>
      <c r="N567" t="n">
        <v>7734</v>
      </c>
      <c r="O567" t="n">
        <v>1244</v>
      </c>
      <c r="P567" t="n">
        <v>0</v>
      </c>
    </row>
    <row r="568">
      <c r="A568" t="inlineStr">
        <is>
          <t>DL</t>
        </is>
      </c>
      <c r="B568" t="n">
        <v>2020</v>
      </c>
      <c r="C568" t="n">
        <v>6</v>
      </c>
      <c r="D568" t="n">
        <v>21865</v>
      </c>
      <c r="E568" t="n">
        <v>10</v>
      </c>
      <c r="F568" t="n">
        <v>29</v>
      </c>
      <c r="G568" t="n">
        <v>21826</v>
      </c>
      <c r="H568" t="n">
        <v>20661</v>
      </c>
      <c r="I568" t="n">
        <v>-121686</v>
      </c>
      <c r="J568" t="n">
        <v>211806.3</v>
      </c>
      <c r="K568" t="n">
        <v>21861</v>
      </c>
      <c r="L568" t="n">
        <v>9286</v>
      </c>
      <c r="M568" t="n">
        <v>38118</v>
      </c>
      <c r="N568" t="n">
        <v>11896</v>
      </c>
      <c r="O568" t="n">
        <v>3068</v>
      </c>
      <c r="P568" t="n">
        <v>368</v>
      </c>
    </row>
    <row r="569">
      <c r="A569" t="inlineStr">
        <is>
          <t>DL</t>
        </is>
      </c>
      <c r="B569" t="n">
        <v>2020</v>
      </c>
      <c r="C569" t="n">
        <v>7</v>
      </c>
      <c r="D569" t="n">
        <v>37269</v>
      </c>
      <c r="E569" t="n">
        <v>479</v>
      </c>
      <c r="F569" t="n">
        <v>146</v>
      </c>
      <c r="G569" t="n">
        <v>36644</v>
      </c>
      <c r="H569" t="n">
        <v>33241</v>
      </c>
      <c r="I569" t="n">
        <v>-35159</v>
      </c>
      <c r="J569" t="n">
        <v>329512.2000000001</v>
      </c>
      <c r="K569" t="n">
        <v>37235</v>
      </c>
      <c r="L569" t="n">
        <v>35357</v>
      </c>
      <c r="M569" t="n">
        <v>106251</v>
      </c>
      <c r="N569" t="n">
        <v>43919</v>
      </c>
      <c r="O569" t="n">
        <v>9326</v>
      </c>
      <c r="P569" t="n">
        <v>1144</v>
      </c>
    </row>
    <row r="570">
      <c r="A570" t="inlineStr">
        <is>
          <t>DL</t>
        </is>
      </c>
      <c r="B570" t="n">
        <v>2020</v>
      </c>
      <c r="C570" t="n">
        <v>8</v>
      </c>
      <c r="D570" t="n">
        <v>47458</v>
      </c>
      <c r="E570" t="n">
        <v>114</v>
      </c>
      <c r="F570" t="n">
        <v>122</v>
      </c>
      <c r="G570" t="n">
        <v>47222</v>
      </c>
      <c r="H570" t="n">
        <v>43191</v>
      </c>
      <c r="I570" t="n">
        <v>-148561</v>
      </c>
      <c r="J570" t="n">
        <v>537812.7999999989</v>
      </c>
      <c r="K570" t="n">
        <v>47425</v>
      </c>
      <c r="L570" t="n">
        <v>39943</v>
      </c>
      <c r="M570" t="n">
        <v>110687</v>
      </c>
      <c r="N570" t="n">
        <v>54678</v>
      </c>
      <c r="O570" t="n">
        <v>14469</v>
      </c>
      <c r="P570" t="n">
        <v>1255</v>
      </c>
    </row>
    <row r="571">
      <c r="A571" t="inlineStr">
        <is>
          <t>DL</t>
        </is>
      </c>
      <c r="B571" t="n">
        <v>2020</v>
      </c>
      <c r="C571" t="n">
        <v>9</v>
      </c>
      <c r="D571" t="n">
        <v>44323</v>
      </c>
      <c r="E571" t="n">
        <v>76</v>
      </c>
      <c r="F571" t="n">
        <v>45</v>
      </c>
      <c r="G571" t="n">
        <v>44202</v>
      </c>
      <c r="H571" t="n">
        <v>42157</v>
      </c>
      <c r="I571" t="n">
        <v>-302670</v>
      </c>
      <c r="J571" t="n">
        <v>557926.7000000009</v>
      </c>
      <c r="K571" t="n">
        <v>44271</v>
      </c>
      <c r="L571" t="n">
        <v>23753</v>
      </c>
      <c r="M571" t="n">
        <v>70385</v>
      </c>
      <c r="N571" t="n">
        <v>21053</v>
      </c>
      <c r="O571" t="n">
        <v>7889</v>
      </c>
      <c r="P571" t="n">
        <v>915</v>
      </c>
    </row>
    <row r="572">
      <c r="A572" t="inlineStr">
        <is>
          <t>DL</t>
        </is>
      </c>
      <c r="B572" t="n">
        <v>2020</v>
      </c>
      <c r="C572" t="n">
        <v>10</v>
      </c>
      <c r="D572" t="n">
        <v>46775</v>
      </c>
      <c r="E572" t="n">
        <v>46</v>
      </c>
      <c r="F572" t="n">
        <v>72</v>
      </c>
      <c r="G572" t="n">
        <v>46657</v>
      </c>
      <c r="H572" t="n">
        <v>43755</v>
      </c>
      <c r="I572" t="n">
        <v>-284703</v>
      </c>
      <c r="J572" t="n">
        <v>663711.0000000021</v>
      </c>
      <c r="K572" t="n">
        <v>46741</v>
      </c>
      <c r="L572" t="n">
        <v>26416</v>
      </c>
      <c r="M572" t="n">
        <v>89220</v>
      </c>
      <c r="N572" t="n">
        <v>37323</v>
      </c>
      <c r="O572" t="n">
        <v>11329</v>
      </c>
      <c r="P572" t="n">
        <v>680</v>
      </c>
    </row>
    <row r="573">
      <c r="A573" t="inlineStr">
        <is>
          <t>DL</t>
        </is>
      </c>
      <c r="B573" t="n">
        <v>2020</v>
      </c>
      <c r="C573" t="n">
        <v>11</v>
      </c>
      <c r="D573" t="n">
        <v>49275</v>
      </c>
      <c r="E573" t="n">
        <v>845</v>
      </c>
      <c r="F573" t="n">
        <v>38</v>
      </c>
      <c r="G573" t="n">
        <v>48392</v>
      </c>
      <c r="H573" t="n">
        <v>44440</v>
      </c>
      <c r="I573" t="n">
        <v>-166883</v>
      </c>
      <c r="J573" t="n">
        <v>618119.4000000003</v>
      </c>
      <c r="K573" t="n">
        <v>49073</v>
      </c>
      <c r="L573" t="n">
        <v>33390</v>
      </c>
      <c r="M573" t="n">
        <v>101901</v>
      </c>
      <c r="N573" t="n">
        <v>58217</v>
      </c>
      <c r="O573" t="n">
        <v>5594</v>
      </c>
      <c r="P573" t="n">
        <v>1263</v>
      </c>
    </row>
    <row r="574">
      <c r="A574" t="inlineStr">
        <is>
          <t>DL</t>
        </is>
      </c>
      <c r="B574" t="n">
        <v>2020</v>
      </c>
      <c r="C574" t="n">
        <v>12</v>
      </c>
      <c r="D574" t="n">
        <v>49378</v>
      </c>
      <c r="E574" t="n">
        <v>566</v>
      </c>
      <c r="F574" t="n">
        <v>49</v>
      </c>
      <c r="G574" t="n">
        <v>48763</v>
      </c>
      <c r="H574" t="n">
        <v>42344</v>
      </c>
      <c r="I574" t="n">
        <v>76609</v>
      </c>
      <c r="J574" t="n">
        <v>518221.700000004</v>
      </c>
      <c r="K574" t="n">
        <v>49137</v>
      </c>
      <c r="L574" t="n">
        <v>55346</v>
      </c>
      <c r="M574" t="n">
        <v>166322</v>
      </c>
      <c r="N574" t="n">
        <v>101411</v>
      </c>
      <c r="O574" t="n">
        <v>18908</v>
      </c>
      <c r="P574" t="n">
        <v>714</v>
      </c>
    </row>
    <row r="575">
      <c r="A575" t="inlineStr">
        <is>
          <t>DL</t>
        </is>
      </c>
      <c r="B575" t="n">
        <v>2021</v>
      </c>
      <c r="C575" t="n">
        <v>1</v>
      </c>
      <c r="D575" t="n">
        <v>48239</v>
      </c>
      <c r="E575" t="n">
        <v>92</v>
      </c>
      <c r="F575" t="n">
        <v>47</v>
      </c>
      <c r="G575" t="n">
        <v>48100</v>
      </c>
      <c r="H575" t="n">
        <v>43753</v>
      </c>
      <c r="I575" t="n">
        <v>-235640</v>
      </c>
      <c r="J575" t="n">
        <v>829125.0000000017</v>
      </c>
      <c r="K575" t="n">
        <v>48165</v>
      </c>
      <c r="L575" t="n">
        <v>59806</v>
      </c>
      <c r="M575" t="n">
        <v>137825</v>
      </c>
      <c r="N575" t="n">
        <v>80371</v>
      </c>
      <c r="O575" t="n">
        <v>9699</v>
      </c>
      <c r="P575" t="n">
        <v>660</v>
      </c>
    </row>
    <row r="576">
      <c r="A576" t="inlineStr">
        <is>
          <t>DL</t>
        </is>
      </c>
      <c r="B576" t="n">
        <v>2021</v>
      </c>
      <c r="C576" t="n">
        <v>2</v>
      </c>
      <c r="D576" t="n">
        <v>43738</v>
      </c>
      <c r="E576" t="n">
        <v>868</v>
      </c>
      <c r="F576" t="n">
        <v>58</v>
      </c>
      <c r="G576" t="n">
        <v>42812</v>
      </c>
      <c r="H576" t="n">
        <v>38241</v>
      </c>
      <c r="I576" t="n">
        <v>-145273</v>
      </c>
      <c r="J576" t="n">
        <v>798156.8000000017</v>
      </c>
      <c r="K576" t="n">
        <v>43652</v>
      </c>
      <c r="L576" t="n">
        <v>44970</v>
      </c>
      <c r="M576" t="n">
        <v>130604</v>
      </c>
      <c r="N576" t="n">
        <v>74044</v>
      </c>
      <c r="O576" t="n">
        <v>41197</v>
      </c>
      <c r="P576" t="n">
        <v>806</v>
      </c>
    </row>
    <row r="577">
      <c r="A577" t="inlineStr">
        <is>
          <t>DL</t>
        </is>
      </c>
      <c r="B577" t="n">
        <v>2021</v>
      </c>
      <c r="C577" t="n">
        <v>3</v>
      </c>
      <c r="D577" t="n">
        <v>55856</v>
      </c>
      <c r="E577" t="n">
        <v>150</v>
      </c>
      <c r="F577" t="n">
        <v>56</v>
      </c>
      <c r="G577" t="n">
        <v>55650</v>
      </c>
      <c r="H577" t="n">
        <v>51620</v>
      </c>
      <c r="I577" t="n">
        <v>-387837</v>
      </c>
      <c r="J577" t="n">
        <v>1064968.100000003</v>
      </c>
      <c r="K577" t="n">
        <v>55802</v>
      </c>
      <c r="L577" t="n">
        <v>43309</v>
      </c>
      <c r="M577" t="n">
        <v>153374</v>
      </c>
      <c r="N577" t="n">
        <v>54197</v>
      </c>
      <c r="O577" t="n">
        <v>8956</v>
      </c>
      <c r="P577" t="n">
        <v>837</v>
      </c>
    </row>
    <row r="578">
      <c r="A578" t="inlineStr">
        <is>
          <t>DL</t>
        </is>
      </c>
      <c r="B578" t="n">
        <v>2021</v>
      </c>
      <c r="C578" t="n">
        <v>4</v>
      </c>
      <c r="D578" t="n">
        <v>55500</v>
      </c>
      <c r="E578" t="n">
        <v>347</v>
      </c>
      <c r="F578" t="n">
        <v>81</v>
      </c>
      <c r="G578" t="n">
        <v>55072</v>
      </c>
      <c r="H578" t="n">
        <v>50277</v>
      </c>
      <c r="I578" t="n">
        <v>-305756</v>
      </c>
      <c r="J578" t="n">
        <v>1083457.499999998</v>
      </c>
      <c r="K578" t="n">
        <v>55420</v>
      </c>
      <c r="L578" t="n">
        <v>74832</v>
      </c>
      <c r="M578" t="n">
        <v>188724</v>
      </c>
      <c r="N578" t="n">
        <v>65507</v>
      </c>
      <c r="O578" t="n">
        <v>25813</v>
      </c>
      <c r="P578" t="n">
        <v>3823</v>
      </c>
    </row>
    <row r="579">
      <c r="A579" t="inlineStr">
        <is>
          <t>DL</t>
        </is>
      </c>
      <c r="B579" t="n">
        <v>2021</v>
      </c>
      <c r="C579" t="n">
        <v>5</v>
      </c>
      <c r="D579" t="n">
        <v>61115</v>
      </c>
      <c r="E579" t="n">
        <v>7</v>
      </c>
      <c r="F579" t="n">
        <v>100</v>
      </c>
      <c r="G579" t="n">
        <v>61008</v>
      </c>
      <c r="H579" t="n">
        <v>55158</v>
      </c>
      <c r="I579" t="n">
        <v>-220593</v>
      </c>
      <c r="J579" t="n">
        <v>1111023.400000002</v>
      </c>
      <c r="K579" t="n">
        <v>60818</v>
      </c>
      <c r="L579" t="n">
        <v>82505</v>
      </c>
      <c r="M579" t="n">
        <v>205804</v>
      </c>
      <c r="N579" t="n">
        <v>69391</v>
      </c>
      <c r="O579" t="n">
        <v>21147</v>
      </c>
      <c r="P579" t="n">
        <v>1434</v>
      </c>
    </row>
    <row r="580">
      <c r="A580" t="inlineStr">
        <is>
          <t>DL</t>
        </is>
      </c>
      <c r="B580" t="n">
        <v>2021</v>
      </c>
      <c r="C580" t="n">
        <v>6</v>
      </c>
      <c r="D580" t="n">
        <v>65882</v>
      </c>
      <c r="E580" t="n">
        <v>12</v>
      </c>
      <c r="F580" t="n">
        <v>162</v>
      </c>
      <c r="G580" t="n">
        <v>65708</v>
      </c>
      <c r="H580" t="n">
        <v>57147</v>
      </c>
      <c r="I580" t="n">
        <v>-9454</v>
      </c>
      <c r="J580" t="n">
        <v>1197632.600000006</v>
      </c>
      <c r="K580" t="n">
        <v>65666</v>
      </c>
      <c r="L580" t="n">
        <v>122192</v>
      </c>
      <c r="M580" t="n">
        <v>283148</v>
      </c>
      <c r="N580" t="n">
        <v>100763</v>
      </c>
      <c r="O580" t="n">
        <v>28802</v>
      </c>
      <c r="P580" t="n">
        <v>1421</v>
      </c>
    </row>
    <row r="581">
      <c r="A581" t="inlineStr">
        <is>
          <t>DL</t>
        </is>
      </c>
      <c r="B581" t="n">
        <v>2021</v>
      </c>
      <c r="C581" t="n">
        <v>7</v>
      </c>
      <c r="D581" t="n">
        <v>70002</v>
      </c>
      <c r="E581" t="n">
        <v>63</v>
      </c>
      <c r="F581" t="n">
        <v>247</v>
      </c>
      <c r="G581" t="n">
        <v>69692</v>
      </c>
      <c r="H581" t="n">
        <v>59419</v>
      </c>
      <c r="I581" t="n">
        <v>122188</v>
      </c>
      <c r="J581" t="n">
        <v>1276889.700000004</v>
      </c>
      <c r="K581" t="n">
        <v>69814</v>
      </c>
      <c r="L581" t="n">
        <v>168114</v>
      </c>
      <c r="M581" t="n">
        <v>360250</v>
      </c>
      <c r="N581" t="n">
        <v>117181</v>
      </c>
      <c r="O581" t="n">
        <v>45384</v>
      </c>
      <c r="P581" t="n">
        <v>3041</v>
      </c>
    </row>
    <row r="582">
      <c r="A582" t="inlineStr">
        <is>
          <t>DL</t>
        </is>
      </c>
      <c r="B582" t="n">
        <v>2021</v>
      </c>
      <c r="C582" t="n">
        <v>8</v>
      </c>
      <c r="D582" t="n">
        <v>70653</v>
      </c>
      <c r="E582" t="n">
        <v>113</v>
      </c>
      <c r="F582" t="n">
        <v>180</v>
      </c>
      <c r="G582" t="n">
        <v>70360</v>
      </c>
      <c r="H582" t="n">
        <v>60794</v>
      </c>
      <c r="I582" t="n">
        <v>41313</v>
      </c>
      <c r="J582" t="n">
        <v>1239234</v>
      </c>
      <c r="K582" t="n">
        <v>70501</v>
      </c>
      <c r="L582" t="n">
        <v>144003</v>
      </c>
      <c r="M582" t="n">
        <v>325664</v>
      </c>
      <c r="N582" t="n">
        <v>109815</v>
      </c>
      <c r="O582" t="n">
        <v>42055</v>
      </c>
      <c r="P582" t="n">
        <v>1534</v>
      </c>
    </row>
    <row r="583">
      <c r="A583" t="inlineStr">
        <is>
          <t>DL</t>
        </is>
      </c>
      <c r="B583" t="n">
        <v>2021</v>
      </c>
      <c r="C583" t="n">
        <v>9</v>
      </c>
      <c r="D583" t="n">
        <v>67597</v>
      </c>
      <c r="E583" t="n">
        <v>295</v>
      </c>
      <c r="F583" t="n">
        <v>97</v>
      </c>
      <c r="G583" t="n">
        <v>67205</v>
      </c>
      <c r="H583" t="n">
        <v>60559</v>
      </c>
      <c r="I583" t="n">
        <v>-107445</v>
      </c>
      <c r="J583" t="n">
        <v>1032167.500000003</v>
      </c>
      <c r="K583" t="n">
        <v>67308</v>
      </c>
      <c r="L583" t="n">
        <v>93466</v>
      </c>
      <c r="M583" t="n">
        <v>235617</v>
      </c>
      <c r="N583" t="n">
        <v>74369</v>
      </c>
      <c r="O583" t="n">
        <v>25196</v>
      </c>
      <c r="P583" t="n">
        <v>1744</v>
      </c>
    </row>
    <row r="584">
      <c r="A584" t="inlineStr">
        <is>
          <t>DL</t>
        </is>
      </c>
      <c r="B584" t="n">
        <v>2021</v>
      </c>
      <c r="C584" t="n">
        <v>10</v>
      </c>
      <c r="D584" t="n">
        <v>70518</v>
      </c>
      <c r="E584" t="n">
        <v>35</v>
      </c>
      <c r="F584" t="n">
        <v>86</v>
      </c>
      <c r="G584" t="n">
        <v>70397</v>
      </c>
      <c r="H584" t="n">
        <v>62391</v>
      </c>
      <c r="I584" t="n">
        <v>-58900</v>
      </c>
      <c r="J584" t="n">
        <v>1148726.400000002</v>
      </c>
      <c r="K584" t="n">
        <v>70480</v>
      </c>
      <c r="L584" t="n">
        <v>120798</v>
      </c>
      <c r="M584" t="n">
        <v>265897</v>
      </c>
      <c r="N584" t="n">
        <v>92386</v>
      </c>
      <c r="O584" t="n">
        <v>16149</v>
      </c>
      <c r="P584" t="n">
        <v>1439</v>
      </c>
    </row>
    <row r="585">
      <c r="A585" t="inlineStr">
        <is>
          <t>DL</t>
        </is>
      </c>
      <c r="B585" t="n">
        <v>2021</v>
      </c>
      <c r="C585" t="n">
        <v>11</v>
      </c>
      <c r="D585" t="n">
        <v>70361</v>
      </c>
      <c r="E585" t="n">
        <v>14</v>
      </c>
      <c r="F585" t="n">
        <v>58</v>
      </c>
      <c r="G585" t="n">
        <v>70289</v>
      </c>
      <c r="H585" t="n">
        <v>63271</v>
      </c>
      <c r="I585" t="n">
        <v>-173167</v>
      </c>
      <c r="J585" t="n">
        <v>1273029.600000001</v>
      </c>
      <c r="K585" t="n">
        <v>70207</v>
      </c>
      <c r="L585" t="n">
        <v>97761</v>
      </c>
      <c r="M585" t="n">
        <v>236843</v>
      </c>
      <c r="N585" t="n">
        <v>62711</v>
      </c>
      <c r="O585" t="n">
        <v>12212</v>
      </c>
      <c r="P585" t="n">
        <v>5980</v>
      </c>
    </row>
    <row r="586">
      <c r="A586" t="inlineStr">
        <is>
          <t>DL</t>
        </is>
      </c>
      <c r="B586" t="n">
        <v>2021</v>
      </c>
      <c r="C586" t="n">
        <v>12</v>
      </c>
      <c r="D586" t="n">
        <v>68537</v>
      </c>
      <c r="E586" t="n">
        <v>1635</v>
      </c>
      <c r="F586" t="n">
        <v>147</v>
      </c>
      <c r="G586" t="n">
        <v>66755</v>
      </c>
      <c r="H586" t="n">
        <v>54457</v>
      </c>
      <c r="I586" t="n">
        <v>341104</v>
      </c>
      <c r="J586" t="n">
        <v>1372885.600000003</v>
      </c>
      <c r="K586" t="n">
        <v>68265</v>
      </c>
      <c r="L586" t="n">
        <v>239863</v>
      </c>
      <c r="M586" t="n">
        <v>444351</v>
      </c>
      <c r="N586" t="n">
        <v>137941</v>
      </c>
      <c r="O586" t="n">
        <v>76621</v>
      </c>
      <c r="P586" t="n">
        <v>1230</v>
      </c>
    </row>
    <row r="587">
      <c r="A587" t="inlineStr">
        <is>
          <t>DL</t>
        </is>
      </c>
      <c r="B587" t="n">
        <v>2022</v>
      </c>
      <c r="C587" t="n">
        <v>1</v>
      </c>
      <c r="D587" t="n">
        <v>68963</v>
      </c>
      <c r="E587" t="n">
        <v>2237</v>
      </c>
      <c r="F587" t="n">
        <v>153</v>
      </c>
      <c r="G587" t="n">
        <v>66573</v>
      </c>
      <c r="H587" t="n">
        <v>56793</v>
      </c>
      <c r="I587" t="n">
        <v>-15211</v>
      </c>
      <c r="J587" t="n">
        <v>1419816.300000004</v>
      </c>
      <c r="K587" t="n">
        <v>68888</v>
      </c>
      <c r="L587" t="n">
        <v>150173</v>
      </c>
      <c r="M587" t="n">
        <v>338966</v>
      </c>
      <c r="N587" t="n">
        <v>105647</v>
      </c>
      <c r="O587" t="n">
        <v>35376</v>
      </c>
      <c r="P587" t="n">
        <v>657</v>
      </c>
    </row>
    <row r="588">
      <c r="A588" t="inlineStr">
        <is>
          <t>DL</t>
        </is>
      </c>
      <c r="B588" t="n">
        <v>2022</v>
      </c>
      <c r="C588" t="n">
        <v>2</v>
      </c>
      <c r="D588" t="n">
        <v>62755</v>
      </c>
      <c r="E588" t="n">
        <v>892</v>
      </c>
      <c r="F588" t="n">
        <v>60</v>
      </c>
      <c r="G588" t="n">
        <v>61803</v>
      </c>
      <c r="H588" t="n">
        <v>53459</v>
      </c>
      <c r="I588" t="n">
        <v>-62348</v>
      </c>
      <c r="J588" t="n">
        <v>1283496.799999987</v>
      </c>
      <c r="K588" t="n">
        <v>62720</v>
      </c>
      <c r="L588" t="n">
        <v>135440</v>
      </c>
      <c r="M588" t="n">
        <v>275837</v>
      </c>
      <c r="N588" t="n">
        <v>102150</v>
      </c>
      <c r="O588" t="n">
        <v>39896</v>
      </c>
      <c r="P588" t="n">
        <v>1023</v>
      </c>
    </row>
    <row r="589">
      <c r="A589" t="inlineStr">
        <is>
          <t>DL</t>
        </is>
      </c>
      <c r="B589" t="n">
        <v>2022</v>
      </c>
      <c r="C589" t="n">
        <v>3</v>
      </c>
      <c r="D589" t="n">
        <v>75366</v>
      </c>
      <c r="E589" t="n">
        <v>436</v>
      </c>
      <c r="F589" t="n">
        <v>142</v>
      </c>
      <c r="G589" t="n">
        <v>74788</v>
      </c>
      <c r="H589" t="n">
        <v>61092</v>
      </c>
      <c r="I589" t="n">
        <v>368647</v>
      </c>
      <c r="J589" t="n">
        <v>1447779.799999974</v>
      </c>
      <c r="K589" t="n">
        <v>75246</v>
      </c>
      <c r="L589" t="n">
        <v>293784</v>
      </c>
      <c r="M589" t="n">
        <v>461956</v>
      </c>
      <c r="N589" t="n">
        <v>176765</v>
      </c>
      <c r="O589" t="n">
        <v>46830</v>
      </c>
      <c r="P589" t="n">
        <v>845</v>
      </c>
    </row>
    <row r="590">
      <c r="A590" t="inlineStr">
        <is>
          <t>DL</t>
        </is>
      </c>
      <c r="B590" t="n">
        <v>2022</v>
      </c>
      <c r="C590" t="n">
        <v>4</v>
      </c>
      <c r="D590" t="n">
        <v>73076</v>
      </c>
      <c r="E590" t="n">
        <v>815</v>
      </c>
      <c r="F590" t="n">
        <v>152</v>
      </c>
      <c r="G590" t="n">
        <v>72109</v>
      </c>
      <c r="H590" t="n">
        <v>59220</v>
      </c>
      <c r="I590" t="n">
        <v>380153</v>
      </c>
      <c r="J590" t="n">
        <v>1334110.099999984</v>
      </c>
      <c r="K590" t="n">
        <v>72964</v>
      </c>
      <c r="L590" t="n">
        <v>265406</v>
      </c>
      <c r="M590" t="n">
        <v>480139</v>
      </c>
      <c r="N590" t="n">
        <v>156595</v>
      </c>
      <c r="O590" t="n">
        <v>30105</v>
      </c>
      <c r="P590" t="n">
        <v>408</v>
      </c>
    </row>
    <row r="591">
      <c r="A591" t="inlineStr">
        <is>
          <t>DL</t>
        </is>
      </c>
      <c r="B591" t="n">
        <v>2022</v>
      </c>
      <c r="C591" t="n">
        <v>5</v>
      </c>
      <c r="D591" t="n">
        <v>76300</v>
      </c>
      <c r="E591" t="n">
        <v>2227</v>
      </c>
      <c r="F591" t="n">
        <v>182</v>
      </c>
      <c r="G591" t="n">
        <v>73891</v>
      </c>
      <c r="H591" t="n">
        <v>61301</v>
      </c>
      <c r="I591" t="n">
        <v>344735</v>
      </c>
      <c r="J591" t="n">
        <v>1336829.599999988</v>
      </c>
      <c r="K591" t="n">
        <v>76117</v>
      </c>
      <c r="L591" t="n">
        <v>219326</v>
      </c>
      <c r="M591" t="n">
        <v>495171</v>
      </c>
      <c r="N591" t="n">
        <v>127169</v>
      </c>
      <c r="O591" t="n">
        <v>33599</v>
      </c>
      <c r="P591" t="n">
        <v>379</v>
      </c>
    </row>
    <row r="592">
      <c r="A592" t="inlineStr">
        <is>
          <t>DL</t>
        </is>
      </c>
      <c r="B592" t="n">
        <v>2022</v>
      </c>
      <c r="C592" t="n">
        <v>6</v>
      </c>
      <c r="D592" t="n">
        <v>76887</v>
      </c>
      <c r="E592" t="n">
        <v>2946</v>
      </c>
      <c r="F592" t="n">
        <v>197</v>
      </c>
      <c r="G592" t="n">
        <v>73744</v>
      </c>
      <c r="H592" t="n">
        <v>59281</v>
      </c>
      <c r="I592" t="n">
        <v>483551</v>
      </c>
      <c r="J592" t="n">
        <v>1420153.900000001</v>
      </c>
      <c r="K592" t="n">
        <v>76775</v>
      </c>
      <c r="L592" t="n">
        <v>297122</v>
      </c>
      <c r="M592" t="n">
        <v>548281</v>
      </c>
      <c r="N592" t="n">
        <v>169701</v>
      </c>
      <c r="O592" t="n">
        <v>43541</v>
      </c>
      <c r="P592" t="n">
        <v>859</v>
      </c>
    </row>
    <row r="593">
      <c r="A593" t="inlineStr">
        <is>
          <t>DL</t>
        </is>
      </c>
      <c r="B593" t="n">
        <v>2022</v>
      </c>
      <c r="C593" t="n">
        <v>7</v>
      </c>
      <c r="D593" t="n">
        <v>78767</v>
      </c>
      <c r="E593" t="n">
        <v>788</v>
      </c>
      <c r="F593" t="n">
        <v>177</v>
      </c>
      <c r="G593" t="n">
        <v>77802</v>
      </c>
      <c r="H593" t="n">
        <v>62689</v>
      </c>
      <c r="I593" t="n">
        <v>466163</v>
      </c>
      <c r="J593" t="n">
        <v>1397904.400000007</v>
      </c>
      <c r="K593" t="n">
        <v>78641</v>
      </c>
      <c r="L593" t="n">
        <v>311924</v>
      </c>
      <c r="M593" t="n">
        <v>563978</v>
      </c>
      <c r="N593" t="n">
        <v>149946</v>
      </c>
      <c r="O593" t="n">
        <v>42031</v>
      </c>
      <c r="P593" t="n">
        <v>851</v>
      </c>
    </row>
    <row r="594">
      <c r="A594" t="inlineStr">
        <is>
          <t>DL</t>
        </is>
      </c>
      <c r="B594" t="n">
        <v>2022</v>
      </c>
      <c r="C594" t="n">
        <v>8</v>
      </c>
      <c r="D594" t="n">
        <v>78673</v>
      </c>
      <c r="E594" t="n">
        <v>572</v>
      </c>
      <c r="F594" t="n">
        <v>192</v>
      </c>
      <c r="G594" t="n">
        <v>77909</v>
      </c>
      <c r="H594" t="n">
        <v>65572</v>
      </c>
      <c r="I594" t="n">
        <v>257954</v>
      </c>
      <c r="J594" t="n">
        <v>1368016.499999995</v>
      </c>
      <c r="K594" t="n">
        <v>78590</v>
      </c>
      <c r="L594" t="n">
        <v>221244</v>
      </c>
      <c r="M594" t="n">
        <v>464546</v>
      </c>
      <c r="N594" t="n">
        <v>169323</v>
      </c>
      <c r="O594" t="n">
        <v>45348</v>
      </c>
      <c r="P594" t="n">
        <v>647</v>
      </c>
    </row>
    <row r="595">
      <c r="A595" t="inlineStr">
        <is>
          <t>DL</t>
        </is>
      </c>
      <c r="B595" t="n">
        <v>2022</v>
      </c>
      <c r="C595" t="n">
        <v>9</v>
      </c>
      <c r="D595" t="n">
        <v>74760</v>
      </c>
      <c r="E595" t="n">
        <v>745</v>
      </c>
      <c r="F595" t="n">
        <v>97</v>
      </c>
      <c r="G595" t="n">
        <v>73918</v>
      </c>
      <c r="H595" t="n">
        <v>66539</v>
      </c>
      <c r="I595" t="n">
        <v>-257694</v>
      </c>
      <c r="J595" t="n">
        <v>1350767.5</v>
      </c>
      <c r="K595" t="n">
        <v>74481</v>
      </c>
      <c r="L595" t="n">
        <v>115674</v>
      </c>
      <c r="M595" t="n">
        <v>268859</v>
      </c>
      <c r="N595" t="n">
        <v>78531</v>
      </c>
      <c r="O595" t="n">
        <v>15414</v>
      </c>
      <c r="P595" t="n">
        <v>738</v>
      </c>
    </row>
    <row r="596">
      <c r="A596" t="inlineStr">
        <is>
          <t>DL</t>
        </is>
      </c>
      <c r="B596" t="n">
        <v>2022</v>
      </c>
      <c r="C596" t="n">
        <v>10</v>
      </c>
      <c r="D596" t="n">
        <v>75987</v>
      </c>
      <c r="E596" t="n">
        <v>325</v>
      </c>
      <c r="F596" t="n">
        <v>68</v>
      </c>
      <c r="G596" t="n">
        <v>75594</v>
      </c>
      <c r="H596" t="n">
        <v>67244</v>
      </c>
      <c r="I596" t="n">
        <v>-151660</v>
      </c>
      <c r="J596" t="n">
        <v>1406378.5</v>
      </c>
      <c r="K596" t="n">
        <v>75855</v>
      </c>
      <c r="L596" t="n">
        <v>122830</v>
      </c>
      <c r="M596" t="n">
        <v>316587</v>
      </c>
      <c r="N596" t="n">
        <v>87234</v>
      </c>
      <c r="O596" t="n">
        <v>10747</v>
      </c>
      <c r="P596" t="n">
        <v>885</v>
      </c>
    </row>
    <row r="597">
      <c r="A597" t="inlineStr">
        <is>
          <t>DL</t>
        </is>
      </c>
      <c r="B597" t="n">
        <v>2022</v>
      </c>
      <c r="C597" t="n">
        <v>11</v>
      </c>
      <c r="D597" t="n">
        <v>75867</v>
      </c>
      <c r="E597" t="n">
        <v>483</v>
      </c>
      <c r="F597" t="n">
        <v>115</v>
      </c>
      <c r="G597" t="n">
        <v>75269</v>
      </c>
      <c r="H597" t="n">
        <v>64842</v>
      </c>
      <c r="I597" t="n">
        <v>51191</v>
      </c>
      <c r="J597" t="n">
        <v>1511469.200000005</v>
      </c>
      <c r="K597" t="n">
        <v>75675</v>
      </c>
      <c r="L597" t="n">
        <v>167459</v>
      </c>
      <c r="M597" t="n">
        <v>342385</v>
      </c>
      <c r="N597" t="n">
        <v>129065</v>
      </c>
      <c r="O597" t="n">
        <v>34796</v>
      </c>
      <c r="P597" t="n">
        <v>723</v>
      </c>
    </row>
    <row r="598">
      <c r="A598" t="inlineStr">
        <is>
          <t>DL</t>
        </is>
      </c>
      <c r="B598" t="n">
        <v>2022</v>
      </c>
      <c r="C598" t="n">
        <v>12</v>
      </c>
      <c r="D598" t="n">
        <v>75771</v>
      </c>
      <c r="E598" t="n">
        <v>1851</v>
      </c>
      <c r="F598" t="n">
        <v>128</v>
      </c>
      <c r="G598" t="n">
        <v>73792</v>
      </c>
      <c r="H598" t="n">
        <v>59104</v>
      </c>
      <c r="I598" t="n">
        <v>437655</v>
      </c>
      <c r="J598" t="n">
        <v>1602054.400000022</v>
      </c>
      <c r="K598" t="n">
        <v>75302</v>
      </c>
      <c r="L598" t="n">
        <v>271099</v>
      </c>
      <c r="M598" t="n">
        <v>493525</v>
      </c>
      <c r="N598" t="n">
        <v>156869</v>
      </c>
      <c r="O598" t="n">
        <v>86517</v>
      </c>
      <c r="P598" t="n">
        <v>765</v>
      </c>
    </row>
    <row r="599">
      <c r="A599" t="inlineStr">
        <is>
          <t>DL</t>
        </is>
      </c>
      <c r="B599" t="n">
        <v>2023</v>
      </c>
      <c r="C599" t="n">
        <v>1</v>
      </c>
      <c r="D599" t="n">
        <v>75174</v>
      </c>
      <c r="E599" t="n">
        <v>586</v>
      </c>
      <c r="F599" t="n">
        <v>169</v>
      </c>
      <c r="G599" t="n">
        <v>74419</v>
      </c>
      <c r="H599" t="n">
        <v>59177</v>
      </c>
      <c r="I599" t="n">
        <v>476472</v>
      </c>
      <c r="J599" t="n">
        <v>1620545.300000017</v>
      </c>
      <c r="K599" t="n">
        <v>74511</v>
      </c>
      <c r="L599" t="n">
        <v>312789</v>
      </c>
      <c r="M599" t="n">
        <v>501463</v>
      </c>
      <c r="N599" t="n">
        <v>203900</v>
      </c>
      <c r="O599" t="n">
        <v>85190</v>
      </c>
      <c r="P599" t="n">
        <v>688</v>
      </c>
    </row>
    <row r="600">
      <c r="A600" t="inlineStr">
        <is>
          <t>DL</t>
        </is>
      </c>
      <c r="B600" t="n">
        <v>2023</v>
      </c>
      <c r="C600" t="n">
        <v>2</v>
      </c>
      <c r="D600" t="n">
        <v>69152</v>
      </c>
      <c r="E600" t="n">
        <v>968</v>
      </c>
      <c r="F600" t="n">
        <v>121</v>
      </c>
      <c r="G600" t="n">
        <v>68063</v>
      </c>
      <c r="H600" t="n">
        <v>57217</v>
      </c>
      <c r="I600" t="n">
        <v>148451</v>
      </c>
      <c r="J600" t="n">
        <v>1493685.600000004</v>
      </c>
      <c r="K600" t="n">
        <v>68462</v>
      </c>
      <c r="L600" t="n">
        <v>220441</v>
      </c>
      <c r="M600" t="n">
        <v>419185</v>
      </c>
      <c r="N600" t="n">
        <v>121124</v>
      </c>
      <c r="O600" t="n">
        <v>48949</v>
      </c>
      <c r="P600" t="n">
        <v>651</v>
      </c>
    </row>
    <row r="601">
      <c r="A601" t="inlineStr">
        <is>
          <t>DL</t>
        </is>
      </c>
      <c r="B601" t="n">
        <v>2023</v>
      </c>
      <c r="C601" t="n">
        <v>3</v>
      </c>
      <c r="D601" t="n">
        <v>82791</v>
      </c>
      <c r="E601" t="n">
        <v>1589</v>
      </c>
      <c r="F601" t="n">
        <v>177</v>
      </c>
      <c r="G601" t="n">
        <v>81025</v>
      </c>
      <c r="H601" t="n">
        <v>63782</v>
      </c>
      <c r="I601" t="n">
        <v>529955</v>
      </c>
      <c r="J601" t="n">
        <v>1803348.700000007</v>
      </c>
      <c r="K601" t="n">
        <v>82057</v>
      </c>
      <c r="L601" t="n">
        <v>355230</v>
      </c>
      <c r="M601" t="n">
        <v>528411</v>
      </c>
      <c r="N601" t="n">
        <v>219779</v>
      </c>
      <c r="O601" t="n">
        <v>56411</v>
      </c>
      <c r="P601" t="n">
        <v>619</v>
      </c>
    </row>
    <row r="602">
      <c r="A602" t="inlineStr">
        <is>
          <t>DL</t>
        </is>
      </c>
      <c r="B602" t="n">
        <v>2023</v>
      </c>
      <c r="C602" t="n">
        <v>4</v>
      </c>
      <c r="D602" t="n">
        <v>80230</v>
      </c>
      <c r="E602" t="n">
        <v>1837</v>
      </c>
      <c r="F602" t="n">
        <v>155</v>
      </c>
      <c r="G602" t="n">
        <v>78238</v>
      </c>
      <c r="H602" t="n">
        <v>63990</v>
      </c>
      <c r="I602" t="n">
        <v>343954</v>
      </c>
      <c r="J602" t="n">
        <v>1606797.600000003</v>
      </c>
      <c r="K602" t="n">
        <v>79557</v>
      </c>
      <c r="L602" t="n">
        <v>273746</v>
      </c>
      <c r="M602" t="n">
        <v>493293</v>
      </c>
      <c r="N602" t="n">
        <v>175884</v>
      </c>
      <c r="O602" t="n">
        <v>34323</v>
      </c>
      <c r="P602" t="n">
        <v>916</v>
      </c>
    </row>
    <row r="603">
      <c r="A603" t="inlineStr">
        <is>
          <t>DL</t>
        </is>
      </c>
      <c r="B603" t="n">
        <v>2023</v>
      </c>
      <c r="C603" t="n">
        <v>5</v>
      </c>
      <c r="D603" t="n">
        <v>84459</v>
      </c>
      <c r="E603" t="n">
        <v>417</v>
      </c>
      <c r="F603" t="n">
        <v>95</v>
      </c>
      <c r="G603" t="n">
        <v>83947</v>
      </c>
      <c r="H603" t="n">
        <v>73255</v>
      </c>
      <c r="I603" t="n">
        <v>-94475</v>
      </c>
      <c r="J603" t="n">
        <v>1617344.299999998</v>
      </c>
      <c r="K603" t="n">
        <v>83657</v>
      </c>
      <c r="L603" t="n">
        <v>178079</v>
      </c>
      <c r="M603" t="n">
        <v>395623</v>
      </c>
      <c r="N603" t="n">
        <v>86867</v>
      </c>
      <c r="O603" t="n">
        <v>23225</v>
      </c>
      <c r="P603" t="n">
        <v>1031</v>
      </c>
    </row>
    <row r="604">
      <c r="A604" t="inlineStr">
        <is>
          <t>DL</t>
        </is>
      </c>
      <c r="B604" t="n">
        <v>2023</v>
      </c>
      <c r="C604" t="n">
        <v>6</v>
      </c>
      <c r="D604" t="n">
        <v>85929</v>
      </c>
      <c r="E604" t="n">
        <v>1249</v>
      </c>
      <c r="F604" t="n">
        <v>269</v>
      </c>
      <c r="G604" t="n">
        <v>84411</v>
      </c>
      <c r="H604" t="n">
        <v>64768</v>
      </c>
      <c r="I604" t="n">
        <v>845179</v>
      </c>
      <c r="J604" t="n">
        <v>1686488.300000007</v>
      </c>
      <c r="K604" t="n">
        <v>84917</v>
      </c>
      <c r="L604" t="n">
        <v>448045</v>
      </c>
      <c r="M604" t="n">
        <v>720232</v>
      </c>
      <c r="N604" t="n">
        <v>232487</v>
      </c>
      <c r="O604" t="n">
        <v>62303</v>
      </c>
      <c r="P604" t="n">
        <v>1515</v>
      </c>
    </row>
    <row r="605">
      <c r="A605" t="inlineStr">
        <is>
          <t>DL</t>
        </is>
      </c>
      <c r="B605" t="n">
        <v>2023</v>
      </c>
      <c r="C605" t="n">
        <v>7</v>
      </c>
      <c r="D605" t="n">
        <v>89751</v>
      </c>
      <c r="E605" t="n">
        <v>1353</v>
      </c>
      <c r="F605" t="n">
        <v>332</v>
      </c>
      <c r="G605" t="n">
        <v>88066</v>
      </c>
      <c r="H605" t="n">
        <v>67076</v>
      </c>
      <c r="I605" t="n">
        <v>963326</v>
      </c>
      <c r="J605" t="n">
        <v>1759198.399999991</v>
      </c>
      <c r="K605" t="n">
        <v>88495</v>
      </c>
      <c r="L605" t="n">
        <v>508455</v>
      </c>
      <c r="M605" t="n">
        <v>762311</v>
      </c>
      <c r="N605" t="n">
        <v>265728</v>
      </c>
      <c r="O605" t="n">
        <v>80785</v>
      </c>
      <c r="P605" t="n">
        <v>911</v>
      </c>
    </row>
    <row r="606">
      <c r="A606" t="inlineStr">
        <is>
          <t>DL</t>
        </is>
      </c>
      <c r="B606" t="n">
        <v>2023</v>
      </c>
      <c r="C606" t="n">
        <v>8</v>
      </c>
      <c r="D606" t="n">
        <v>89057</v>
      </c>
      <c r="E606" t="n">
        <v>1509</v>
      </c>
      <c r="F606" t="n">
        <v>296</v>
      </c>
      <c r="G606" t="n">
        <v>87252</v>
      </c>
      <c r="H606" t="n">
        <v>70808</v>
      </c>
      <c r="I606" t="n">
        <v>486872</v>
      </c>
      <c r="J606" t="n">
        <v>1747010.699999994</v>
      </c>
      <c r="K606" t="n">
        <v>87925</v>
      </c>
      <c r="L606" t="n">
        <v>401826</v>
      </c>
      <c r="M606" t="n">
        <v>598642</v>
      </c>
      <c r="N606" t="n">
        <v>209508</v>
      </c>
      <c r="O606" t="n">
        <v>80605</v>
      </c>
      <c r="P606" t="n">
        <v>884</v>
      </c>
    </row>
    <row r="607">
      <c r="A607" t="inlineStr">
        <is>
          <t>DL</t>
        </is>
      </c>
      <c r="B607" t="n">
        <v>2023</v>
      </c>
      <c r="C607" t="n">
        <v>9</v>
      </c>
      <c r="D607" t="n">
        <v>81701</v>
      </c>
      <c r="E607" t="n">
        <v>418</v>
      </c>
      <c r="F607" t="n">
        <v>187</v>
      </c>
      <c r="G607" t="n">
        <v>81096</v>
      </c>
      <c r="H607" t="n">
        <v>69901</v>
      </c>
      <c r="I607" t="n">
        <v>91274</v>
      </c>
      <c r="J607" t="n">
        <v>1584867.599999975</v>
      </c>
      <c r="K607" t="n">
        <v>80727</v>
      </c>
      <c r="L607" t="n">
        <v>229581</v>
      </c>
      <c r="M607" t="n">
        <v>409610</v>
      </c>
      <c r="N607" t="n">
        <v>164172</v>
      </c>
      <c r="O607" t="n">
        <v>35503</v>
      </c>
      <c r="P607" t="n">
        <v>738</v>
      </c>
    </row>
    <row r="608">
      <c r="A608" t="inlineStr">
        <is>
          <t>DL</t>
        </is>
      </c>
      <c r="B608" t="n">
        <v>2023</v>
      </c>
      <c r="C608" t="n">
        <v>10</v>
      </c>
      <c r="D608" t="n">
        <v>85367</v>
      </c>
      <c r="E608" t="n">
        <v>57</v>
      </c>
      <c r="F608" t="n">
        <v>79</v>
      </c>
      <c r="G608" t="n">
        <v>85231</v>
      </c>
      <c r="H608" t="n">
        <v>77281</v>
      </c>
      <c r="I608" t="n">
        <v>-412285</v>
      </c>
      <c r="J608" t="n">
        <v>1709153.4</v>
      </c>
      <c r="K608" t="n">
        <v>84304</v>
      </c>
      <c r="L608" t="n">
        <v>116296</v>
      </c>
      <c r="M608" t="n">
        <v>288562</v>
      </c>
      <c r="N608" t="n">
        <v>65277</v>
      </c>
      <c r="O608" t="n">
        <v>13139</v>
      </c>
      <c r="P608" t="n">
        <v>843</v>
      </c>
    </row>
    <row r="609">
      <c r="A609" t="inlineStr">
        <is>
          <t>DL</t>
        </is>
      </c>
      <c r="B609" t="n">
        <v>2023</v>
      </c>
      <c r="C609" t="n">
        <v>11</v>
      </c>
      <c r="D609" t="n">
        <v>80353</v>
      </c>
      <c r="E609" t="n">
        <v>11</v>
      </c>
      <c r="F609" t="n">
        <v>64</v>
      </c>
      <c r="G609" t="n">
        <v>80278</v>
      </c>
      <c r="H609" t="n">
        <v>73341</v>
      </c>
      <c r="I609" t="n">
        <v>-521407</v>
      </c>
      <c r="J609" t="n">
        <v>1770865.399999988</v>
      </c>
      <c r="K609" t="n">
        <v>79020</v>
      </c>
      <c r="L609" t="n">
        <v>97235</v>
      </c>
      <c r="M609" t="n">
        <v>241603</v>
      </c>
      <c r="N609" t="n">
        <v>66794</v>
      </c>
      <c r="O609" t="n">
        <v>7255</v>
      </c>
      <c r="P609" t="n">
        <v>546</v>
      </c>
    </row>
    <row r="610">
      <c r="A610" t="inlineStr">
        <is>
          <t>DL</t>
        </is>
      </c>
      <c r="B610" t="n">
        <v>2023</v>
      </c>
      <c r="C610" t="n">
        <v>12</v>
      </c>
      <c r="D610" t="n">
        <v>81022</v>
      </c>
      <c r="E610" t="n">
        <v>22</v>
      </c>
      <c r="F610" t="n">
        <v>95</v>
      </c>
      <c r="G610" t="n">
        <v>80905</v>
      </c>
      <c r="H610" t="n">
        <v>73078</v>
      </c>
      <c r="I610" t="n">
        <v>-515987</v>
      </c>
      <c r="J610" t="n">
        <v>1888846.200000018</v>
      </c>
      <c r="K610" t="n">
        <v>79587</v>
      </c>
      <c r="L610" t="n">
        <v>127731</v>
      </c>
      <c r="M610" t="n">
        <v>286588</v>
      </c>
      <c r="N610" t="n">
        <v>82923</v>
      </c>
      <c r="O610" t="n">
        <v>29001</v>
      </c>
      <c r="P610" t="n">
        <v>1121</v>
      </c>
    </row>
    <row r="611">
      <c r="A611" t="inlineStr">
        <is>
          <t>DL</t>
        </is>
      </c>
      <c r="B611" t="n">
        <v>2024</v>
      </c>
      <c r="C611" t="n">
        <v>1</v>
      </c>
      <c r="D611" t="n">
        <v>74384</v>
      </c>
      <c r="E611" t="n">
        <v>478</v>
      </c>
      <c r="F611" t="n">
        <v>184</v>
      </c>
      <c r="G611" t="n">
        <v>73722</v>
      </c>
      <c r="H611" t="n">
        <v>59792</v>
      </c>
      <c r="I611" t="n">
        <v>321790</v>
      </c>
      <c r="J611" t="n">
        <v>1727033.100000004</v>
      </c>
      <c r="K611" t="n">
        <v>73444</v>
      </c>
      <c r="L611" t="n">
        <v>288500</v>
      </c>
      <c r="M611" t="n">
        <v>423363</v>
      </c>
      <c r="N611" t="n">
        <v>197503</v>
      </c>
      <c r="O611" t="n">
        <v>129066</v>
      </c>
      <c r="P611" t="n">
        <v>979</v>
      </c>
    </row>
    <row r="612">
      <c r="A612" t="inlineStr">
        <is>
          <t>DL</t>
        </is>
      </c>
      <c r="B612" t="n">
        <v>2024</v>
      </c>
      <c r="C612" t="n">
        <v>2</v>
      </c>
      <c r="D612" t="n">
        <v>71218</v>
      </c>
      <c r="E612" t="n">
        <v>97</v>
      </c>
      <c r="F612" t="n">
        <v>101</v>
      </c>
      <c r="G612" t="n">
        <v>71020</v>
      </c>
      <c r="H612" t="n">
        <v>63025</v>
      </c>
      <c r="I612" t="n">
        <v>-301133</v>
      </c>
      <c r="J612" t="n">
        <v>1579871.400000014</v>
      </c>
      <c r="K612" t="n">
        <v>70398</v>
      </c>
      <c r="L612" t="n">
        <v>107037</v>
      </c>
      <c r="M612" t="n">
        <v>259179</v>
      </c>
      <c r="N612" t="n">
        <v>104124</v>
      </c>
      <c r="O612" t="n">
        <v>18820</v>
      </c>
      <c r="P612" t="n">
        <v>1259</v>
      </c>
    </row>
    <row r="613">
      <c r="A613" t="inlineStr">
        <is>
          <t>DL</t>
        </is>
      </c>
      <c r="B613" t="n">
        <v>2024</v>
      </c>
      <c r="C613" t="n">
        <v>3</v>
      </c>
      <c r="D613" t="n">
        <v>82668</v>
      </c>
      <c r="E613" t="n">
        <v>111</v>
      </c>
      <c r="F613" t="n">
        <v>130</v>
      </c>
      <c r="G613" t="n">
        <v>82427</v>
      </c>
      <c r="H613" t="n">
        <v>68915</v>
      </c>
      <c r="I613" t="n">
        <v>165124</v>
      </c>
      <c r="J613" t="n">
        <v>1793294.999999982</v>
      </c>
      <c r="K613" t="n">
        <v>81560</v>
      </c>
      <c r="L613" t="n">
        <v>260257</v>
      </c>
      <c r="M613" t="n">
        <v>411974</v>
      </c>
      <c r="N613" t="n">
        <v>194785</v>
      </c>
      <c r="O613" t="n">
        <v>28403</v>
      </c>
      <c r="P613" t="n">
        <v>372</v>
      </c>
    </row>
    <row r="614">
      <c r="A614" t="inlineStr">
        <is>
          <t>DL</t>
        </is>
      </c>
      <c r="B614" t="n">
        <v>2024</v>
      </c>
      <c r="C614" t="n">
        <v>4</v>
      </c>
      <c r="D614" t="n">
        <v>82812</v>
      </c>
      <c r="E614" t="n">
        <v>117</v>
      </c>
      <c r="F614" t="n">
        <v>126</v>
      </c>
      <c r="G614" t="n">
        <v>82569</v>
      </c>
      <c r="H614" t="n">
        <v>69650</v>
      </c>
      <c r="I614" t="n">
        <v>202484</v>
      </c>
      <c r="J614" t="n">
        <v>1601735.100000002</v>
      </c>
      <c r="K614" t="n">
        <v>81753</v>
      </c>
      <c r="L614" t="n">
        <v>257145</v>
      </c>
      <c r="M614" t="n">
        <v>398024</v>
      </c>
      <c r="N614" t="n">
        <v>176680</v>
      </c>
      <c r="O614" t="n">
        <v>25551</v>
      </c>
      <c r="P614" t="n">
        <v>1355</v>
      </c>
    </row>
    <row r="615">
      <c r="A615" t="inlineStr">
        <is>
          <t>DL</t>
        </is>
      </c>
      <c r="B615" t="n">
        <v>2024</v>
      </c>
      <c r="C615" t="n">
        <v>5</v>
      </c>
      <c r="D615" t="n">
        <v>88381</v>
      </c>
      <c r="E615" t="n">
        <v>163</v>
      </c>
      <c r="F615" t="n">
        <v>264</v>
      </c>
      <c r="G615" t="n">
        <v>87954</v>
      </c>
      <c r="H615" t="n">
        <v>69237</v>
      </c>
      <c r="I615" t="n">
        <v>734611</v>
      </c>
      <c r="J615" t="n">
        <v>1629599.69999998</v>
      </c>
      <c r="K615" t="n">
        <v>87187</v>
      </c>
      <c r="L615" t="n">
        <v>459738</v>
      </c>
      <c r="M615" t="n">
        <v>512105</v>
      </c>
      <c r="N615" t="n">
        <v>282313</v>
      </c>
      <c r="O615" t="n">
        <v>57739</v>
      </c>
      <c r="P615" t="n">
        <v>1133</v>
      </c>
    </row>
    <row r="616">
      <c r="A616" t="inlineStr">
        <is>
          <t>DL</t>
        </is>
      </c>
      <c r="B616" t="n">
        <v>2024</v>
      </c>
      <c r="C616" t="n">
        <v>6</v>
      </c>
      <c r="D616" t="n">
        <v>89065</v>
      </c>
      <c r="E616" t="n">
        <v>191</v>
      </c>
      <c r="F616" t="n">
        <v>289</v>
      </c>
      <c r="G616" t="n">
        <v>88585</v>
      </c>
      <c r="H616" t="n">
        <v>71003</v>
      </c>
      <c r="I616" t="n">
        <v>555561</v>
      </c>
      <c r="J616" t="n">
        <v>1766304.60000002</v>
      </c>
      <c r="K616" t="n">
        <v>87820</v>
      </c>
      <c r="L616" t="n">
        <v>370575</v>
      </c>
      <c r="M616" t="n">
        <v>554930</v>
      </c>
      <c r="N616" t="n">
        <v>264932</v>
      </c>
      <c r="O616" t="n">
        <v>55710</v>
      </c>
      <c r="P616" t="n">
        <v>570</v>
      </c>
    </row>
    <row r="617">
      <c r="A617" t="inlineStr">
        <is>
          <t>DL</t>
        </is>
      </c>
      <c r="B617" t="n">
        <v>2024</v>
      </c>
      <c r="C617" t="n">
        <v>7</v>
      </c>
      <c r="D617" t="n">
        <v>92296</v>
      </c>
      <c r="E617" t="n">
        <v>6053</v>
      </c>
      <c r="F617" t="n">
        <v>365</v>
      </c>
      <c r="G617" t="n">
        <v>85878</v>
      </c>
      <c r="H617" t="n">
        <v>60202</v>
      </c>
      <c r="I617" t="n">
        <v>1941657</v>
      </c>
      <c r="J617" t="n">
        <v>1805201.400000012</v>
      </c>
      <c r="K617" t="n">
        <v>90712</v>
      </c>
      <c r="L617" t="n">
        <v>723331</v>
      </c>
      <c r="M617" t="n">
        <v>1359483</v>
      </c>
      <c r="N617" t="n">
        <v>335991</v>
      </c>
      <c r="O617" t="n">
        <v>70933</v>
      </c>
      <c r="P617" t="n">
        <v>944</v>
      </c>
    </row>
    <row r="618">
      <c r="A618" t="inlineStr">
        <is>
          <t>DL</t>
        </is>
      </c>
      <c r="B618" t="n">
        <v>2024</v>
      </c>
      <c r="C618" t="n">
        <v>8</v>
      </c>
      <c r="D618" t="n">
        <v>90397</v>
      </c>
      <c r="E618" t="n">
        <v>717</v>
      </c>
      <c r="F618" t="n">
        <v>260</v>
      </c>
      <c r="G618" t="n">
        <v>89420</v>
      </c>
      <c r="H618" t="n">
        <v>72263</v>
      </c>
      <c r="I618" t="n">
        <v>533164</v>
      </c>
      <c r="J618" t="n">
        <v>1750197.00000002</v>
      </c>
      <c r="K618" t="n">
        <v>88941</v>
      </c>
      <c r="L618" t="n">
        <v>372824</v>
      </c>
      <c r="M618" t="n">
        <v>566317</v>
      </c>
      <c r="N618" t="n">
        <v>278557</v>
      </c>
      <c r="O618" t="n">
        <v>55989</v>
      </c>
      <c r="P618" t="n">
        <v>563</v>
      </c>
    </row>
    <row r="619">
      <c r="A619" t="inlineStr">
        <is>
          <t>DL</t>
        </is>
      </c>
      <c r="B619" t="n">
        <v>2024</v>
      </c>
      <c r="C619" t="n">
        <v>9</v>
      </c>
      <c r="D619" t="n">
        <v>84545</v>
      </c>
      <c r="E619" t="n">
        <v>330</v>
      </c>
      <c r="F619" t="n">
        <v>143</v>
      </c>
      <c r="G619" t="n">
        <v>84072</v>
      </c>
      <c r="H619" t="n">
        <v>73225</v>
      </c>
      <c r="I619" t="n">
        <v>-127186</v>
      </c>
      <c r="J619" t="n">
        <v>1611542.999999985</v>
      </c>
      <c r="K619" t="n">
        <v>83003</v>
      </c>
      <c r="L619" t="n">
        <v>189944</v>
      </c>
      <c r="M619" t="n">
        <v>338780</v>
      </c>
      <c r="N619" t="n">
        <v>106803</v>
      </c>
      <c r="O619" t="n">
        <v>38997</v>
      </c>
      <c r="P619" t="n">
        <v>628</v>
      </c>
    </row>
    <row r="620">
      <c r="A620" t="inlineStr">
        <is>
          <t>DL</t>
        </is>
      </c>
      <c r="B620" t="n">
        <v>2024</v>
      </c>
      <c r="C620" t="n">
        <v>10</v>
      </c>
      <c r="D620" t="n">
        <v>88300</v>
      </c>
      <c r="E620" t="n">
        <v>799</v>
      </c>
      <c r="F620" t="n">
        <v>85</v>
      </c>
      <c r="G620" t="n">
        <v>87416</v>
      </c>
      <c r="H620" t="n">
        <v>78988</v>
      </c>
      <c r="I620" t="n">
        <v>-409641</v>
      </c>
      <c r="J620" t="n">
        <v>1707745.899999992</v>
      </c>
      <c r="K620" t="n">
        <v>86693</v>
      </c>
      <c r="L620" t="n">
        <v>131946</v>
      </c>
      <c r="M620" t="n">
        <v>294529</v>
      </c>
      <c r="N620" t="n">
        <v>67787</v>
      </c>
      <c r="O620" t="n">
        <v>11578</v>
      </c>
      <c r="P620" t="n">
        <v>446</v>
      </c>
    </row>
    <row r="621">
      <c r="A621" t="inlineStr">
        <is>
          <t>DL</t>
        </is>
      </c>
      <c r="B621" t="n">
        <v>2024</v>
      </c>
      <c r="C621" t="n">
        <v>11</v>
      </c>
      <c r="D621" t="n">
        <v>81825</v>
      </c>
      <c r="E621" t="n">
        <v>24</v>
      </c>
      <c r="F621" t="n">
        <v>95</v>
      </c>
      <c r="G621" t="n">
        <v>81706</v>
      </c>
      <c r="H621" t="n">
        <v>72524</v>
      </c>
      <c r="I621" t="n">
        <v>-327176</v>
      </c>
      <c r="J621" t="n">
        <v>1731553.699999992</v>
      </c>
      <c r="K621" t="n">
        <v>80298</v>
      </c>
      <c r="L621" t="n">
        <v>135011</v>
      </c>
      <c r="M621" t="n">
        <v>272237</v>
      </c>
      <c r="N621" t="n">
        <v>108264</v>
      </c>
      <c r="O621" t="n">
        <v>23073</v>
      </c>
      <c r="P621" t="n">
        <v>409</v>
      </c>
    </row>
    <row r="622">
      <c r="A622" t="inlineStr">
        <is>
          <t>DL</t>
        </is>
      </c>
      <c r="B622" t="n">
        <v>2024</v>
      </c>
      <c r="C622" t="n">
        <v>12</v>
      </c>
      <c r="D622" t="n">
        <v>83283</v>
      </c>
      <c r="E622" t="n">
        <v>67</v>
      </c>
      <c r="F622" t="n">
        <v>159</v>
      </c>
      <c r="G622" t="n">
        <v>83057</v>
      </c>
      <c r="H622" t="n">
        <v>66737</v>
      </c>
      <c r="I622" t="n">
        <v>359618</v>
      </c>
      <c r="J622" t="n">
        <v>1831845.899999978</v>
      </c>
      <c r="K622" t="n">
        <v>81474</v>
      </c>
      <c r="L622" t="n">
        <v>328907</v>
      </c>
      <c r="M622" t="n">
        <v>493308</v>
      </c>
      <c r="N622" t="n">
        <v>194024</v>
      </c>
      <c r="O622" t="n">
        <v>48392</v>
      </c>
      <c r="P622" t="n">
        <v>870</v>
      </c>
    </row>
    <row r="623">
      <c r="A623" t="inlineStr">
        <is>
          <t>DL</t>
        </is>
      </c>
      <c r="B623" t="n">
        <v>2025</v>
      </c>
      <c r="C623" t="n">
        <v>1</v>
      </c>
      <c r="D623" t="n">
        <v>76306</v>
      </c>
      <c r="E623" t="n">
        <v>2137</v>
      </c>
      <c r="F623" t="n">
        <v>144</v>
      </c>
      <c r="G623" t="n">
        <v>74025</v>
      </c>
      <c r="H623" t="n">
        <v>59723</v>
      </c>
      <c r="I623" t="n">
        <v>386568</v>
      </c>
      <c r="J623" t="n">
        <v>1785253.999999994</v>
      </c>
      <c r="K623" t="n">
        <v>74939</v>
      </c>
      <c r="L623" t="n">
        <v>305736</v>
      </c>
      <c r="M623" t="n">
        <v>473239</v>
      </c>
      <c r="N623" t="n">
        <v>222491</v>
      </c>
      <c r="O623" t="n">
        <v>131009</v>
      </c>
      <c r="P623" t="n">
        <v>296</v>
      </c>
    </row>
    <row r="624">
      <c r="A624" t="inlineStr">
        <is>
          <t>DL</t>
        </is>
      </c>
      <c r="B624" t="n">
        <v>2025</v>
      </c>
      <c r="C624" t="n">
        <v>2</v>
      </c>
      <c r="D624" t="n">
        <v>71333</v>
      </c>
      <c r="E624" t="n">
        <v>164</v>
      </c>
      <c r="F624" t="n">
        <v>108</v>
      </c>
      <c r="G624" t="n">
        <v>71061</v>
      </c>
      <c r="H624" t="n">
        <v>56870</v>
      </c>
      <c r="I624" t="n">
        <v>276489</v>
      </c>
      <c r="J624" t="n">
        <v>1645583.500000015</v>
      </c>
      <c r="K624" t="n">
        <v>70151</v>
      </c>
      <c r="L624" t="n">
        <v>290809</v>
      </c>
      <c r="M624" t="n">
        <v>439238</v>
      </c>
      <c r="N624" t="n">
        <v>203865</v>
      </c>
      <c r="O624" t="n">
        <v>58542</v>
      </c>
      <c r="P624" t="n">
        <v>598</v>
      </c>
    </row>
    <row r="625">
      <c r="A625" t="inlineStr">
        <is>
          <t>DL</t>
        </is>
      </c>
      <c r="B625" t="n">
        <v>2025</v>
      </c>
      <c r="C625" t="n">
        <v>3</v>
      </c>
      <c r="D625" t="n">
        <v>84487</v>
      </c>
      <c r="E625" t="n">
        <v>416</v>
      </c>
      <c r="F625" t="n">
        <v>214</v>
      </c>
      <c r="G625" t="n">
        <v>83857</v>
      </c>
      <c r="H625" t="n">
        <v>68410</v>
      </c>
      <c r="I625" t="n">
        <v>330059</v>
      </c>
      <c r="J625" t="n">
        <v>1795190.899999995</v>
      </c>
      <c r="K625" t="n">
        <v>82577</v>
      </c>
      <c r="L625" t="n">
        <v>368664</v>
      </c>
      <c r="M625" t="n">
        <v>462197</v>
      </c>
      <c r="N625" t="n">
        <v>241077</v>
      </c>
      <c r="O625" t="n">
        <v>43377</v>
      </c>
      <c r="P625" t="n">
        <v>529</v>
      </c>
    </row>
    <row r="626">
      <c r="A626" t="inlineStr">
        <is>
          <t>DL</t>
        </is>
      </c>
      <c r="B626" t="n">
        <v>2025</v>
      </c>
      <c r="C626" t="n">
        <v>4</v>
      </c>
      <c r="D626" t="n">
        <v>84188</v>
      </c>
      <c r="E626" t="n">
        <v>430</v>
      </c>
      <c r="F626" t="n">
        <v>198</v>
      </c>
      <c r="G626" t="n">
        <v>83560</v>
      </c>
      <c r="H626" t="n">
        <v>68711</v>
      </c>
      <c r="I626" t="n">
        <v>317584</v>
      </c>
      <c r="J626" t="n">
        <v>1639397.699999993</v>
      </c>
      <c r="K626" t="n">
        <v>82266</v>
      </c>
      <c r="L626" t="n">
        <v>302209</v>
      </c>
      <c r="M626" t="n">
        <v>458932</v>
      </c>
      <c r="N626" t="n">
        <v>205423</v>
      </c>
      <c r="O626" t="n">
        <v>46464</v>
      </c>
      <c r="P626" t="n">
        <v>718</v>
      </c>
    </row>
    <row r="627">
      <c r="A627" t="inlineStr">
        <is>
          <t>DL</t>
        </is>
      </c>
      <c r="B627" t="n">
        <v>2025</v>
      </c>
      <c r="C627" t="n">
        <v>5</v>
      </c>
      <c r="D627" t="n">
        <v>89931</v>
      </c>
      <c r="E627" t="n">
        <v>195</v>
      </c>
      <c r="F627" t="n">
        <v>264</v>
      </c>
      <c r="G627" t="n">
        <v>89472</v>
      </c>
      <c r="H627" t="n">
        <v>69778</v>
      </c>
      <c r="I627" t="n">
        <v>716633</v>
      </c>
      <c r="J627" t="n">
        <v>1740654.600000005</v>
      </c>
      <c r="K627" t="n">
        <v>88169</v>
      </c>
      <c r="L627" t="n">
        <v>438948</v>
      </c>
      <c r="M627" t="n">
        <v>550712</v>
      </c>
      <c r="N627" t="n">
        <v>334353</v>
      </c>
      <c r="O627" t="n">
        <v>60425</v>
      </c>
      <c r="P627" t="n">
        <v>1281</v>
      </c>
    </row>
    <row r="628">
      <c r="A628" t="inlineStr">
        <is>
          <t>DL</t>
        </is>
      </c>
      <c r="B628" t="n">
        <v>2025</v>
      </c>
      <c r="C628" t="n">
        <v>6</v>
      </c>
      <c r="D628" t="n">
        <v>91122</v>
      </c>
      <c r="E628" t="n">
        <v>1571</v>
      </c>
      <c r="F628" t="n">
        <v>396</v>
      </c>
      <c r="G628" t="n">
        <v>89155</v>
      </c>
      <c r="H628" t="n">
        <v>65823</v>
      </c>
      <c r="I628" t="n">
        <v>1164356</v>
      </c>
      <c r="J628" t="n">
        <v>1812553.700000013</v>
      </c>
      <c r="K628" t="n">
        <v>89239</v>
      </c>
      <c r="L628" t="n">
        <v>581465</v>
      </c>
      <c r="M628" t="n">
        <v>752423</v>
      </c>
      <c r="N628" t="n">
        <v>373173</v>
      </c>
      <c r="O628" t="n">
        <v>102339</v>
      </c>
      <c r="P628" t="n">
        <v>1154</v>
      </c>
    </row>
    <row r="629">
      <c r="A629" t="inlineStr">
        <is>
          <t>DL</t>
        </is>
      </c>
      <c r="B629" t="n">
        <v>2025</v>
      </c>
      <c r="C629" t="n">
        <v>7</v>
      </c>
      <c r="D629" t="n">
        <v>94066</v>
      </c>
      <c r="E629" t="n">
        <v>1320</v>
      </c>
      <c r="F629" t="n">
        <v>501</v>
      </c>
      <c r="G629" t="n">
        <v>92245</v>
      </c>
      <c r="H629" t="n">
        <v>69327</v>
      </c>
      <c r="I629" t="n">
        <v>1109540</v>
      </c>
      <c r="J629" t="n">
        <v>1842568.500000015</v>
      </c>
      <c r="K629" t="n">
        <v>91991</v>
      </c>
      <c r="L629" t="n">
        <v>583345</v>
      </c>
      <c r="M629" t="n">
        <v>740038</v>
      </c>
      <c r="N629" t="n">
        <v>384158</v>
      </c>
      <c r="O629" t="n">
        <v>100784</v>
      </c>
      <c r="P629" t="n">
        <v>524</v>
      </c>
    </row>
    <row r="630">
      <c r="A630" t="inlineStr">
        <is>
          <t>DL</t>
        </is>
      </c>
      <c r="B630" t="n">
        <v>2025</v>
      </c>
      <c r="C630" t="n">
        <v>8</v>
      </c>
      <c r="D630" t="n">
        <v>90313</v>
      </c>
      <c r="E630" t="n">
        <v>687</v>
      </c>
      <c r="F630" t="n">
        <v>304</v>
      </c>
      <c r="G630" t="n">
        <v>89322</v>
      </c>
      <c r="H630" t="n">
        <v>74114</v>
      </c>
      <c r="I630" t="n">
        <v>249386</v>
      </c>
      <c r="J630" t="n">
        <v>1779008.500000016</v>
      </c>
      <c r="K630" t="n">
        <v>88349</v>
      </c>
      <c r="L630" t="n">
        <v>322743</v>
      </c>
      <c r="M630" t="n">
        <v>513058</v>
      </c>
      <c r="N630" t="n">
        <v>194528</v>
      </c>
      <c r="O630" t="n">
        <v>57830</v>
      </c>
      <c r="P630" t="n">
        <v>511</v>
      </c>
    </row>
    <row r="631">
      <c r="A631" t="inlineStr">
        <is>
          <t>DL</t>
        </is>
      </c>
      <c r="B631" t="n">
        <v>2025</v>
      </c>
      <c r="C631" t="n">
        <v>9</v>
      </c>
      <c r="D631" t="n">
        <v>84875</v>
      </c>
      <c r="E631" t="n">
        <v>85</v>
      </c>
      <c r="F631" t="n">
        <v>160</v>
      </c>
      <c r="G631" t="n">
        <v>84630</v>
      </c>
      <c r="H631" t="n">
        <v>74149</v>
      </c>
      <c r="I631" t="n">
        <v>-157677</v>
      </c>
      <c r="J631" t="n">
        <v>1625758.1</v>
      </c>
      <c r="K631" t="n">
        <v>83054</v>
      </c>
      <c r="L631" t="n">
        <v>199290</v>
      </c>
      <c r="M631" t="n">
        <v>335946</v>
      </c>
      <c r="N631" t="n">
        <v>152467</v>
      </c>
      <c r="O631" t="n">
        <v>18945</v>
      </c>
      <c r="P631" t="n">
        <v>665</v>
      </c>
    </row>
    <row r="632">
      <c r="A632" t="inlineStr">
        <is>
          <t>DL</t>
        </is>
      </c>
      <c r="B632" t="n">
        <v>2025</v>
      </c>
      <c r="C632" t="n">
        <v>10</v>
      </c>
      <c r="D632" t="n">
        <v>90097</v>
      </c>
      <c r="E632" t="n">
        <v>329</v>
      </c>
      <c r="F632" t="n">
        <v>158</v>
      </c>
      <c r="G632" t="n">
        <v>89610</v>
      </c>
      <c r="H632" t="n">
        <v>75295</v>
      </c>
      <c r="I632" t="n">
        <v>184674</v>
      </c>
      <c r="J632" t="n">
        <v>1702799.099999964</v>
      </c>
      <c r="K632" t="n">
        <v>88177</v>
      </c>
      <c r="L632" t="n">
        <v>299039</v>
      </c>
      <c r="M632" t="n">
        <v>428231</v>
      </c>
      <c r="N632" t="n">
        <v>211795</v>
      </c>
      <c r="O632" t="n">
        <v>16887</v>
      </c>
      <c r="P632" t="n">
        <v>846</v>
      </c>
    </row>
    <row r="633">
      <c r="A633" t="inlineStr">
        <is>
          <t>DL</t>
        </is>
      </c>
      <c r="B633" t="n">
        <v>2025</v>
      </c>
      <c r="C633" t="n">
        <v>11</v>
      </c>
      <c r="D633" t="n">
        <v>84475</v>
      </c>
      <c r="E633" t="n">
        <v>1439</v>
      </c>
      <c r="F633" t="n">
        <v>164</v>
      </c>
      <c r="G633" t="n">
        <v>82872</v>
      </c>
      <c r="H633" t="n">
        <v>68297</v>
      </c>
      <c r="I633" t="n">
        <v>253935</v>
      </c>
      <c r="J633" t="n">
        <v>1817695.499999993</v>
      </c>
      <c r="K633" t="n">
        <v>82541</v>
      </c>
      <c r="L633" t="n">
        <v>320539</v>
      </c>
      <c r="M633" t="n">
        <v>445090</v>
      </c>
      <c r="N633" t="n">
        <v>283899</v>
      </c>
      <c r="O633" t="n">
        <v>30651</v>
      </c>
      <c r="P633" t="n">
        <v>1156</v>
      </c>
    </row>
    <row r="634">
      <c r="A634" t="inlineStr">
        <is>
          <t>DL</t>
        </is>
      </c>
      <c r="B634" t="n">
        <v>2025</v>
      </c>
      <c r="C634" t="n">
        <v>12</v>
      </c>
      <c r="D634" t="n">
        <v>85139</v>
      </c>
      <c r="E634" t="n">
        <v>2341</v>
      </c>
      <c r="F634" t="n">
        <v>180</v>
      </c>
      <c r="G634" t="n">
        <v>82618</v>
      </c>
      <c r="H634" t="n">
        <v>61528</v>
      </c>
      <c r="I634" t="n">
        <v>931489</v>
      </c>
      <c r="J634" t="n">
        <v>1897518.399999973</v>
      </c>
      <c r="K634" t="n">
        <v>83239</v>
      </c>
      <c r="L634" t="n">
        <v>517160</v>
      </c>
      <c r="M634" t="n">
        <v>686199</v>
      </c>
      <c r="N634" t="n">
        <v>311718</v>
      </c>
      <c r="O634" t="n">
        <v>74001</v>
      </c>
      <c r="P634" t="n">
        <v>887</v>
      </c>
    </row>
    <row r="635">
      <c r="A635" t="inlineStr">
        <is>
          <t>DL</t>
        </is>
      </c>
      <c r="B635" t="n">
        <v>2026</v>
      </c>
      <c r="C635" t="n">
        <v>1</v>
      </c>
      <c r="D635" t="n">
        <v>79198</v>
      </c>
      <c r="E635" t="n">
        <v>3121</v>
      </c>
      <c r="F635" t="n">
        <v>138</v>
      </c>
      <c r="G635" t="n">
        <v>75939</v>
      </c>
      <c r="H635" t="n">
        <v>60939</v>
      </c>
      <c r="I635" t="n">
        <v>298772</v>
      </c>
      <c r="J635" t="n">
        <v>1817669.900000006</v>
      </c>
      <c r="K635" t="n">
        <v>77469</v>
      </c>
      <c r="L635" t="n">
        <v>291718</v>
      </c>
      <c r="M635" t="n">
        <v>495843</v>
      </c>
      <c r="N635" t="n">
        <v>191834</v>
      </c>
      <c r="O635" t="n">
        <v>61319</v>
      </c>
      <c r="P635" t="n">
        <v>1170</v>
      </c>
    </row>
    <row r="636">
      <c r="A636" t="inlineStr">
        <is>
          <t>DL</t>
        </is>
      </c>
      <c r="B636" t="n">
        <v>2026</v>
      </c>
      <c r="C636" t="n">
        <v>2</v>
      </c>
      <c r="D636" t="n">
        <v>74200</v>
      </c>
      <c r="E636" t="n">
        <v>1551</v>
      </c>
      <c r="F636" t="n">
        <v>122</v>
      </c>
      <c r="G636" t="n">
        <v>72527</v>
      </c>
      <c r="H636" t="n">
        <v>60397</v>
      </c>
      <c r="I636" t="n">
        <v>19763</v>
      </c>
      <c r="J636" t="n">
        <v>1683653.499999994</v>
      </c>
      <c r="K636" t="n">
        <v>72662</v>
      </c>
      <c r="L636" t="n">
        <v>210864</v>
      </c>
      <c r="M636" t="n">
        <v>399466</v>
      </c>
      <c r="N636" t="n">
        <v>149772</v>
      </c>
      <c r="O636" t="n">
        <v>34498</v>
      </c>
      <c r="P636" t="n">
        <v>828</v>
      </c>
    </row>
    <row r="637">
      <c r="A637" t="inlineStr">
        <is>
          <t>DL</t>
        </is>
      </c>
      <c r="B637" t="n">
        <v>2026</v>
      </c>
      <c r="C637" t="n">
        <v>3</v>
      </c>
      <c r="D637" t="n">
        <v>86890</v>
      </c>
      <c r="E637" t="n">
        <v>3092</v>
      </c>
      <c r="F637" t="n">
        <v>279</v>
      </c>
      <c r="G637" t="n">
        <v>83519</v>
      </c>
      <c r="H637" t="n">
        <v>66730</v>
      </c>
      <c r="I637" t="n">
        <v>470291</v>
      </c>
      <c r="J637" t="n">
        <v>1871539.200000025</v>
      </c>
      <c r="K637" t="n">
        <v>84850</v>
      </c>
      <c r="L637" t="n">
        <v>341691</v>
      </c>
      <c r="M637" t="n">
        <v>555928</v>
      </c>
      <c r="N637" t="n">
        <v>295954</v>
      </c>
      <c r="O637" t="n">
        <v>64140</v>
      </c>
      <c r="P637" t="n">
        <v>616</v>
      </c>
    </row>
    <row r="638">
      <c r="A638" t="inlineStr">
        <is>
          <t>DL</t>
        </is>
      </c>
      <c r="B638" t="n">
        <v>2026</v>
      </c>
      <c r="C638" t="n">
        <v>4</v>
      </c>
      <c r="D638" t="n">
        <v>87115</v>
      </c>
      <c r="E638" t="n">
        <v>730</v>
      </c>
      <c r="F638" t="n">
        <v>165</v>
      </c>
      <c r="G638" t="n">
        <v>86220</v>
      </c>
      <c r="H638" t="n">
        <v>73271</v>
      </c>
      <c r="I638" t="n">
        <v>-9435</v>
      </c>
      <c r="J638" t="n">
        <v>1765755.999999989</v>
      </c>
      <c r="K638" t="n">
        <v>85226</v>
      </c>
      <c r="L638" t="n">
        <v>242783</v>
      </c>
      <c r="M638" t="n">
        <v>388482</v>
      </c>
      <c r="N638" t="n">
        <v>168455</v>
      </c>
      <c r="O638" t="n">
        <v>20147</v>
      </c>
      <c r="P638" t="n">
        <v>512</v>
      </c>
    </row>
    <row r="639">
      <c r="A639" t="inlineStr">
        <is>
          <t>DL</t>
        </is>
      </c>
      <c r="B639" t="n">
        <v>2026</v>
      </c>
      <c r="C639" t="n">
        <v>5</v>
      </c>
      <c r="D639" t="n">
        <v>91955</v>
      </c>
      <c r="E639" t="n">
        <v>1144</v>
      </c>
      <c r="F639" t="n">
        <v>236</v>
      </c>
      <c r="G639" t="n">
        <v>90575</v>
      </c>
      <c r="H639" t="n">
        <v>74476</v>
      </c>
      <c r="I639" t="n">
        <v>249145</v>
      </c>
      <c r="J639" t="n">
        <v>1856175.599999995</v>
      </c>
      <c r="K639" t="n">
        <v>90009</v>
      </c>
      <c r="L639" t="n">
        <v>291697</v>
      </c>
      <c r="M639" t="n">
        <v>474260</v>
      </c>
      <c r="N639" t="n">
        <v>238054</v>
      </c>
      <c r="O639" t="n">
        <v>33675</v>
      </c>
      <c r="P639" t="n">
        <v>1227</v>
      </c>
    </row>
    <row r="640">
      <c r="A640" t="inlineStr">
        <is>
          <t>DL</t>
        </is>
      </c>
      <c r="B640" t="n">
        <v>2026</v>
      </c>
      <c r="C640" t="n">
        <v>6</v>
      </c>
      <c r="D640" t="n">
        <v>90247</v>
      </c>
      <c r="E640" t="n">
        <v>1009</v>
      </c>
      <c r="F640" t="n">
        <v>272</v>
      </c>
      <c r="G640" t="n">
        <v>88966</v>
      </c>
      <c r="H640" t="n">
        <v>73203</v>
      </c>
      <c r="I640" t="n">
        <v>321410</v>
      </c>
      <c r="J640" t="n">
        <v>1899964.000000006</v>
      </c>
      <c r="K640" t="n">
        <v>88518</v>
      </c>
      <c r="L640" t="n">
        <v>327686</v>
      </c>
      <c r="M640" t="n">
        <v>511540</v>
      </c>
      <c r="N640" t="n">
        <v>255453</v>
      </c>
      <c r="O640" t="n">
        <v>48583</v>
      </c>
      <c r="P640" t="n">
        <v>926</v>
      </c>
    </row>
    <row r="641">
      <c r="A641" t="inlineStr">
        <is>
          <t>DL</t>
        </is>
      </c>
      <c r="B641" t="n">
        <v>2026</v>
      </c>
      <c r="C641" t="n">
        <v>7</v>
      </c>
      <c r="D641" t="n">
        <v>94140</v>
      </c>
      <c r="E641" t="n">
        <v>2261</v>
      </c>
      <c r="F641" t="n">
        <v>581</v>
      </c>
      <c r="G641" t="n">
        <v>91298</v>
      </c>
      <c r="H641" t="n">
        <v>67649</v>
      </c>
      <c r="I641" t="n">
        <v>1160655</v>
      </c>
      <c r="J641" t="n">
        <v>1930312.800000017</v>
      </c>
      <c r="K641" t="n">
        <v>92303</v>
      </c>
      <c r="L641" t="n">
        <v>574314</v>
      </c>
      <c r="M641" t="n">
        <v>738179</v>
      </c>
      <c r="N641" t="n">
        <v>433616</v>
      </c>
      <c r="O641" t="n">
        <v>87771</v>
      </c>
      <c r="P641" t="n">
        <v>1118</v>
      </c>
    </row>
    <row r="642">
      <c r="A642" t="inlineStr">
        <is>
          <t>EV</t>
        </is>
      </c>
      <c r="B642" t="n">
        <v>2015</v>
      </c>
      <c r="C642" t="n">
        <v>1</v>
      </c>
      <c r="D642" t="n">
        <v>49925</v>
      </c>
      <c r="E642" t="n">
        <v>1702</v>
      </c>
      <c r="F642" t="n">
        <v>139</v>
      </c>
      <c r="G642" t="n">
        <v>48084</v>
      </c>
      <c r="H642" t="n">
        <v>37093</v>
      </c>
      <c r="I642" t="n">
        <v>410517</v>
      </c>
      <c r="J642" t="n">
        <v>673776.8</v>
      </c>
      <c r="K642" t="n">
        <v>49404</v>
      </c>
      <c r="L642" t="n">
        <v>254080</v>
      </c>
      <c r="M642" t="n">
        <v>225639</v>
      </c>
      <c r="N642" t="n">
        <v>164336</v>
      </c>
      <c r="O642" t="n">
        <v>19179</v>
      </c>
      <c r="P642" t="n">
        <v>0</v>
      </c>
    </row>
    <row r="643">
      <c r="A643" t="inlineStr">
        <is>
          <t>EV</t>
        </is>
      </c>
      <c r="B643" t="n">
        <v>2015</v>
      </c>
      <c r="C643" t="n">
        <v>2</v>
      </c>
      <c r="D643" t="n">
        <v>45138</v>
      </c>
      <c r="E643" t="n">
        <v>3002</v>
      </c>
      <c r="F643" t="n">
        <v>131</v>
      </c>
      <c r="G643" t="n">
        <v>42005</v>
      </c>
      <c r="H643" t="n">
        <v>31463</v>
      </c>
      <c r="I643" t="n">
        <v>437576</v>
      </c>
      <c r="J643" t="n">
        <v>611774.6999999936</v>
      </c>
      <c r="K643" t="n">
        <v>44665</v>
      </c>
      <c r="L643" t="n">
        <v>242263</v>
      </c>
      <c r="M643" t="n">
        <v>212197</v>
      </c>
      <c r="N643" t="n">
        <v>153998</v>
      </c>
      <c r="O643" t="n">
        <v>22094</v>
      </c>
      <c r="P643" t="n">
        <v>0</v>
      </c>
    </row>
    <row r="644">
      <c r="A644" t="inlineStr">
        <is>
          <t>EV</t>
        </is>
      </c>
      <c r="B644" t="n">
        <v>2015</v>
      </c>
      <c r="C644" t="n">
        <v>3</v>
      </c>
      <c r="D644" t="n">
        <v>54190</v>
      </c>
      <c r="E644" t="n">
        <v>2135</v>
      </c>
      <c r="F644" t="n">
        <v>180</v>
      </c>
      <c r="G644" t="n">
        <v>51875</v>
      </c>
      <c r="H644" t="n">
        <v>41283</v>
      </c>
      <c r="I644" t="n">
        <v>349124</v>
      </c>
      <c r="J644" t="n">
        <v>752390.4000000025</v>
      </c>
      <c r="K644" t="n">
        <v>53821</v>
      </c>
      <c r="L644" t="n">
        <v>254917</v>
      </c>
      <c r="M644" t="n">
        <v>218126</v>
      </c>
      <c r="N644" t="n">
        <v>136374</v>
      </c>
      <c r="O644" t="n">
        <v>15795</v>
      </c>
      <c r="P644" t="n">
        <v>0</v>
      </c>
    </row>
    <row r="645">
      <c r="A645" t="inlineStr">
        <is>
          <t>EV</t>
        </is>
      </c>
      <c r="B645" t="n">
        <v>2015</v>
      </c>
      <c r="C645" t="n">
        <v>4</v>
      </c>
      <c r="D645" t="n">
        <v>49296</v>
      </c>
      <c r="E645" t="n">
        <v>929</v>
      </c>
      <c r="F645" t="n">
        <v>232</v>
      </c>
      <c r="G645" t="n">
        <v>48135</v>
      </c>
      <c r="H645" t="n">
        <v>39533</v>
      </c>
      <c r="I645" t="n">
        <v>232071</v>
      </c>
      <c r="J645" t="n">
        <v>654748.4000000061</v>
      </c>
      <c r="K645" t="n">
        <v>49045</v>
      </c>
      <c r="L645" t="n">
        <v>181811</v>
      </c>
      <c r="M645" t="n">
        <v>186479</v>
      </c>
      <c r="N645" t="n">
        <v>132778</v>
      </c>
      <c r="O645" t="n">
        <v>10306</v>
      </c>
      <c r="P645" t="n">
        <v>0</v>
      </c>
    </row>
    <row r="646">
      <c r="A646" t="inlineStr">
        <is>
          <t>EV</t>
        </is>
      </c>
      <c r="B646" t="n">
        <v>2015</v>
      </c>
      <c r="C646" t="n">
        <v>5</v>
      </c>
      <c r="D646" t="n">
        <v>49213</v>
      </c>
      <c r="E646" t="n">
        <v>1041</v>
      </c>
      <c r="F646" t="n">
        <v>234</v>
      </c>
      <c r="G646" t="n">
        <v>47938</v>
      </c>
      <c r="H646" t="n">
        <v>38210</v>
      </c>
      <c r="I646" t="n">
        <v>370287</v>
      </c>
      <c r="J646" t="n">
        <v>670745.4999999986</v>
      </c>
      <c r="K646" t="n">
        <v>48922</v>
      </c>
      <c r="L646" t="n">
        <v>260007</v>
      </c>
      <c r="M646" t="n">
        <v>213517</v>
      </c>
      <c r="N646" t="n">
        <v>162439</v>
      </c>
      <c r="O646" t="n">
        <v>21547</v>
      </c>
      <c r="P646" t="n">
        <v>0</v>
      </c>
    </row>
    <row r="647">
      <c r="A647" t="inlineStr">
        <is>
          <t>EV</t>
        </is>
      </c>
      <c r="B647" t="n">
        <v>2015</v>
      </c>
      <c r="C647" t="n">
        <v>6</v>
      </c>
      <c r="D647" t="n">
        <v>49119</v>
      </c>
      <c r="E647" t="n">
        <v>1742</v>
      </c>
      <c r="F647" t="n">
        <v>223</v>
      </c>
      <c r="G647" t="n">
        <v>47154</v>
      </c>
      <c r="H647" t="n">
        <v>34650</v>
      </c>
      <c r="I647" t="n">
        <v>657930</v>
      </c>
      <c r="J647" t="n">
        <v>648847.2999999973</v>
      </c>
      <c r="K647" t="n">
        <v>48814</v>
      </c>
      <c r="L647" t="n">
        <v>338069</v>
      </c>
      <c r="M647" t="n">
        <v>284488</v>
      </c>
      <c r="N647" t="n">
        <v>220076</v>
      </c>
      <c r="O647" t="n">
        <v>22935</v>
      </c>
      <c r="P647" t="n">
        <v>0</v>
      </c>
    </row>
    <row r="648">
      <c r="A648" t="inlineStr">
        <is>
          <t>EV</t>
        </is>
      </c>
      <c r="B648" t="n">
        <v>2015</v>
      </c>
      <c r="C648" t="n">
        <v>7</v>
      </c>
      <c r="D648" t="n">
        <v>50381</v>
      </c>
      <c r="E648" t="n">
        <v>909</v>
      </c>
      <c r="F648" t="n">
        <v>151</v>
      </c>
      <c r="G648" t="n">
        <v>49321</v>
      </c>
      <c r="H648" t="n">
        <v>39669</v>
      </c>
      <c r="I648" t="n">
        <v>341618</v>
      </c>
      <c r="J648" t="n">
        <v>662066.8999999978</v>
      </c>
      <c r="K648" t="n">
        <v>50217</v>
      </c>
      <c r="L648" t="n">
        <v>237964</v>
      </c>
      <c r="M648" t="n">
        <v>204629</v>
      </c>
      <c r="N648" t="n">
        <v>154777</v>
      </c>
      <c r="O648" t="n">
        <v>10304</v>
      </c>
      <c r="P648" t="n">
        <v>0</v>
      </c>
    </row>
    <row r="649">
      <c r="A649" t="inlineStr">
        <is>
          <t>EV</t>
        </is>
      </c>
      <c r="B649" t="n">
        <v>2015</v>
      </c>
      <c r="C649" t="n">
        <v>8</v>
      </c>
      <c r="D649" t="n">
        <v>48554</v>
      </c>
      <c r="E649" t="n">
        <v>728</v>
      </c>
      <c r="F649" t="n">
        <v>158</v>
      </c>
      <c r="G649" t="n">
        <v>47668</v>
      </c>
      <c r="H649" t="n">
        <v>39224</v>
      </c>
      <c r="I649" t="n">
        <v>245701</v>
      </c>
      <c r="J649" t="n">
        <v>628523.6999999954</v>
      </c>
      <c r="K649" t="n">
        <v>48198</v>
      </c>
      <c r="L649" t="n">
        <v>208206</v>
      </c>
      <c r="M649" t="n">
        <v>185308</v>
      </c>
      <c r="N649" t="n">
        <v>131145</v>
      </c>
      <c r="O649" t="n">
        <v>12147</v>
      </c>
      <c r="P649" t="n">
        <v>0</v>
      </c>
    </row>
    <row r="650">
      <c r="A650" t="inlineStr">
        <is>
          <t>EV</t>
        </is>
      </c>
      <c r="B650" t="n">
        <v>2015</v>
      </c>
      <c r="C650" t="n">
        <v>9</v>
      </c>
      <c r="D650" t="n">
        <v>43721</v>
      </c>
      <c r="E650" t="n">
        <v>266</v>
      </c>
      <c r="F650" t="n">
        <v>88</v>
      </c>
      <c r="G650" t="n">
        <v>43367</v>
      </c>
      <c r="H650" t="n">
        <v>37507</v>
      </c>
      <c r="I650" t="n">
        <v>36908</v>
      </c>
      <c r="J650" t="n">
        <v>559117.3000000073</v>
      </c>
      <c r="K650" t="n">
        <v>43467</v>
      </c>
      <c r="L650" t="n">
        <v>116852</v>
      </c>
      <c r="M650" t="n">
        <v>129266</v>
      </c>
      <c r="N650" t="n">
        <v>89912</v>
      </c>
      <c r="O650" t="n">
        <v>7206</v>
      </c>
      <c r="P650" t="n">
        <v>0</v>
      </c>
    </row>
    <row r="651">
      <c r="A651" t="inlineStr">
        <is>
          <t>EV</t>
        </is>
      </c>
      <c r="B651" t="n">
        <v>2015</v>
      </c>
      <c r="C651" t="n">
        <v>10</v>
      </c>
      <c r="D651" t="n">
        <v>45728</v>
      </c>
      <c r="E651" t="n">
        <v>477</v>
      </c>
      <c r="F651" t="n">
        <v>120</v>
      </c>
      <c r="G651" t="n">
        <v>45131</v>
      </c>
      <c r="H651" t="n">
        <v>38424</v>
      </c>
      <c r="I651" t="n">
        <v>103971</v>
      </c>
      <c r="J651" t="n">
        <v>606405.5000000035</v>
      </c>
      <c r="K651" t="n">
        <v>45494</v>
      </c>
      <c r="L651" t="n">
        <v>141408</v>
      </c>
      <c r="M651" t="n">
        <v>144869</v>
      </c>
      <c r="N651" t="n">
        <v>95571</v>
      </c>
      <c r="O651" t="n">
        <v>4604</v>
      </c>
      <c r="P651" t="n">
        <v>0</v>
      </c>
    </row>
    <row r="652">
      <c r="A652" t="inlineStr">
        <is>
          <t>EV</t>
        </is>
      </c>
      <c r="B652" t="n">
        <v>2015</v>
      </c>
      <c r="C652" t="n">
        <v>11</v>
      </c>
      <c r="D652" t="n">
        <v>42572</v>
      </c>
      <c r="E652" t="n">
        <v>783</v>
      </c>
      <c r="F652" t="n">
        <v>145</v>
      </c>
      <c r="G652" t="n">
        <v>41644</v>
      </c>
      <c r="H652" t="n">
        <v>34383</v>
      </c>
      <c r="I652" t="n">
        <v>183897</v>
      </c>
      <c r="J652" t="n">
        <v>613563.0000000055</v>
      </c>
      <c r="K652" t="n">
        <v>42267</v>
      </c>
      <c r="L652" t="n">
        <v>169348</v>
      </c>
      <c r="M652" t="n">
        <v>159223</v>
      </c>
      <c r="N652" t="n">
        <v>119191</v>
      </c>
      <c r="O652" t="n">
        <v>11762</v>
      </c>
      <c r="P652" t="n">
        <v>0</v>
      </c>
    </row>
    <row r="653">
      <c r="A653" t="inlineStr">
        <is>
          <t>EV</t>
        </is>
      </c>
      <c r="B653" t="n">
        <v>2015</v>
      </c>
      <c r="C653" t="n">
        <v>12</v>
      </c>
      <c r="D653" t="n">
        <v>44140</v>
      </c>
      <c r="E653" t="n">
        <v>1517</v>
      </c>
      <c r="F653" t="n">
        <v>193</v>
      </c>
      <c r="G653" t="n">
        <v>42430</v>
      </c>
      <c r="H653" t="n">
        <v>34129</v>
      </c>
      <c r="I653" t="n">
        <v>283652</v>
      </c>
      <c r="J653" t="n">
        <v>621183.1000000025</v>
      </c>
      <c r="K653" t="n">
        <v>43718</v>
      </c>
      <c r="L653" t="n">
        <v>224051</v>
      </c>
      <c r="M653" t="n">
        <v>200232</v>
      </c>
      <c r="N653" t="n">
        <v>127297</v>
      </c>
      <c r="O653" t="n">
        <v>11434</v>
      </c>
      <c r="P653" t="n">
        <v>0</v>
      </c>
    </row>
    <row r="654">
      <c r="A654" t="inlineStr">
        <is>
          <t>EV</t>
        </is>
      </c>
      <c r="B654" t="n">
        <v>2016</v>
      </c>
      <c r="C654" t="n">
        <v>1</v>
      </c>
      <c r="D654" t="n">
        <v>41970</v>
      </c>
      <c r="E654" t="n">
        <v>1427</v>
      </c>
      <c r="F654" t="n">
        <v>95</v>
      </c>
      <c r="G654" t="n">
        <v>40448</v>
      </c>
      <c r="H654" t="n">
        <v>34073</v>
      </c>
      <c r="I654" t="n">
        <v>65853</v>
      </c>
      <c r="J654" t="n">
        <v>657732.3000000014</v>
      </c>
      <c r="K654" t="n">
        <v>41702</v>
      </c>
      <c r="L654" t="n">
        <v>140180</v>
      </c>
      <c r="M654" t="n">
        <v>167003</v>
      </c>
      <c r="N654" t="n">
        <v>84977</v>
      </c>
      <c r="O654" t="n">
        <v>10657</v>
      </c>
      <c r="P654" t="n">
        <v>0</v>
      </c>
    </row>
    <row r="655">
      <c r="A655" t="inlineStr">
        <is>
          <t>EV</t>
        </is>
      </c>
      <c r="B655" t="n">
        <v>2016</v>
      </c>
      <c r="C655" t="n">
        <v>2</v>
      </c>
      <c r="D655" t="n">
        <v>39926</v>
      </c>
      <c r="E655" t="n">
        <v>1465</v>
      </c>
      <c r="F655" t="n">
        <v>120</v>
      </c>
      <c r="G655" t="n">
        <v>38341</v>
      </c>
      <c r="H655" t="n">
        <v>31328</v>
      </c>
      <c r="I655" t="n">
        <v>157149</v>
      </c>
      <c r="J655" t="n">
        <v>635879.5000000047</v>
      </c>
      <c r="K655" t="n">
        <v>39768</v>
      </c>
      <c r="L655" t="n">
        <v>177466</v>
      </c>
      <c r="M655" t="n">
        <v>178734</v>
      </c>
      <c r="N655" t="n">
        <v>110042</v>
      </c>
      <c r="O655" t="n">
        <v>6351</v>
      </c>
      <c r="P655" t="n">
        <v>0</v>
      </c>
    </row>
    <row r="656">
      <c r="A656" t="inlineStr">
        <is>
          <t>EV</t>
        </is>
      </c>
      <c r="B656" t="n">
        <v>2016</v>
      </c>
      <c r="C656" t="n">
        <v>3</v>
      </c>
      <c r="D656" t="n">
        <v>44584</v>
      </c>
      <c r="E656" t="n">
        <v>611</v>
      </c>
      <c r="F656" t="n">
        <v>143</v>
      </c>
      <c r="G656" t="n">
        <v>43830</v>
      </c>
      <c r="H656" t="n">
        <v>36992</v>
      </c>
      <c r="I656" t="n">
        <v>121215</v>
      </c>
      <c r="J656" t="n">
        <v>671385.3000000011</v>
      </c>
      <c r="K656" t="n">
        <v>44460</v>
      </c>
      <c r="L656" t="n">
        <v>165866</v>
      </c>
      <c r="M656" t="n">
        <v>174018</v>
      </c>
      <c r="N656" t="n">
        <v>111417</v>
      </c>
      <c r="O656" t="n">
        <v>10004</v>
      </c>
      <c r="P656" t="n">
        <v>0</v>
      </c>
    </row>
    <row r="657">
      <c r="A657" t="inlineStr">
        <is>
          <t>EV</t>
        </is>
      </c>
      <c r="B657" t="n">
        <v>2016</v>
      </c>
      <c r="C657" t="n">
        <v>4</v>
      </c>
      <c r="D657" t="n">
        <v>40773</v>
      </c>
      <c r="E657" t="n">
        <v>623</v>
      </c>
      <c r="F657" t="n">
        <v>90</v>
      </c>
      <c r="G657" t="n">
        <v>40060</v>
      </c>
      <c r="H657" t="n">
        <v>34942</v>
      </c>
      <c r="I657" t="n">
        <v>-3402</v>
      </c>
      <c r="J657" t="n">
        <v>629652.0999999936</v>
      </c>
      <c r="K657" t="n">
        <v>40660</v>
      </c>
      <c r="L657" t="n">
        <v>109079</v>
      </c>
      <c r="M657" t="n">
        <v>139970</v>
      </c>
      <c r="N657" t="n">
        <v>81890</v>
      </c>
      <c r="O657" t="n">
        <v>6199</v>
      </c>
      <c r="P657" t="n">
        <v>0</v>
      </c>
    </row>
    <row r="658">
      <c r="A658" t="inlineStr">
        <is>
          <t>EV</t>
        </is>
      </c>
      <c r="B658" t="n">
        <v>2016</v>
      </c>
      <c r="C658" t="n">
        <v>5</v>
      </c>
      <c r="D658" t="n">
        <v>41294</v>
      </c>
      <c r="E658" t="n">
        <v>452</v>
      </c>
      <c r="F658" t="n">
        <v>133</v>
      </c>
      <c r="G658" t="n">
        <v>40709</v>
      </c>
      <c r="H658" t="n">
        <v>34460</v>
      </c>
      <c r="I658" t="n">
        <v>113834</v>
      </c>
      <c r="J658" t="n">
        <v>601432.8000000002</v>
      </c>
      <c r="K658" t="n">
        <v>41162</v>
      </c>
      <c r="L658" t="n">
        <v>135952</v>
      </c>
      <c r="M658" t="n">
        <v>162948</v>
      </c>
      <c r="N658" t="n">
        <v>108684</v>
      </c>
      <c r="O658" t="n">
        <v>11246</v>
      </c>
      <c r="P658" t="n">
        <v>0</v>
      </c>
    </row>
    <row r="659">
      <c r="A659" t="inlineStr">
        <is>
          <t>EV</t>
        </is>
      </c>
      <c r="B659" t="n">
        <v>2016</v>
      </c>
      <c r="C659" t="n">
        <v>6</v>
      </c>
      <c r="D659" t="n">
        <v>42975</v>
      </c>
      <c r="E659" t="n">
        <v>1254</v>
      </c>
      <c r="F659" t="n">
        <v>190</v>
      </c>
      <c r="G659" t="n">
        <v>41531</v>
      </c>
      <c r="H659" t="n">
        <v>33550</v>
      </c>
      <c r="I659" t="n">
        <v>330489</v>
      </c>
      <c r="J659" t="n">
        <v>654276.699999999</v>
      </c>
      <c r="K659" t="n">
        <v>42704</v>
      </c>
      <c r="L659" t="n">
        <v>226803</v>
      </c>
      <c r="M659" t="n">
        <v>257626</v>
      </c>
      <c r="N659" t="n">
        <v>128258</v>
      </c>
      <c r="O659" t="n">
        <v>11674</v>
      </c>
      <c r="P659" t="n">
        <v>0</v>
      </c>
    </row>
    <row r="660">
      <c r="A660" t="inlineStr">
        <is>
          <t>EV</t>
        </is>
      </c>
      <c r="B660" t="n">
        <v>2016</v>
      </c>
      <c r="C660" t="n">
        <v>7</v>
      </c>
      <c r="D660" t="n">
        <v>43562</v>
      </c>
      <c r="E660" t="n">
        <v>2319</v>
      </c>
      <c r="F660" t="n">
        <v>221</v>
      </c>
      <c r="G660" t="n">
        <v>41022</v>
      </c>
      <c r="H660" t="n">
        <v>30903</v>
      </c>
      <c r="I660" t="n">
        <v>589180</v>
      </c>
      <c r="J660" t="n">
        <v>675349.299999998</v>
      </c>
      <c r="K660" t="n">
        <v>43458</v>
      </c>
      <c r="L660" t="n">
        <v>334035</v>
      </c>
      <c r="M660" t="n">
        <v>333256</v>
      </c>
      <c r="N660" t="n">
        <v>180067</v>
      </c>
      <c r="O660" t="n">
        <v>18012</v>
      </c>
      <c r="P660" t="n">
        <v>0</v>
      </c>
    </row>
    <row r="661">
      <c r="A661" t="inlineStr">
        <is>
          <t>EV</t>
        </is>
      </c>
      <c r="B661" t="n">
        <v>2016</v>
      </c>
      <c r="C661" t="n">
        <v>8</v>
      </c>
      <c r="D661" t="n">
        <v>43255</v>
      </c>
      <c r="E661" t="n">
        <v>1609</v>
      </c>
      <c r="F661" t="n">
        <v>174</v>
      </c>
      <c r="G661" t="n">
        <v>41472</v>
      </c>
      <c r="H661" t="n">
        <v>31856</v>
      </c>
      <c r="I661" t="n">
        <v>471013</v>
      </c>
      <c r="J661" t="n">
        <v>674120.699999999</v>
      </c>
      <c r="K661" t="n">
        <v>43161</v>
      </c>
      <c r="L661" t="n">
        <v>294196</v>
      </c>
      <c r="M661" t="n">
        <v>291166</v>
      </c>
      <c r="N661" t="n">
        <v>155274</v>
      </c>
      <c r="O661" t="n">
        <v>10789</v>
      </c>
      <c r="P661" t="n">
        <v>0</v>
      </c>
    </row>
    <row r="662">
      <c r="A662" t="inlineStr">
        <is>
          <t>EV</t>
        </is>
      </c>
      <c r="B662" t="n">
        <v>2016</v>
      </c>
      <c r="C662" t="n">
        <v>9</v>
      </c>
      <c r="D662" t="n">
        <v>38994</v>
      </c>
      <c r="E662" t="n">
        <v>324</v>
      </c>
      <c r="F662" t="n">
        <v>119</v>
      </c>
      <c r="G662" t="n">
        <v>38551</v>
      </c>
      <c r="H662" t="n">
        <v>32404</v>
      </c>
      <c r="I662" t="n">
        <v>129990</v>
      </c>
      <c r="J662" t="n">
        <v>590500.0999999986</v>
      </c>
      <c r="K662" t="n">
        <v>38834</v>
      </c>
      <c r="L662" t="n">
        <v>154914</v>
      </c>
      <c r="M662" t="n">
        <v>191972</v>
      </c>
      <c r="N662" t="n">
        <v>96033</v>
      </c>
      <c r="O662" t="n">
        <v>7296</v>
      </c>
      <c r="P662" t="n">
        <v>0</v>
      </c>
    </row>
    <row r="663">
      <c r="A663" t="inlineStr">
        <is>
          <t>EV</t>
        </is>
      </c>
      <c r="B663" t="n">
        <v>2016</v>
      </c>
      <c r="C663" t="n">
        <v>10</v>
      </c>
      <c r="D663" t="n">
        <v>39645</v>
      </c>
      <c r="E663" t="n">
        <v>318</v>
      </c>
      <c r="F663" t="n">
        <v>71</v>
      </c>
      <c r="G663" t="n">
        <v>39256</v>
      </c>
      <c r="H663" t="n">
        <v>33562</v>
      </c>
      <c r="I663" t="n">
        <v>54248</v>
      </c>
      <c r="J663" t="n">
        <v>621777.6000000078</v>
      </c>
      <c r="K663" t="n">
        <v>39576</v>
      </c>
      <c r="L663" t="n">
        <v>135772</v>
      </c>
      <c r="M663" t="n">
        <v>175830</v>
      </c>
      <c r="N663" t="n">
        <v>84498</v>
      </c>
      <c r="O663" t="n">
        <v>6471</v>
      </c>
      <c r="P663" t="n">
        <v>0</v>
      </c>
    </row>
    <row r="664">
      <c r="A664" t="inlineStr">
        <is>
          <t>EV</t>
        </is>
      </c>
      <c r="B664" t="n">
        <v>2016</v>
      </c>
      <c r="C664" t="n">
        <v>11</v>
      </c>
      <c r="D664" t="n">
        <v>36499</v>
      </c>
      <c r="E664" t="n">
        <v>345</v>
      </c>
      <c r="F664" t="n">
        <v>105</v>
      </c>
      <c r="G664" t="n">
        <v>36049</v>
      </c>
      <c r="H664" t="n">
        <v>30202</v>
      </c>
      <c r="I664" t="n">
        <v>122047</v>
      </c>
      <c r="J664" t="n">
        <v>604189.3000000048</v>
      </c>
      <c r="K664" t="n">
        <v>36204</v>
      </c>
      <c r="L664" t="n">
        <v>165724</v>
      </c>
      <c r="M664" t="n">
        <v>183659</v>
      </c>
      <c r="N664" t="n">
        <v>90842</v>
      </c>
      <c r="O664" t="n">
        <v>7557</v>
      </c>
      <c r="P664" t="n">
        <v>0</v>
      </c>
    </row>
    <row r="665">
      <c r="A665" t="inlineStr">
        <is>
          <t>EV</t>
        </is>
      </c>
      <c r="B665" t="n">
        <v>2016</v>
      </c>
      <c r="C665" t="n">
        <v>12</v>
      </c>
      <c r="D665" t="n">
        <v>37513</v>
      </c>
      <c r="E665" t="n">
        <v>1142</v>
      </c>
      <c r="F665" t="n">
        <v>116</v>
      </c>
      <c r="G665" t="n">
        <v>36255</v>
      </c>
      <c r="H665" t="n">
        <v>27585</v>
      </c>
      <c r="I665" t="n">
        <v>446052</v>
      </c>
      <c r="J665" t="n">
        <v>603379.3000000003</v>
      </c>
      <c r="K665" t="n">
        <v>37283</v>
      </c>
      <c r="L665" t="n">
        <v>248339</v>
      </c>
      <c r="M665" t="n">
        <v>267305</v>
      </c>
      <c r="N665" t="n">
        <v>140895</v>
      </c>
      <c r="O665" t="n">
        <v>18677</v>
      </c>
      <c r="P665" t="n">
        <v>0</v>
      </c>
    </row>
    <row r="666">
      <c r="A666" t="inlineStr">
        <is>
          <t>EV</t>
        </is>
      </c>
      <c r="B666" t="n">
        <v>2017</v>
      </c>
      <c r="C666" t="n">
        <v>1</v>
      </c>
      <c r="D666" t="n">
        <v>35037</v>
      </c>
      <c r="E666" t="n">
        <v>1159</v>
      </c>
      <c r="F666" t="n">
        <v>146</v>
      </c>
      <c r="G666" t="n">
        <v>33732</v>
      </c>
      <c r="H666" t="n">
        <v>25496</v>
      </c>
      <c r="I666" t="n">
        <v>444352</v>
      </c>
      <c r="J666" t="n">
        <v>618451.5000000009</v>
      </c>
      <c r="K666" t="n">
        <v>34965</v>
      </c>
      <c r="L666" t="n">
        <v>261288</v>
      </c>
      <c r="M666" t="n">
        <v>299209</v>
      </c>
      <c r="N666" t="n">
        <v>130083</v>
      </c>
      <c r="O666" t="n">
        <v>11271</v>
      </c>
      <c r="P666" t="n">
        <v>0</v>
      </c>
    </row>
    <row r="667">
      <c r="A667" t="inlineStr">
        <is>
          <t>EV</t>
        </is>
      </c>
      <c r="B667" t="n">
        <v>2017</v>
      </c>
      <c r="C667" t="n">
        <v>2</v>
      </c>
      <c r="D667" t="n">
        <v>30444</v>
      </c>
      <c r="E667" t="n">
        <v>657</v>
      </c>
      <c r="F667" t="n">
        <v>92</v>
      </c>
      <c r="G667" t="n">
        <v>29695</v>
      </c>
      <c r="H667" t="n">
        <v>25074</v>
      </c>
      <c r="I667" t="n">
        <v>40451</v>
      </c>
      <c r="J667" t="n">
        <v>539157.999999999</v>
      </c>
      <c r="K667" t="n">
        <v>30333</v>
      </c>
      <c r="L667" t="n">
        <v>121057</v>
      </c>
      <c r="M667" t="n">
        <v>146554</v>
      </c>
      <c r="N667" t="n">
        <v>73928</v>
      </c>
      <c r="O667" t="n">
        <v>6379</v>
      </c>
      <c r="P667" t="n">
        <v>0</v>
      </c>
    </row>
    <row r="668">
      <c r="A668" t="inlineStr">
        <is>
          <t>EV</t>
        </is>
      </c>
      <c r="B668" t="n">
        <v>2017</v>
      </c>
      <c r="C668" t="n">
        <v>3</v>
      </c>
      <c r="D668" t="n">
        <v>35235</v>
      </c>
      <c r="E668" t="n">
        <v>1284</v>
      </c>
      <c r="F668" t="n">
        <v>81</v>
      </c>
      <c r="G668" t="n">
        <v>33870</v>
      </c>
      <c r="H668" t="n">
        <v>26691</v>
      </c>
      <c r="I668" t="n">
        <v>327992</v>
      </c>
      <c r="J668" t="n">
        <v>609608.5999999982</v>
      </c>
      <c r="K668" t="n">
        <v>35089</v>
      </c>
      <c r="L668" t="n">
        <v>218376</v>
      </c>
      <c r="M668" t="n">
        <v>250761</v>
      </c>
      <c r="N668" t="n">
        <v>113779</v>
      </c>
      <c r="O668" t="n">
        <v>7040</v>
      </c>
      <c r="P668" t="n">
        <v>0</v>
      </c>
    </row>
    <row r="669">
      <c r="A669" t="inlineStr">
        <is>
          <t>EV</t>
        </is>
      </c>
      <c r="B669" t="n">
        <v>2017</v>
      </c>
      <c r="C669" t="n">
        <v>4</v>
      </c>
      <c r="D669" t="n">
        <v>30789</v>
      </c>
      <c r="E669" t="n">
        <v>911</v>
      </c>
      <c r="F669" t="n">
        <v>102</v>
      </c>
      <c r="G669" t="n">
        <v>29776</v>
      </c>
      <c r="H669" t="n">
        <v>23292</v>
      </c>
      <c r="I669" t="n">
        <v>344755</v>
      </c>
      <c r="J669" t="n">
        <v>524438.7999999956</v>
      </c>
      <c r="K669" t="n">
        <v>30758</v>
      </c>
      <c r="L669" t="n">
        <v>213006</v>
      </c>
      <c r="M669" t="n">
        <v>247037</v>
      </c>
      <c r="N669" t="n">
        <v>116421</v>
      </c>
      <c r="O669" t="n">
        <v>12274</v>
      </c>
      <c r="P669" t="n">
        <v>0</v>
      </c>
    </row>
    <row r="670">
      <c r="A670" t="inlineStr">
        <is>
          <t>EV</t>
        </is>
      </c>
      <c r="B670" t="n">
        <v>2017</v>
      </c>
      <c r="C670" t="n">
        <v>5</v>
      </c>
      <c r="D670" t="n">
        <v>30851</v>
      </c>
      <c r="E670" t="n">
        <v>726</v>
      </c>
      <c r="F670" t="n">
        <v>100</v>
      </c>
      <c r="G670" t="n">
        <v>30025</v>
      </c>
      <c r="H670" t="n">
        <v>23688</v>
      </c>
      <c r="I670" t="n">
        <v>300916</v>
      </c>
      <c r="J670" t="n">
        <v>500396.1999999972</v>
      </c>
      <c r="K670" t="n">
        <v>30686</v>
      </c>
      <c r="L670" t="n">
        <v>182448</v>
      </c>
      <c r="M670" t="n">
        <v>215116</v>
      </c>
      <c r="N670" t="n">
        <v>136040</v>
      </c>
      <c r="O670" t="n">
        <v>5469</v>
      </c>
      <c r="P670" t="n">
        <v>0</v>
      </c>
    </row>
    <row r="671">
      <c r="A671" t="inlineStr">
        <is>
          <t>EV</t>
        </is>
      </c>
      <c r="B671" t="n">
        <v>2017</v>
      </c>
      <c r="C671" t="n">
        <v>6</v>
      </c>
      <c r="D671" t="n">
        <v>30131</v>
      </c>
      <c r="E671" t="n">
        <v>654</v>
      </c>
      <c r="F671" t="n">
        <v>99</v>
      </c>
      <c r="G671" t="n">
        <v>29378</v>
      </c>
      <c r="H671" t="n">
        <v>22623</v>
      </c>
      <c r="I671" t="n">
        <v>360265</v>
      </c>
      <c r="J671" t="n">
        <v>493620.4000000007</v>
      </c>
      <c r="K671" t="n">
        <v>29957</v>
      </c>
      <c r="L671" t="n">
        <v>188517</v>
      </c>
      <c r="M671" t="n">
        <v>208512</v>
      </c>
      <c r="N671" t="n">
        <v>169081</v>
      </c>
      <c r="O671" t="n">
        <v>8756</v>
      </c>
      <c r="P671" t="n">
        <v>0</v>
      </c>
    </row>
    <row r="672">
      <c r="A672" t="inlineStr">
        <is>
          <t>EV</t>
        </is>
      </c>
      <c r="B672" t="n">
        <v>2017</v>
      </c>
      <c r="C672" t="n">
        <v>7</v>
      </c>
      <c r="D672" t="n">
        <v>29231</v>
      </c>
      <c r="E672" t="n">
        <v>884</v>
      </c>
      <c r="F672" t="n">
        <v>104</v>
      </c>
      <c r="G672" t="n">
        <v>28243</v>
      </c>
      <c r="H672" t="n">
        <v>22084</v>
      </c>
      <c r="I672" t="n">
        <v>304088</v>
      </c>
      <c r="J672" t="n">
        <v>471823.4000000012</v>
      </c>
      <c r="K672" t="n">
        <v>29106</v>
      </c>
      <c r="L672" t="n">
        <v>165295</v>
      </c>
      <c r="M672" t="n">
        <v>189258</v>
      </c>
      <c r="N672" t="n">
        <v>154181</v>
      </c>
      <c r="O672" t="n">
        <v>10127</v>
      </c>
      <c r="P672" t="n">
        <v>0</v>
      </c>
    </row>
    <row r="673">
      <c r="A673" t="inlineStr">
        <is>
          <t>EV</t>
        </is>
      </c>
      <c r="B673" t="n">
        <v>2017</v>
      </c>
      <c r="C673" t="n">
        <v>8</v>
      </c>
      <c r="D673" t="n">
        <v>28807</v>
      </c>
      <c r="E673" t="n">
        <v>1945</v>
      </c>
      <c r="F673" t="n">
        <v>98</v>
      </c>
      <c r="G673" t="n">
        <v>26764</v>
      </c>
      <c r="H673" t="n">
        <v>21353</v>
      </c>
      <c r="I673" t="n">
        <v>205536</v>
      </c>
      <c r="J673" t="n">
        <v>471198.5999999972</v>
      </c>
      <c r="K673" t="n">
        <v>28729</v>
      </c>
      <c r="L673" t="n">
        <v>148968</v>
      </c>
      <c r="M673" t="n">
        <v>148805</v>
      </c>
      <c r="N673" t="n">
        <v>117996</v>
      </c>
      <c r="O673" t="n">
        <v>10621</v>
      </c>
      <c r="P673" t="n">
        <v>0</v>
      </c>
    </row>
    <row r="674">
      <c r="A674" t="inlineStr">
        <is>
          <t>EV</t>
        </is>
      </c>
      <c r="B674" t="n">
        <v>2017</v>
      </c>
      <c r="C674" t="n">
        <v>9</v>
      </c>
      <c r="D674" t="n">
        <v>24040</v>
      </c>
      <c r="E674" t="n">
        <v>996</v>
      </c>
      <c r="F674" t="n">
        <v>56</v>
      </c>
      <c r="G674" t="n">
        <v>22988</v>
      </c>
      <c r="H674" t="n">
        <v>19471</v>
      </c>
      <c r="I674" t="n">
        <v>35609</v>
      </c>
      <c r="J674" t="n">
        <v>383247.4000000006</v>
      </c>
      <c r="K674" t="n">
        <v>23945</v>
      </c>
      <c r="L674" t="n">
        <v>78637</v>
      </c>
      <c r="M674" t="n">
        <v>100608</v>
      </c>
      <c r="N674" t="n">
        <v>74233</v>
      </c>
      <c r="O674" t="n">
        <v>2179</v>
      </c>
      <c r="P674" t="n">
        <v>0</v>
      </c>
    </row>
    <row r="675">
      <c r="A675" t="inlineStr">
        <is>
          <t>EV</t>
        </is>
      </c>
      <c r="B675" t="n">
        <v>2017</v>
      </c>
      <c r="C675" t="n">
        <v>10</v>
      </c>
      <c r="D675" t="n">
        <v>23622</v>
      </c>
      <c r="E675" t="n">
        <v>329</v>
      </c>
      <c r="F675" t="n">
        <v>55</v>
      </c>
      <c r="G675" t="n">
        <v>23238</v>
      </c>
      <c r="H675" t="n">
        <v>19038</v>
      </c>
      <c r="I675" t="n">
        <v>146868</v>
      </c>
      <c r="J675" t="n">
        <v>384379.9000000018</v>
      </c>
      <c r="K675" t="n">
        <v>23596</v>
      </c>
      <c r="L675" t="n">
        <v>115884</v>
      </c>
      <c r="M675" t="n">
        <v>141871</v>
      </c>
      <c r="N675" t="n">
        <v>82319</v>
      </c>
      <c r="O675" t="n">
        <v>4695</v>
      </c>
      <c r="P675" t="n">
        <v>0</v>
      </c>
    </row>
    <row r="676">
      <c r="A676" t="inlineStr">
        <is>
          <t>EV</t>
        </is>
      </c>
      <c r="B676" t="n">
        <v>2017</v>
      </c>
      <c r="C676" t="n">
        <v>11</v>
      </c>
      <c r="D676" t="n">
        <v>20595</v>
      </c>
      <c r="E676" t="n">
        <v>65</v>
      </c>
      <c r="F676" t="n">
        <v>19</v>
      </c>
      <c r="G676" t="n">
        <v>20511</v>
      </c>
      <c r="H676" t="n">
        <v>17781</v>
      </c>
      <c r="I676" t="n">
        <v>-43295</v>
      </c>
      <c r="J676" t="n">
        <v>394956.9000000017</v>
      </c>
      <c r="K676" t="n">
        <v>20535</v>
      </c>
      <c r="L676" t="n">
        <v>59398</v>
      </c>
      <c r="M676" t="n">
        <v>61465</v>
      </c>
      <c r="N676" t="n">
        <v>54295</v>
      </c>
      <c r="O676" t="n">
        <v>2753</v>
      </c>
      <c r="P676" t="n">
        <v>0</v>
      </c>
    </row>
    <row r="677">
      <c r="A677" t="inlineStr">
        <is>
          <t>EV</t>
        </is>
      </c>
      <c r="B677" t="n">
        <v>2017</v>
      </c>
      <c r="C677" t="n">
        <v>12</v>
      </c>
      <c r="D677" t="n">
        <v>20759</v>
      </c>
      <c r="E677" t="n">
        <v>356</v>
      </c>
      <c r="F677" t="n">
        <v>49</v>
      </c>
      <c r="G677" t="n">
        <v>20354</v>
      </c>
      <c r="H677" t="n">
        <v>15858</v>
      </c>
      <c r="I677" t="n">
        <v>170041</v>
      </c>
      <c r="J677" t="n">
        <v>389596.3000000003</v>
      </c>
      <c r="K677" t="n">
        <v>20588</v>
      </c>
      <c r="L677" t="n">
        <v>110769</v>
      </c>
      <c r="M677" t="n">
        <v>111496</v>
      </c>
      <c r="N677" t="n">
        <v>103120</v>
      </c>
      <c r="O677" t="n">
        <v>16040</v>
      </c>
      <c r="P677" t="n">
        <v>0</v>
      </c>
    </row>
    <row r="678">
      <c r="A678" t="inlineStr">
        <is>
          <t>EV</t>
        </is>
      </c>
      <c r="B678" t="n">
        <v>2018</v>
      </c>
      <c r="C678" t="n">
        <v>1</v>
      </c>
      <c r="D678" t="n">
        <v>20166</v>
      </c>
      <c r="E678" t="n">
        <v>997</v>
      </c>
      <c r="F678" t="n">
        <v>57</v>
      </c>
      <c r="G678" t="n">
        <v>19112</v>
      </c>
      <c r="H678" t="n">
        <v>15035</v>
      </c>
      <c r="I678" t="n">
        <v>152177</v>
      </c>
      <c r="J678" t="n">
        <v>391949.0999999958</v>
      </c>
      <c r="K678" t="n">
        <v>20126</v>
      </c>
      <c r="L678" t="n">
        <v>112229</v>
      </c>
      <c r="M678" t="n">
        <v>126730</v>
      </c>
      <c r="N678" t="n">
        <v>78970</v>
      </c>
      <c r="O678" t="n">
        <v>16259</v>
      </c>
      <c r="P678" t="n">
        <v>0</v>
      </c>
    </row>
    <row r="679">
      <c r="A679" t="inlineStr">
        <is>
          <t>EV</t>
        </is>
      </c>
      <c r="B679" t="n">
        <v>2018</v>
      </c>
      <c r="C679" t="n">
        <v>2</v>
      </c>
      <c r="D679" t="n">
        <v>17962</v>
      </c>
      <c r="E679" t="n">
        <v>386</v>
      </c>
      <c r="F679" t="n">
        <v>66</v>
      </c>
      <c r="G679" t="n">
        <v>17510</v>
      </c>
      <c r="H679" t="n">
        <v>13460</v>
      </c>
      <c r="I679" t="n">
        <v>174223</v>
      </c>
      <c r="J679" t="n">
        <v>343370.6000000047</v>
      </c>
      <c r="K679" t="n">
        <v>17899</v>
      </c>
      <c r="L679" t="n">
        <v>106305</v>
      </c>
      <c r="M679" t="n">
        <v>112133</v>
      </c>
      <c r="N679" t="n">
        <v>94640</v>
      </c>
      <c r="O679" t="n">
        <v>14271</v>
      </c>
      <c r="P679" t="n">
        <v>0</v>
      </c>
    </row>
    <row r="680">
      <c r="A680" t="inlineStr">
        <is>
          <t>EV</t>
        </is>
      </c>
      <c r="B680" t="n">
        <v>2018</v>
      </c>
      <c r="C680" t="n">
        <v>3</v>
      </c>
      <c r="D680" t="n">
        <v>21016</v>
      </c>
      <c r="E680" t="n">
        <v>937</v>
      </c>
      <c r="F680" t="n">
        <v>47</v>
      </c>
      <c r="G680" t="n">
        <v>20032</v>
      </c>
      <c r="H680" t="n">
        <v>16628</v>
      </c>
      <c r="I680" t="n">
        <v>81021</v>
      </c>
      <c r="J680" t="n">
        <v>384801.8999999991</v>
      </c>
      <c r="K680" t="n">
        <v>20976</v>
      </c>
      <c r="L680" t="n">
        <v>80457</v>
      </c>
      <c r="M680" t="n">
        <v>107904</v>
      </c>
      <c r="N680" t="n">
        <v>65866</v>
      </c>
      <c r="O680" t="n">
        <v>4709</v>
      </c>
      <c r="P680" t="n">
        <v>0</v>
      </c>
    </row>
    <row r="681">
      <c r="A681" t="inlineStr">
        <is>
          <t>EV</t>
        </is>
      </c>
      <c r="B681" t="n">
        <v>2018</v>
      </c>
      <c r="C681" t="n">
        <v>4</v>
      </c>
      <c r="D681" t="n">
        <v>17644</v>
      </c>
      <c r="E681" t="n">
        <v>243</v>
      </c>
      <c r="F681" t="n">
        <v>51</v>
      </c>
      <c r="G681" t="n">
        <v>17350</v>
      </c>
      <c r="H681" t="n">
        <v>14266</v>
      </c>
      <c r="I681" t="n">
        <v>70075</v>
      </c>
      <c r="J681" t="n">
        <v>330934.0999999989</v>
      </c>
      <c r="K681" t="n">
        <v>17607</v>
      </c>
      <c r="L681" t="n">
        <v>77383</v>
      </c>
      <c r="M681" t="n">
        <v>78736</v>
      </c>
      <c r="N681" t="n">
        <v>75990</v>
      </c>
      <c r="O681" t="n">
        <v>8734</v>
      </c>
      <c r="P681" t="n">
        <v>0</v>
      </c>
    </row>
    <row r="682">
      <c r="A682" t="inlineStr">
        <is>
          <t>EV</t>
        </is>
      </c>
      <c r="B682" t="n">
        <v>2018</v>
      </c>
      <c r="C682" t="n">
        <v>5</v>
      </c>
      <c r="D682" t="n">
        <v>16661</v>
      </c>
      <c r="E682" t="n">
        <v>180</v>
      </c>
      <c r="F682" t="n">
        <v>59</v>
      </c>
      <c r="G682" t="n">
        <v>16422</v>
      </c>
      <c r="H682" t="n">
        <v>13835</v>
      </c>
      <c r="I682" t="n">
        <v>35826</v>
      </c>
      <c r="J682" t="n">
        <v>306502.4000000007</v>
      </c>
      <c r="K682" t="n">
        <v>16600</v>
      </c>
      <c r="L682" t="n">
        <v>56309</v>
      </c>
      <c r="M682" t="n">
        <v>72753</v>
      </c>
      <c r="N682" t="n">
        <v>72835</v>
      </c>
      <c r="O682" t="n">
        <v>12052</v>
      </c>
      <c r="P682" t="n">
        <v>0</v>
      </c>
    </row>
    <row r="683">
      <c r="A683" t="inlineStr">
        <is>
          <t>EV</t>
        </is>
      </c>
      <c r="B683" t="n">
        <v>2018</v>
      </c>
      <c r="C683" t="n">
        <v>6</v>
      </c>
      <c r="D683" t="n">
        <v>16559</v>
      </c>
      <c r="E683" t="n">
        <v>173</v>
      </c>
      <c r="F683" t="n">
        <v>83</v>
      </c>
      <c r="G683" t="n">
        <v>16303</v>
      </c>
      <c r="H683" t="n">
        <v>12966</v>
      </c>
      <c r="I683" t="n">
        <v>145530</v>
      </c>
      <c r="J683" t="n">
        <v>276128.1000000009</v>
      </c>
      <c r="K683" t="n">
        <v>16431</v>
      </c>
      <c r="L683" t="n">
        <v>80394</v>
      </c>
      <c r="M683" t="n">
        <v>97453</v>
      </c>
      <c r="N683" t="n">
        <v>91782</v>
      </c>
      <c r="O683" t="n">
        <v>9898</v>
      </c>
      <c r="P683" t="n">
        <v>0</v>
      </c>
    </row>
    <row r="684">
      <c r="A684" t="inlineStr">
        <is>
          <t>EV</t>
        </is>
      </c>
      <c r="B684" t="n">
        <v>2018</v>
      </c>
      <c r="C684" t="n">
        <v>7</v>
      </c>
      <c r="D684" t="n">
        <v>16548</v>
      </c>
      <c r="E684" t="n">
        <v>461</v>
      </c>
      <c r="F684" t="n">
        <v>56</v>
      </c>
      <c r="G684" t="n">
        <v>16031</v>
      </c>
      <c r="H684" t="n">
        <v>12768</v>
      </c>
      <c r="I684" t="n">
        <v>150461</v>
      </c>
      <c r="J684" t="n">
        <v>262986.9999999991</v>
      </c>
      <c r="K684" t="n">
        <v>16518</v>
      </c>
      <c r="L684" t="n">
        <v>87265</v>
      </c>
      <c r="M684" t="n">
        <v>90995</v>
      </c>
      <c r="N684" t="n">
        <v>87126</v>
      </c>
      <c r="O684" t="n">
        <v>8153</v>
      </c>
      <c r="P684" t="n">
        <v>0</v>
      </c>
    </row>
    <row r="685">
      <c r="A685" t="inlineStr">
        <is>
          <t>EV</t>
        </is>
      </c>
      <c r="B685" t="n">
        <v>2018</v>
      </c>
      <c r="C685" t="n">
        <v>8</v>
      </c>
      <c r="D685" t="n">
        <v>17365</v>
      </c>
      <c r="E685" t="n">
        <v>636</v>
      </c>
      <c r="F685" t="n">
        <v>58</v>
      </c>
      <c r="G685" t="n">
        <v>16671</v>
      </c>
      <c r="H685" t="n">
        <v>12846</v>
      </c>
      <c r="I685" t="n">
        <v>200422</v>
      </c>
      <c r="J685" t="n">
        <v>272502.9999999994</v>
      </c>
      <c r="K685" t="n">
        <v>17240</v>
      </c>
      <c r="L685" t="n">
        <v>101019</v>
      </c>
      <c r="M685" t="n">
        <v>106676</v>
      </c>
      <c r="N685" t="n">
        <v>103446</v>
      </c>
      <c r="O685" t="n">
        <v>12936</v>
      </c>
      <c r="P685" t="n">
        <v>0</v>
      </c>
    </row>
    <row r="686">
      <c r="A686" t="inlineStr">
        <is>
          <t>EV</t>
        </is>
      </c>
      <c r="B686" t="n">
        <v>2018</v>
      </c>
      <c r="C686" t="n">
        <v>9</v>
      </c>
      <c r="D686" t="n">
        <v>15456</v>
      </c>
      <c r="E686" t="n">
        <v>284</v>
      </c>
      <c r="F686" t="n">
        <v>58</v>
      </c>
      <c r="G686" t="n">
        <v>15114</v>
      </c>
      <c r="H686" t="n">
        <v>11727</v>
      </c>
      <c r="I686" t="n">
        <v>149709</v>
      </c>
      <c r="J686" t="n">
        <v>235842.4000000005</v>
      </c>
      <c r="K686" t="n">
        <v>15381</v>
      </c>
      <c r="L686" t="n">
        <v>84468</v>
      </c>
      <c r="M686" t="n">
        <v>78738</v>
      </c>
      <c r="N686" t="n">
        <v>85357</v>
      </c>
      <c r="O686" t="n">
        <v>10628</v>
      </c>
      <c r="P686" t="n">
        <v>0</v>
      </c>
    </row>
    <row r="687">
      <c r="A687" t="inlineStr">
        <is>
          <t>EV</t>
        </is>
      </c>
      <c r="B687" t="n">
        <v>2018</v>
      </c>
      <c r="C687" t="n">
        <v>10</v>
      </c>
      <c r="D687" t="n">
        <v>15358</v>
      </c>
      <c r="E687" t="n">
        <v>330</v>
      </c>
      <c r="F687" t="n">
        <v>35</v>
      </c>
      <c r="G687" t="n">
        <v>14993</v>
      </c>
      <c r="H687" t="n">
        <v>11593</v>
      </c>
      <c r="I687" t="n">
        <v>164153</v>
      </c>
      <c r="J687" t="n">
        <v>230846.6999999994</v>
      </c>
      <c r="K687" t="n">
        <v>15315</v>
      </c>
      <c r="L687" t="n">
        <v>77446</v>
      </c>
      <c r="M687" t="n">
        <v>85784</v>
      </c>
      <c r="N687" t="n">
        <v>88829</v>
      </c>
      <c r="O687" t="n">
        <v>9064</v>
      </c>
      <c r="P687" t="n">
        <v>0</v>
      </c>
    </row>
    <row r="688">
      <c r="A688" t="inlineStr">
        <is>
          <t>EV</t>
        </is>
      </c>
      <c r="B688" t="n">
        <v>2018</v>
      </c>
      <c r="C688" t="n">
        <v>11</v>
      </c>
      <c r="D688" t="n">
        <v>14273</v>
      </c>
      <c r="E688" t="n">
        <v>413</v>
      </c>
      <c r="F688" t="n">
        <v>35</v>
      </c>
      <c r="G688" t="n">
        <v>13825</v>
      </c>
      <c r="H688" t="n">
        <v>10224</v>
      </c>
      <c r="I688" t="n">
        <v>217716</v>
      </c>
      <c r="J688" t="n">
        <v>250692.100000001</v>
      </c>
      <c r="K688" t="n">
        <v>14219</v>
      </c>
      <c r="L688" t="n">
        <v>95259</v>
      </c>
      <c r="M688" t="n">
        <v>103123</v>
      </c>
      <c r="N688" t="n">
        <v>93992</v>
      </c>
      <c r="O688" t="n">
        <v>10229</v>
      </c>
      <c r="P688" t="n">
        <v>0</v>
      </c>
    </row>
    <row r="689">
      <c r="A689" t="inlineStr">
        <is>
          <t>EV</t>
        </is>
      </c>
      <c r="B689" t="n">
        <v>2018</v>
      </c>
      <c r="C689" t="n">
        <v>12</v>
      </c>
      <c r="D689" t="n">
        <v>13882</v>
      </c>
      <c r="E689" t="n">
        <v>630</v>
      </c>
      <c r="F689" t="n">
        <v>32</v>
      </c>
      <c r="G689" t="n">
        <v>13220</v>
      </c>
      <c r="H689" t="n">
        <v>9765</v>
      </c>
      <c r="I689" t="n">
        <v>188755</v>
      </c>
      <c r="J689" t="n">
        <v>238075.4999999991</v>
      </c>
      <c r="K689" t="n">
        <v>13717</v>
      </c>
      <c r="L689" t="n">
        <v>90157</v>
      </c>
      <c r="M689" t="n">
        <v>83406</v>
      </c>
      <c r="N689" t="n">
        <v>91392</v>
      </c>
      <c r="O689" t="n">
        <v>14814</v>
      </c>
      <c r="P689" t="n">
        <v>0</v>
      </c>
    </row>
    <row r="690">
      <c r="A690" t="inlineStr">
        <is>
          <t>EV</t>
        </is>
      </c>
      <c r="B690" t="n">
        <v>2019</v>
      </c>
      <c r="C690" t="n">
        <v>1</v>
      </c>
      <c r="D690" t="n">
        <v>13195</v>
      </c>
      <c r="E690" t="n">
        <v>964</v>
      </c>
      <c r="F690" t="n">
        <v>31</v>
      </c>
      <c r="G690" t="n">
        <v>12200</v>
      </c>
      <c r="H690" t="n">
        <v>9178</v>
      </c>
      <c r="I690" t="n">
        <v>163748</v>
      </c>
      <c r="J690" t="n">
        <v>243074.2999999998</v>
      </c>
      <c r="K690" t="n">
        <v>12998</v>
      </c>
      <c r="L690" t="n">
        <v>82657</v>
      </c>
      <c r="M690" t="n">
        <v>78941</v>
      </c>
      <c r="N690" t="n">
        <v>82787</v>
      </c>
      <c r="O690" t="n">
        <v>12212</v>
      </c>
      <c r="P690" t="n">
        <v>0</v>
      </c>
    </row>
    <row r="691">
      <c r="A691" t="inlineStr">
        <is>
          <t>EV</t>
        </is>
      </c>
      <c r="B691" t="n">
        <v>2019</v>
      </c>
      <c r="C691" t="n">
        <v>2</v>
      </c>
      <c r="D691" t="n">
        <v>11447</v>
      </c>
      <c r="E691" t="n">
        <v>527</v>
      </c>
      <c r="F691" t="n">
        <v>40</v>
      </c>
      <c r="G691" t="n">
        <v>10880</v>
      </c>
      <c r="H691" t="n">
        <v>7972</v>
      </c>
      <c r="I691" t="n">
        <v>165454</v>
      </c>
      <c r="J691" t="n">
        <v>211529.6000000013</v>
      </c>
      <c r="K691" t="n">
        <v>11348</v>
      </c>
      <c r="L691" t="n">
        <v>68696</v>
      </c>
      <c r="M691" t="n">
        <v>77842</v>
      </c>
      <c r="N691" t="n">
        <v>81911</v>
      </c>
      <c r="O691" t="n">
        <v>11104</v>
      </c>
      <c r="P691" t="n">
        <v>0</v>
      </c>
    </row>
    <row r="692">
      <c r="A692" t="inlineStr">
        <is>
          <t>EV</t>
        </is>
      </c>
      <c r="B692" t="n">
        <v>2019</v>
      </c>
      <c r="C692" t="n">
        <v>3</v>
      </c>
      <c r="D692" t="n">
        <v>12941</v>
      </c>
      <c r="E692" t="n">
        <v>432</v>
      </c>
      <c r="F692" t="n">
        <v>43</v>
      </c>
      <c r="G692" t="n">
        <v>12466</v>
      </c>
      <c r="H692" t="n">
        <v>9715</v>
      </c>
      <c r="I692" t="n">
        <v>126181</v>
      </c>
      <c r="J692" t="n">
        <v>238651.0999999982</v>
      </c>
      <c r="K692" t="n">
        <v>12886</v>
      </c>
      <c r="L692" t="n">
        <v>69309</v>
      </c>
      <c r="M692" t="n">
        <v>62731</v>
      </c>
      <c r="N692" t="n">
        <v>76034</v>
      </c>
      <c r="O692" t="n">
        <v>3500</v>
      </c>
      <c r="P692" t="n">
        <v>0</v>
      </c>
    </row>
    <row r="693">
      <c r="A693" t="inlineStr">
        <is>
          <t>EV</t>
        </is>
      </c>
      <c r="B693" t="n">
        <v>2019</v>
      </c>
      <c r="C693" t="n">
        <v>4</v>
      </c>
      <c r="D693" t="n">
        <v>11300</v>
      </c>
      <c r="E693" t="n">
        <v>848</v>
      </c>
      <c r="F693" t="n">
        <v>38</v>
      </c>
      <c r="G693" t="n">
        <v>10414</v>
      </c>
      <c r="H693" t="n">
        <v>7769</v>
      </c>
      <c r="I693" t="n">
        <v>149701</v>
      </c>
      <c r="J693" t="n">
        <v>203947.7999999986</v>
      </c>
      <c r="K693" t="n">
        <v>11168</v>
      </c>
      <c r="L693" t="n">
        <v>71991</v>
      </c>
      <c r="M693" t="n">
        <v>67154</v>
      </c>
      <c r="N693" t="n">
        <v>79392</v>
      </c>
      <c r="O693" t="n">
        <v>7410</v>
      </c>
      <c r="P693" t="n">
        <v>0</v>
      </c>
    </row>
    <row r="694">
      <c r="A694" t="inlineStr">
        <is>
          <t>EV</t>
        </is>
      </c>
      <c r="B694" t="n">
        <v>2019</v>
      </c>
      <c r="C694" t="n">
        <v>5</v>
      </c>
      <c r="D694" t="n">
        <v>9290</v>
      </c>
      <c r="E694" t="n">
        <v>551</v>
      </c>
      <c r="F694" t="n">
        <v>34</v>
      </c>
      <c r="G694" t="n">
        <v>8705</v>
      </c>
      <c r="H694" t="n">
        <v>6411</v>
      </c>
      <c r="I694" t="n">
        <v>150205</v>
      </c>
      <c r="J694" t="n">
        <v>166749.2999999986</v>
      </c>
      <c r="K694" t="n">
        <v>9237</v>
      </c>
      <c r="L694" t="n">
        <v>56230</v>
      </c>
      <c r="M694" t="n">
        <v>63693</v>
      </c>
      <c r="N694" t="n">
        <v>77031</v>
      </c>
      <c r="O694" t="n">
        <v>16318</v>
      </c>
      <c r="P694" t="n">
        <v>0</v>
      </c>
    </row>
    <row r="695">
      <c r="A695" t="inlineStr">
        <is>
          <t>EV</t>
        </is>
      </c>
      <c r="B695" t="n">
        <v>2019</v>
      </c>
      <c r="C695" t="n">
        <v>6</v>
      </c>
      <c r="D695" t="n">
        <v>9786</v>
      </c>
      <c r="E695" t="n">
        <v>602</v>
      </c>
      <c r="F695" t="n">
        <v>55</v>
      </c>
      <c r="G695" t="n">
        <v>9129</v>
      </c>
      <c r="H695" t="n">
        <v>5823</v>
      </c>
      <c r="I695" t="n">
        <v>291421</v>
      </c>
      <c r="J695" t="n">
        <v>159972.0000000012</v>
      </c>
      <c r="K695" t="n">
        <v>9758</v>
      </c>
      <c r="L695" t="n">
        <v>101503</v>
      </c>
      <c r="M695" t="n">
        <v>104033</v>
      </c>
      <c r="N695" t="n">
        <v>109928</v>
      </c>
      <c r="O695" t="n">
        <v>18193</v>
      </c>
      <c r="P695" t="n">
        <v>0</v>
      </c>
    </row>
    <row r="696">
      <c r="A696" t="inlineStr">
        <is>
          <t>EV</t>
        </is>
      </c>
      <c r="B696" t="n">
        <v>2019</v>
      </c>
      <c r="C696" t="n">
        <v>7</v>
      </c>
      <c r="D696" t="n">
        <v>11182</v>
      </c>
      <c r="E696" t="n">
        <v>569</v>
      </c>
      <c r="F696" t="n">
        <v>37</v>
      </c>
      <c r="G696" t="n">
        <v>10576</v>
      </c>
      <c r="H696" t="n">
        <v>7484</v>
      </c>
      <c r="I696" t="n">
        <v>240676</v>
      </c>
      <c r="J696" t="n">
        <v>172412.6999999995</v>
      </c>
      <c r="K696" t="n">
        <v>11172</v>
      </c>
      <c r="L696" t="n">
        <v>84499</v>
      </c>
      <c r="M696" t="n">
        <v>85734</v>
      </c>
      <c r="N696" t="n">
        <v>111038</v>
      </c>
      <c r="O696" t="n">
        <v>11506</v>
      </c>
      <c r="P696" t="n">
        <v>0</v>
      </c>
    </row>
    <row r="697">
      <c r="A697" t="inlineStr">
        <is>
          <t>EV</t>
        </is>
      </c>
      <c r="B697" t="n">
        <v>2019</v>
      </c>
      <c r="C697" t="n">
        <v>8</v>
      </c>
      <c r="D697" t="n">
        <v>11348</v>
      </c>
      <c r="E697" t="n">
        <v>671</v>
      </c>
      <c r="F697" t="n">
        <v>40</v>
      </c>
      <c r="G697" t="n">
        <v>10637</v>
      </c>
      <c r="H697" t="n">
        <v>7535</v>
      </c>
      <c r="I697" t="n">
        <v>247543</v>
      </c>
      <c r="J697" t="n">
        <v>189150.5999999986</v>
      </c>
      <c r="K697" t="n">
        <v>11266</v>
      </c>
      <c r="L697" t="n">
        <v>87483</v>
      </c>
      <c r="M697" t="n">
        <v>100815</v>
      </c>
      <c r="N697" t="n">
        <v>105838</v>
      </c>
      <c r="O697" t="n">
        <v>7568</v>
      </c>
      <c r="P697" t="n">
        <v>0</v>
      </c>
    </row>
    <row r="698">
      <c r="A698" t="inlineStr">
        <is>
          <t>EV</t>
        </is>
      </c>
      <c r="B698" t="n">
        <v>2019</v>
      </c>
      <c r="C698" t="n">
        <v>9</v>
      </c>
      <c r="D698" t="n">
        <v>11386</v>
      </c>
      <c r="E698" t="n">
        <v>504</v>
      </c>
      <c r="F698" t="n">
        <v>19</v>
      </c>
      <c r="G698" t="n">
        <v>10863</v>
      </c>
      <c r="H698" t="n">
        <v>8184</v>
      </c>
      <c r="I698" t="n">
        <v>127230</v>
      </c>
      <c r="J698" t="n">
        <v>213465.0000000007</v>
      </c>
      <c r="K698" t="n">
        <v>11367</v>
      </c>
      <c r="L698" t="n">
        <v>57500</v>
      </c>
      <c r="M698" t="n">
        <v>65279</v>
      </c>
      <c r="N698" t="n">
        <v>84242</v>
      </c>
      <c r="O698" t="n">
        <v>5668</v>
      </c>
      <c r="P698" t="n">
        <v>0</v>
      </c>
    </row>
    <row r="699">
      <c r="A699" t="inlineStr">
        <is>
          <t>EV</t>
        </is>
      </c>
      <c r="B699" t="n">
        <v>2019</v>
      </c>
      <c r="C699" t="n">
        <v>10</v>
      </c>
      <c r="D699" t="n">
        <v>10425</v>
      </c>
      <c r="E699" t="n">
        <v>96</v>
      </c>
      <c r="F699" t="n">
        <v>23</v>
      </c>
      <c r="G699" t="n">
        <v>10306</v>
      </c>
      <c r="H699" t="n">
        <v>7686</v>
      </c>
      <c r="I699" t="n">
        <v>113248</v>
      </c>
      <c r="J699" t="n">
        <v>204303.1000000011</v>
      </c>
      <c r="K699" t="n">
        <v>10398</v>
      </c>
      <c r="L699" t="n">
        <v>56693</v>
      </c>
      <c r="M699" t="n">
        <v>41518</v>
      </c>
      <c r="N699" t="n">
        <v>82976</v>
      </c>
      <c r="O699" t="n">
        <v>5287</v>
      </c>
      <c r="P699" t="n">
        <v>0</v>
      </c>
    </row>
    <row r="700">
      <c r="A700" t="inlineStr">
        <is>
          <t>EV</t>
        </is>
      </c>
      <c r="B700" t="n">
        <v>2019</v>
      </c>
      <c r="C700" t="n">
        <v>11</v>
      </c>
      <c r="D700" t="n">
        <v>11179</v>
      </c>
      <c r="E700" t="n">
        <v>89</v>
      </c>
      <c r="F700" t="n">
        <v>18</v>
      </c>
      <c r="G700" t="n">
        <v>11072</v>
      </c>
      <c r="H700" t="n">
        <v>9147</v>
      </c>
      <c r="I700" t="n">
        <v>46201</v>
      </c>
      <c r="J700" t="n">
        <v>238919.0000000006</v>
      </c>
      <c r="K700" t="n">
        <v>11127</v>
      </c>
      <c r="L700" t="n">
        <v>36545</v>
      </c>
      <c r="M700" t="n">
        <v>60685</v>
      </c>
      <c r="N700" t="n">
        <v>48035</v>
      </c>
      <c r="O700" t="n">
        <v>3405</v>
      </c>
      <c r="P700" t="n">
        <v>0</v>
      </c>
    </row>
    <row r="701">
      <c r="A701" t="inlineStr">
        <is>
          <t>EV</t>
        </is>
      </c>
      <c r="B701" t="n">
        <v>2019</v>
      </c>
      <c r="C701" t="n">
        <v>12</v>
      </c>
      <c r="D701" t="n">
        <v>11203</v>
      </c>
      <c r="E701" t="n">
        <v>233</v>
      </c>
      <c r="F701" t="n">
        <v>39</v>
      </c>
      <c r="G701" t="n">
        <v>10931</v>
      </c>
      <c r="H701" t="n">
        <v>8237</v>
      </c>
      <c r="I701" t="n">
        <v>164615</v>
      </c>
      <c r="J701" t="n">
        <v>235790.6999999988</v>
      </c>
      <c r="K701" t="n">
        <v>11101</v>
      </c>
      <c r="L701" t="n">
        <v>78462</v>
      </c>
      <c r="M701" t="n">
        <v>79871</v>
      </c>
      <c r="N701" t="n">
        <v>87490</v>
      </c>
      <c r="O701" t="n">
        <v>8325</v>
      </c>
      <c r="P701" t="n">
        <v>0</v>
      </c>
    </row>
    <row r="702">
      <c r="A702" t="inlineStr">
        <is>
          <t>EV</t>
        </is>
      </c>
      <c r="B702" t="n">
        <v>2020</v>
      </c>
      <c r="C702" t="n">
        <v>1</v>
      </c>
      <c r="D702" t="n">
        <v>10564</v>
      </c>
      <c r="E702" t="n">
        <v>147</v>
      </c>
      <c r="F702" t="n">
        <v>41</v>
      </c>
      <c r="G702" t="n">
        <v>10376</v>
      </c>
      <c r="H702" t="n">
        <v>8775</v>
      </c>
      <c r="I702" t="n">
        <v>-4527</v>
      </c>
      <c r="J702" t="n">
        <v>237024.9999999988</v>
      </c>
      <c r="K702" t="n">
        <v>10514</v>
      </c>
      <c r="L702" t="n">
        <v>23827</v>
      </c>
      <c r="M702" t="n">
        <v>30998</v>
      </c>
      <c r="N702" t="n">
        <v>43556</v>
      </c>
      <c r="O702" t="n">
        <v>3942</v>
      </c>
      <c r="P702" t="n">
        <v>0</v>
      </c>
    </row>
    <row r="703">
      <c r="A703" t="inlineStr">
        <is>
          <t>EV</t>
        </is>
      </c>
      <c r="B703" t="n">
        <v>2020</v>
      </c>
      <c r="C703" t="n">
        <v>2</v>
      </c>
      <c r="D703" t="n">
        <v>11404</v>
      </c>
      <c r="E703" t="n">
        <v>78</v>
      </c>
      <c r="F703" t="n">
        <v>19</v>
      </c>
      <c r="G703" t="n">
        <v>11307</v>
      </c>
      <c r="H703" t="n">
        <v>9637</v>
      </c>
      <c r="I703" t="n">
        <v>-10778</v>
      </c>
      <c r="J703" t="n">
        <v>251557.3000000012</v>
      </c>
      <c r="K703" t="n">
        <v>11347</v>
      </c>
      <c r="L703" t="n">
        <v>25970</v>
      </c>
      <c r="M703" t="n">
        <v>27739</v>
      </c>
      <c r="N703" t="n">
        <v>49341</v>
      </c>
      <c r="O703" t="n">
        <v>3297</v>
      </c>
      <c r="P703" t="n">
        <v>0</v>
      </c>
    </row>
    <row r="704">
      <c r="A704" t="inlineStr">
        <is>
          <t>EV</t>
        </is>
      </c>
      <c r="B704" t="n">
        <v>2020</v>
      </c>
      <c r="C704" t="n">
        <v>3</v>
      </c>
      <c r="D704" t="n">
        <v>12412</v>
      </c>
      <c r="E704" t="n">
        <v>2092</v>
      </c>
      <c r="F704" t="n">
        <v>22</v>
      </c>
      <c r="G704" t="n">
        <v>10298</v>
      </c>
      <c r="H704" t="n">
        <v>9386</v>
      </c>
      <c r="I704" t="n">
        <v>-89176</v>
      </c>
      <c r="J704" t="n">
        <v>259205.4999999998</v>
      </c>
      <c r="K704" t="n">
        <v>12371</v>
      </c>
      <c r="L704" t="n">
        <v>10672</v>
      </c>
      <c r="M704" t="n">
        <v>14283</v>
      </c>
      <c r="N704" t="n">
        <v>19869</v>
      </c>
      <c r="O704" t="n">
        <v>1000</v>
      </c>
      <c r="P704" t="n">
        <v>0</v>
      </c>
    </row>
    <row r="705">
      <c r="A705" t="inlineStr">
        <is>
          <t>EV</t>
        </is>
      </c>
      <c r="B705" t="n">
        <v>2020</v>
      </c>
      <c r="C705" t="n">
        <v>4</v>
      </c>
      <c r="D705" t="n">
        <v>4656</v>
      </c>
      <c r="E705" t="n">
        <v>1334</v>
      </c>
      <c r="F705" t="n">
        <v>5</v>
      </c>
      <c r="G705" t="n">
        <v>3317</v>
      </c>
      <c r="H705" t="n">
        <v>3153</v>
      </c>
      <c r="I705" t="n">
        <v>-55792</v>
      </c>
      <c r="J705" t="n">
        <v>94048.30000000061</v>
      </c>
      <c r="K705" t="n">
        <v>4649</v>
      </c>
      <c r="L705" t="n">
        <v>691</v>
      </c>
      <c r="M705" t="n">
        <v>5097</v>
      </c>
      <c r="N705" t="n">
        <v>3154</v>
      </c>
      <c r="O705" t="n">
        <v>1299</v>
      </c>
      <c r="P705" t="n">
        <v>0</v>
      </c>
    </row>
    <row r="706">
      <c r="A706" t="inlineStr">
        <is>
          <t>EV</t>
        </is>
      </c>
      <c r="B706" t="n">
        <v>2020</v>
      </c>
      <c r="C706" t="n">
        <v>5</v>
      </c>
      <c r="D706" t="n">
        <v>2464</v>
      </c>
      <c r="E706" t="n">
        <v>103</v>
      </c>
      <c r="F706" t="n">
        <v>14</v>
      </c>
      <c r="G706" t="n">
        <v>2347</v>
      </c>
      <c r="H706" t="n">
        <v>2206</v>
      </c>
      <c r="I706" t="n">
        <v>-26559</v>
      </c>
      <c r="J706" t="n">
        <v>41768.30000000001</v>
      </c>
      <c r="K706" t="n">
        <v>2452</v>
      </c>
      <c r="L706" t="n">
        <v>1439</v>
      </c>
      <c r="M706" t="n">
        <v>3651</v>
      </c>
      <c r="N706" t="n">
        <v>3016</v>
      </c>
      <c r="O706" t="n">
        <v>1091</v>
      </c>
      <c r="P706" t="n">
        <v>0</v>
      </c>
    </row>
    <row r="707">
      <c r="A707" t="inlineStr">
        <is>
          <t>EV</t>
        </is>
      </c>
      <c r="B707" t="n">
        <v>2020</v>
      </c>
      <c r="C707" t="n">
        <v>6</v>
      </c>
      <c r="D707" t="n">
        <v>2151</v>
      </c>
      <c r="E707" t="n">
        <v>8</v>
      </c>
      <c r="F707" t="n">
        <v>5</v>
      </c>
      <c r="G707" t="n">
        <v>2138</v>
      </c>
      <c r="H707" t="n">
        <v>1896</v>
      </c>
      <c r="I707" t="n">
        <v>1346</v>
      </c>
      <c r="J707" t="n">
        <v>17691.3</v>
      </c>
      <c r="K707" t="n">
        <v>2138</v>
      </c>
      <c r="L707" t="n">
        <v>1211</v>
      </c>
      <c r="M707" t="n">
        <v>2373</v>
      </c>
      <c r="N707" t="n">
        <v>6484</v>
      </c>
      <c r="O707" t="n">
        <v>5804</v>
      </c>
      <c r="P707" t="n">
        <v>0</v>
      </c>
    </row>
    <row r="708">
      <c r="A708" t="inlineStr">
        <is>
          <t>EV</t>
        </is>
      </c>
      <c r="B708" t="n">
        <v>2020</v>
      </c>
      <c r="C708" t="n">
        <v>7</v>
      </c>
      <c r="D708" t="n">
        <v>2852</v>
      </c>
      <c r="E708" t="n">
        <v>22</v>
      </c>
      <c r="F708" t="n">
        <v>3</v>
      </c>
      <c r="G708" t="n">
        <v>2827</v>
      </c>
      <c r="H708" t="n">
        <v>2570</v>
      </c>
      <c r="I708" t="n">
        <v>-6146</v>
      </c>
      <c r="J708" t="n">
        <v>20821.29999999993</v>
      </c>
      <c r="K708" t="n">
        <v>2850</v>
      </c>
      <c r="L708" t="n">
        <v>1273</v>
      </c>
      <c r="M708" t="n">
        <v>3647</v>
      </c>
      <c r="N708" t="n">
        <v>6711</v>
      </c>
      <c r="O708" t="n">
        <v>240</v>
      </c>
      <c r="P708" t="n">
        <v>0</v>
      </c>
    </row>
    <row r="709">
      <c r="A709" t="inlineStr">
        <is>
          <t>EV</t>
        </is>
      </c>
      <c r="B709" t="n">
        <v>2020</v>
      </c>
      <c r="C709" t="n">
        <v>8</v>
      </c>
      <c r="D709" t="n">
        <v>3296</v>
      </c>
      <c r="E709" t="n">
        <v>197</v>
      </c>
      <c r="F709" t="n">
        <v>8</v>
      </c>
      <c r="G709" t="n">
        <v>3091</v>
      </c>
      <c r="H709" t="n">
        <v>2898</v>
      </c>
      <c r="I709" t="n">
        <v>-19389</v>
      </c>
      <c r="J709" t="n">
        <v>28413.3</v>
      </c>
      <c r="K709" t="n">
        <v>3296</v>
      </c>
      <c r="L709" t="n">
        <v>1073</v>
      </c>
      <c r="M709" t="n">
        <v>3125</v>
      </c>
      <c r="N709" t="n">
        <v>4805</v>
      </c>
      <c r="O709" t="n">
        <v>557</v>
      </c>
      <c r="P709" t="n">
        <v>0</v>
      </c>
    </row>
    <row r="710">
      <c r="A710" t="inlineStr">
        <is>
          <t>EV</t>
        </is>
      </c>
      <c r="B710" t="n">
        <v>2020</v>
      </c>
      <c r="C710" t="n">
        <v>9</v>
      </c>
      <c r="D710" t="n">
        <v>2336</v>
      </c>
      <c r="E710" t="n">
        <v>54</v>
      </c>
      <c r="F710" t="n">
        <v>2</v>
      </c>
      <c r="G710" t="n">
        <v>2280</v>
      </c>
      <c r="H710" t="n">
        <v>2145</v>
      </c>
      <c r="I710" t="n">
        <v>-22846</v>
      </c>
      <c r="J710" t="n">
        <v>39118.10000000001</v>
      </c>
      <c r="K710" t="n">
        <v>2314</v>
      </c>
      <c r="L710" t="n">
        <v>793</v>
      </c>
      <c r="M710" t="n">
        <v>1986</v>
      </c>
      <c r="N710" t="n">
        <v>4411</v>
      </c>
      <c r="O710" t="n">
        <v>96</v>
      </c>
      <c r="P710" t="n">
        <v>0</v>
      </c>
    </row>
    <row r="711">
      <c r="A711" t="inlineStr">
        <is>
          <t>F9</t>
        </is>
      </c>
      <c r="B711" t="n">
        <v>2015</v>
      </c>
      <c r="C711" t="n">
        <v>1</v>
      </c>
      <c r="D711" t="n">
        <v>6829</v>
      </c>
      <c r="E711" t="n">
        <v>89</v>
      </c>
      <c r="F711" t="n">
        <v>5</v>
      </c>
      <c r="G711" t="n">
        <v>6735</v>
      </c>
      <c r="H711" t="n">
        <v>4584</v>
      </c>
      <c r="I711" t="n">
        <v>123636</v>
      </c>
      <c r="J711" t="n">
        <v>91492.89999999991</v>
      </c>
      <c r="K711" t="n">
        <v>6553</v>
      </c>
      <c r="L711" t="n">
        <v>66621</v>
      </c>
      <c r="M711" t="n">
        <v>33264</v>
      </c>
      <c r="N711" t="n">
        <v>48440</v>
      </c>
      <c r="O711" t="n">
        <v>1293</v>
      </c>
      <c r="P711" t="n">
        <v>0</v>
      </c>
    </row>
    <row r="712">
      <c r="A712" t="inlineStr">
        <is>
          <t>F9</t>
        </is>
      </c>
      <c r="B712" t="n">
        <v>2015</v>
      </c>
      <c r="C712" t="n">
        <v>2</v>
      </c>
      <c r="D712" t="n">
        <v>5809</v>
      </c>
      <c r="E712" t="n">
        <v>108</v>
      </c>
      <c r="F712" t="n">
        <v>10</v>
      </c>
      <c r="G712" t="n">
        <v>5691</v>
      </c>
      <c r="H712" t="n">
        <v>3417</v>
      </c>
      <c r="I712" t="n">
        <v>156071</v>
      </c>
      <c r="J712" t="n">
        <v>80788.59999999986</v>
      </c>
      <c r="K712" t="n">
        <v>5637</v>
      </c>
      <c r="L712" t="n">
        <v>73291</v>
      </c>
      <c r="M712" t="n">
        <v>36175</v>
      </c>
      <c r="N712" t="n">
        <v>60642</v>
      </c>
      <c r="O712" t="n">
        <v>4278</v>
      </c>
      <c r="P712" t="n">
        <v>0</v>
      </c>
    </row>
    <row r="713">
      <c r="A713" t="inlineStr">
        <is>
          <t>F9</t>
        </is>
      </c>
      <c r="B713" t="n">
        <v>2015</v>
      </c>
      <c r="C713" t="n">
        <v>3</v>
      </c>
      <c r="D713" t="n">
        <v>6950</v>
      </c>
      <c r="E713" t="n">
        <v>61</v>
      </c>
      <c r="F713" t="n">
        <v>9</v>
      </c>
      <c r="G713" t="n">
        <v>6880</v>
      </c>
      <c r="H713" t="n">
        <v>4530</v>
      </c>
      <c r="I713" t="n">
        <v>138115</v>
      </c>
      <c r="J713" t="n">
        <v>92545.00000000013</v>
      </c>
      <c r="K713" t="n">
        <v>6839</v>
      </c>
      <c r="L713" t="n">
        <v>65859</v>
      </c>
      <c r="M713" t="n">
        <v>35424</v>
      </c>
      <c r="N713" t="n">
        <v>54880</v>
      </c>
      <c r="O713" t="n">
        <v>1780</v>
      </c>
      <c r="P713" t="n">
        <v>0</v>
      </c>
    </row>
    <row r="714">
      <c r="A714" t="inlineStr">
        <is>
          <t>F9</t>
        </is>
      </c>
      <c r="B714" t="n">
        <v>2015</v>
      </c>
      <c r="C714" t="n">
        <v>4</v>
      </c>
      <c r="D714" t="n">
        <v>7148</v>
      </c>
      <c r="E714" t="n">
        <v>38</v>
      </c>
      <c r="F714" t="n">
        <v>18</v>
      </c>
      <c r="G714" t="n">
        <v>7092</v>
      </c>
      <c r="H714" t="n">
        <v>5184</v>
      </c>
      <c r="I714" t="n">
        <v>89646</v>
      </c>
      <c r="J714" t="n">
        <v>95482.70000000017</v>
      </c>
      <c r="K714" t="n">
        <v>7057</v>
      </c>
      <c r="L714" t="n">
        <v>41468</v>
      </c>
      <c r="M714" t="n">
        <v>22398</v>
      </c>
      <c r="N714" t="n">
        <v>49155</v>
      </c>
      <c r="O714" t="n">
        <v>1221</v>
      </c>
      <c r="P714" t="n">
        <v>0</v>
      </c>
    </row>
    <row r="715">
      <c r="A715" t="inlineStr">
        <is>
          <t>F9</t>
        </is>
      </c>
      <c r="B715" t="n">
        <v>2015</v>
      </c>
      <c r="C715" t="n">
        <v>5</v>
      </c>
      <c r="D715" t="n">
        <v>8118</v>
      </c>
      <c r="E715" t="n">
        <v>25</v>
      </c>
      <c r="F715" t="n">
        <v>18</v>
      </c>
      <c r="G715" t="n">
        <v>8075</v>
      </c>
      <c r="H715" t="n">
        <v>5937</v>
      </c>
      <c r="I715" t="n">
        <v>105036</v>
      </c>
      <c r="J715" t="n">
        <v>102613.3000000002</v>
      </c>
      <c r="K715" t="n">
        <v>8052</v>
      </c>
      <c r="L715" t="n">
        <v>50472</v>
      </c>
      <c r="M715" t="n">
        <v>30758</v>
      </c>
      <c r="N715" t="n">
        <v>55544</v>
      </c>
      <c r="O715" t="n">
        <v>700</v>
      </c>
      <c r="P715" t="n">
        <v>0</v>
      </c>
    </row>
    <row r="716">
      <c r="A716" t="inlineStr">
        <is>
          <t>F9</t>
        </is>
      </c>
      <c r="B716" t="n">
        <v>2015</v>
      </c>
      <c r="C716" t="n">
        <v>6</v>
      </c>
      <c r="D716" t="n">
        <v>7893</v>
      </c>
      <c r="E716" t="n">
        <v>54</v>
      </c>
      <c r="F716" t="n">
        <v>25</v>
      </c>
      <c r="G716" t="n">
        <v>7814</v>
      </c>
      <c r="H716" t="n">
        <v>5338</v>
      </c>
      <c r="I716" t="n">
        <v>154037</v>
      </c>
      <c r="J716" t="n">
        <v>106830.4000000001</v>
      </c>
      <c r="K716" t="n">
        <v>7893</v>
      </c>
      <c r="L716" t="n">
        <v>75380</v>
      </c>
      <c r="M716" t="n">
        <v>36490</v>
      </c>
      <c r="N716" t="n">
        <v>70693</v>
      </c>
      <c r="O716" t="n">
        <v>2021</v>
      </c>
      <c r="P716" t="n">
        <v>0</v>
      </c>
    </row>
    <row r="717">
      <c r="A717" t="inlineStr">
        <is>
          <t>F9</t>
        </is>
      </c>
      <c r="B717" t="n">
        <v>2015</v>
      </c>
      <c r="C717" t="n">
        <v>7</v>
      </c>
      <c r="D717" t="n">
        <v>8090</v>
      </c>
      <c r="E717" t="n">
        <v>33</v>
      </c>
      <c r="F717" t="n">
        <v>19</v>
      </c>
      <c r="G717" t="n">
        <v>8038</v>
      </c>
      <c r="H717" t="n">
        <v>5774</v>
      </c>
      <c r="I717" t="n">
        <v>116266</v>
      </c>
      <c r="J717" t="n">
        <v>103132.8000000001</v>
      </c>
      <c r="K717" t="n">
        <v>8090</v>
      </c>
      <c r="L717" t="n">
        <v>55927</v>
      </c>
      <c r="M717" t="n">
        <v>32254</v>
      </c>
      <c r="N717" t="n">
        <v>57740</v>
      </c>
      <c r="O717" t="n">
        <v>1254</v>
      </c>
      <c r="P717" t="n">
        <v>0</v>
      </c>
    </row>
    <row r="718">
      <c r="A718" t="inlineStr">
        <is>
          <t>F9</t>
        </is>
      </c>
      <c r="B718" t="n">
        <v>2015</v>
      </c>
      <c r="C718" t="n">
        <v>8</v>
      </c>
      <c r="D718" t="n">
        <v>8142</v>
      </c>
      <c r="E718" t="n">
        <v>26</v>
      </c>
      <c r="F718" t="n">
        <v>13</v>
      </c>
      <c r="G718" t="n">
        <v>8103</v>
      </c>
      <c r="H718" t="n">
        <v>6274</v>
      </c>
      <c r="I718" t="n">
        <v>74351</v>
      </c>
      <c r="J718" t="n">
        <v>102714.1</v>
      </c>
      <c r="K718" t="n">
        <v>8142</v>
      </c>
      <c r="L718" t="n">
        <v>40276</v>
      </c>
      <c r="M718" t="n">
        <v>23846</v>
      </c>
      <c r="N718" t="n">
        <v>47509</v>
      </c>
      <c r="O718" t="n">
        <v>2082</v>
      </c>
      <c r="P718" t="n">
        <v>0</v>
      </c>
    </row>
    <row r="719">
      <c r="A719" t="inlineStr">
        <is>
          <t>F9</t>
        </is>
      </c>
      <c r="B719" t="n">
        <v>2015</v>
      </c>
      <c r="C719" t="n">
        <v>9</v>
      </c>
      <c r="D719" t="n">
        <v>7873</v>
      </c>
      <c r="E719" t="n">
        <v>21</v>
      </c>
      <c r="F719" t="n">
        <v>6</v>
      </c>
      <c r="G719" t="n">
        <v>7846</v>
      </c>
      <c r="H719" t="n">
        <v>6752</v>
      </c>
      <c r="I719" t="n">
        <v>7677</v>
      </c>
      <c r="J719" t="n">
        <v>134422.2000000002</v>
      </c>
      <c r="K719" t="n">
        <v>7808</v>
      </c>
      <c r="L719" t="n">
        <v>32457</v>
      </c>
      <c r="M719" t="n">
        <v>18318</v>
      </c>
      <c r="N719" t="n">
        <v>22455</v>
      </c>
      <c r="O719" t="n">
        <v>691</v>
      </c>
      <c r="P719" t="n">
        <v>0</v>
      </c>
    </row>
    <row r="720">
      <c r="A720" t="inlineStr">
        <is>
          <t>F9</t>
        </is>
      </c>
      <c r="B720" t="n">
        <v>2015</v>
      </c>
      <c r="C720" t="n">
        <v>10</v>
      </c>
      <c r="D720" t="n">
        <v>8101</v>
      </c>
      <c r="E720" t="n">
        <v>12</v>
      </c>
      <c r="F720" t="n">
        <v>4</v>
      </c>
      <c r="G720" t="n">
        <v>8085</v>
      </c>
      <c r="H720" t="n">
        <v>6898</v>
      </c>
      <c r="I720" t="n">
        <v>664</v>
      </c>
      <c r="J720" t="n">
        <v>138130.4000000001</v>
      </c>
      <c r="K720" t="n">
        <v>8042</v>
      </c>
      <c r="L720" t="n">
        <v>23350</v>
      </c>
      <c r="M720" t="n">
        <v>19044</v>
      </c>
      <c r="N720" t="n">
        <v>20361</v>
      </c>
      <c r="O720" t="n">
        <v>182</v>
      </c>
      <c r="P720" t="n">
        <v>0</v>
      </c>
    </row>
    <row r="721">
      <c r="A721" t="inlineStr">
        <is>
          <t>F9</t>
        </is>
      </c>
      <c r="B721" t="n">
        <v>2015</v>
      </c>
      <c r="C721" t="n">
        <v>11</v>
      </c>
      <c r="D721" t="n">
        <v>7763</v>
      </c>
      <c r="E721" t="n">
        <v>36</v>
      </c>
      <c r="F721" t="n">
        <v>14</v>
      </c>
      <c r="G721" t="n">
        <v>7713</v>
      </c>
      <c r="H721" t="n">
        <v>5743</v>
      </c>
      <c r="I721" t="n">
        <v>86112</v>
      </c>
      <c r="J721" t="n">
        <v>123354.5999999999</v>
      </c>
      <c r="K721" t="n">
        <v>7720</v>
      </c>
      <c r="L721" t="n">
        <v>45610</v>
      </c>
      <c r="M721" t="n">
        <v>28105</v>
      </c>
      <c r="N721" t="n">
        <v>48223</v>
      </c>
      <c r="O721" t="n">
        <v>1155</v>
      </c>
      <c r="P721" t="n">
        <v>0</v>
      </c>
    </row>
    <row r="722">
      <c r="A722" t="inlineStr">
        <is>
          <t>F9</t>
        </is>
      </c>
      <c r="B722" t="n">
        <v>2015</v>
      </c>
      <c r="C722" t="n">
        <v>12</v>
      </c>
      <c r="D722" t="n">
        <v>8120</v>
      </c>
      <c r="E722" t="n">
        <v>85</v>
      </c>
      <c r="F722" t="n">
        <v>17</v>
      </c>
      <c r="G722" t="n">
        <v>8018</v>
      </c>
      <c r="H722" t="n">
        <v>6089</v>
      </c>
      <c r="I722" t="n">
        <v>74938</v>
      </c>
      <c r="J722" t="n">
        <v>167720.5999999998</v>
      </c>
      <c r="K722" t="n">
        <v>8066</v>
      </c>
      <c r="L722" t="n">
        <v>63328</v>
      </c>
      <c r="M722" t="n">
        <v>30874</v>
      </c>
      <c r="N722" t="n">
        <v>45592</v>
      </c>
      <c r="O722" t="n">
        <v>4959</v>
      </c>
      <c r="P722" t="n">
        <v>0</v>
      </c>
    </row>
    <row r="723">
      <c r="A723" t="inlineStr">
        <is>
          <t>F9</t>
        </is>
      </c>
      <c r="B723" t="n">
        <v>2016</v>
      </c>
      <c r="C723" t="n">
        <v>1</v>
      </c>
      <c r="D723" t="n">
        <v>7099</v>
      </c>
      <c r="E723" t="n">
        <v>77</v>
      </c>
      <c r="F723" t="n">
        <v>4</v>
      </c>
      <c r="G723" t="n">
        <v>7018</v>
      </c>
      <c r="H723" t="n">
        <v>6040</v>
      </c>
      <c r="I723" t="n">
        <v>-13055</v>
      </c>
      <c r="J723" t="n">
        <v>166483.1999999999</v>
      </c>
      <c r="K723" t="n">
        <v>7088</v>
      </c>
      <c r="L723" t="n">
        <v>29442</v>
      </c>
      <c r="M723" t="n">
        <v>18135</v>
      </c>
      <c r="N723" t="n">
        <v>20623</v>
      </c>
      <c r="O723" t="n">
        <v>1523</v>
      </c>
      <c r="P723" t="n">
        <v>0</v>
      </c>
    </row>
    <row r="724">
      <c r="A724" t="inlineStr">
        <is>
          <t>F9</t>
        </is>
      </c>
      <c r="B724" t="n">
        <v>2016</v>
      </c>
      <c r="C724" t="n">
        <v>2</v>
      </c>
      <c r="D724" t="n">
        <v>6646</v>
      </c>
      <c r="E724" t="n">
        <v>104</v>
      </c>
      <c r="F724" t="n">
        <v>16</v>
      </c>
      <c r="G724" t="n">
        <v>6526</v>
      </c>
      <c r="H724" t="n">
        <v>5801</v>
      </c>
      <c r="I724" t="n">
        <v>-36647</v>
      </c>
      <c r="J724" t="n">
        <v>174414.3000000001</v>
      </c>
      <c r="K724" t="n">
        <v>6646</v>
      </c>
      <c r="L724" t="n">
        <v>28247</v>
      </c>
      <c r="M724" t="n">
        <v>14609</v>
      </c>
      <c r="N724" t="n">
        <v>14809</v>
      </c>
      <c r="O724" t="n">
        <v>1425</v>
      </c>
      <c r="P724" t="n">
        <v>0</v>
      </c>
    </row>
    <row r="725">
      <c r="A725" t="inlineStr">
        <is>
          <t>F9</t>
        </is>
      </c>
      <c r="B725" t="n">
        <v>2016</v>
      </c>
      <c r="C725" t="n">
        <v>3</v>
      </c>
      <c r="D725" t="n">
        <v>7057</v>
      </c>
      <c r="E725" t="n">
        <v>181</v>
      </c>
      <c r="F725" t="n">
        <v>18</v>
      </c>
      <c r="G725" t="n">
        <v>6858</v>
      </c>
      <c r="H725" t="n">
        <v>5473</v>
      </c>
      <c r="I725" t="n">
        <v>34516</v>
      </c>
      <c r="J725" t="n">
        <v>179861.1000000009</v>
      </c>
      <c r="K725" t="n">
        <v>7057</v>
      </c>
      <c r="L725" t="n">
        <v>56278</v>
      </c>
      <c r="M725" t="n">
        <v>24214</v>
      </c>
      <c r="N725" t="n">
        <v>30123</v>
      </c>
      <c r="O725" t="n">
        <v>2619</v>
      </c>
      <c r="P725" t="n">
        <v>0</v>
      </c>
    </row>
    <row r="726">
      <c r="A726" t="inlineStr">
        <is>
          <t>F9</t>
        </is>
      </c>
      <c r="B726" t="n">
        <v>2016</v>
      </c>
      <c r="C726" t="n">
        <v>4</v>
      </c>
      <c r="D726" t="n">
        <v>7125</v>
      </c>
      <c r="E726" t="n">
        <v>28</v>
      </c>
      <c r="F726" t="n">
        <v>12</v>
      </c>
      <c r="G726" t="n">
        <v>7085</v>
      </c>
      <c r="H726" t="n">
        <v>6112</v>
      </c>
      <c r="I726" t="n">
        <v>-22420</v>
      </c>
      <c r="J726" t="n">
        <v>161686.2000000003</v>
      </c>
      <c r="K726" t="n">
        <v>7074</v>
      </c>
      <c r="L726" t="n">
        <v>27656</v>
      </c>
      <c r="M726" t="n">
        <v>13058</v>
      </c>
      <c r="N726" t="n">
        <v>17978</v>
      </c>
      <c r="O726" t="n">
        <v>504</v>
      </c>
      <c r="P726" t="n">
        <v>0</v>
      </c>
    </row>
    <row r="727">
      <c r="A727" t="inlineStr">
        <is>
          <t>F9</t>
        </is>
      </c>
      <c r="B727" t="n">
        <v>2016</v>
      </c>
      <c r="C727" t="n">
        <v>5</v>
      </c>
      <c r="D727" t="n">
        <v>7920</v>
      </c>
      <c r="E727" t="n">
        <v>21</v>
      </c>
      <c r="F727" t="n">
        <v>22</v>
      </c>
      <c r="G727" t="n">
        <v>7877</v>
      </c>
      <c r="H727" t="n">
        <v>6349</v>
      </c>
      <c r="I727" t="n">
        <v>41320</v>
      </c>
      <c r="J727" t="n">
        <v>160859</v>
      </c>
      <c r="K727" t="n">
        <v>7800</v>
      </c>
      <c r="L727" t="n">
        <v>53486</v>
      </c>
      <c r="M727" t="n">
        <v>21994</v>
      </c>
      <c r="N727" t="n">
        <v>31013</v>
      </c>
      <c r="O727" t="n">
        <v>3563</v>
      </c>
      <c r="P727" t="n">
        <v>0</v>
      </c>
    </row>
    <row r="728">
      <c r="A728" t="inlineStr">
        <is>
          <t>F9</t>
        </is>
      </c>
      <c r="B728" t="n">
        <v>2016</v>
      </c>
      <c r="C728" t="n">
        <v>6</v>
      </c>
      <c r="D728" t="n">
        <v>8107</v>
      </c>
      <c r="E728" t="n">
        <v>7</v>
      </c>
      <c r="F728" t="n">
        <v>20</v>
      </c>
      <c r="G728" t="n">
        <v>8080</v>
      </c>
      <c r="H728" t="n">
        <v>6128</v>
      </c>
      <c r="I728" t="n">
        <v>71786</v>
      </c>
      <c r="J728" t="n">
        <v>157846</v>
      </c>
      <c r="K728" t="n">
        <v>8086</v>
      </c>
      <c r="L728" t="n">
        <v>49496</v>
      </c>
      <c r="M728" t="n">
        <v>29940</v>
      </c>
      <c r="N728" t="n">
        <v>48728</v>
      </c>
      <c r="O728" t="n">
        <v>1220</v>
      </c>
      <c r="P728" t="n">
        <v>0</v>
      </c>
    </row>
    <row r="729">
      <c r="A729" t="inlineStr">
        <is>
          <t>F9</t>
        </is>
      </c>
      <c r="B729" t="n">
        <v>2016</v>
      </c>
      <c r="C729" t="n">
        <v>7</v>
      </c>
      <c r="D729" t="n">
        <v>9019</v>
      </c>
      <c r="E729" t="n">
        <v>31</v>
      </c>
      <c r="F729" t="n">
        <v>19</v>
      </c>
      <c r="G729" t="n">
        <v>8969</v>
      </c>
      <c r="H729" t="n">
        <v>5709</v>
      </c>
      <c r="I729" t="n">
        <v>203686</v>
      </c>
      <c r="J729" t="n">
        <v>148245.5000000001</v>
      </c>
      <c r="K729" t="n">
        <v>9005</v>
      </c>
      <c r="L729" t="n">
        <v>105497</v>
      </c>
      <c r="M729" t="n">
        <v>53294</v>
      </c>
      <c r="N729" t="n">
        <v>76353</v>
      </c>
      <c r="O729" t="n">
        <v>3193</v>
      </c>
      <c r="P729" t="n">
        <v>0</v>
      </c>
    </row>
    <row r="730">
      <c r="A730" t="inlineStr">
        <is>
          <t>F9</t>
        </is>
      </c>
      <c r="B730" t="n">
        <v>2016</v>
      </c>
      <c r="C730" t="n">
        <v>8</v>
      </c>
      <c r="D730" t="n">
        <v>8931</v>
      </c>
      <c r="E730" t="n">
        <v>36</v>
      </c>
      <c r="F730" t="n">
        <v>8</v>
      </c>
      <c r="G730" t="n">
        <v>8887</v>
      </c>
      <c r="H730" t="n">
        <v>5883</v>
      </c>
      <c r="I730" t="n">
        <v>152553</v>
      </c>
      <c r="J730" t="n">
        <v>156529.8</v>
      </c>
      <c r="K730" t="n">
        <v>8865</v>
      </c>
      <c r="L730" t="n">
        <v>87544</v>
      </c>
      <c r="M730" t="n">
        <v>43887</v>
      </c>
      <c r="N730" t="n">
        <v>56876</v>
      </c>
      <c r="O730" t="n">
        <v>2891</v>
      </c>
      <c r="P730" t="n">
        <v>0</v>
      </c>
    </row>
    <row r="731">
      <c r="A731" t="inlineStr">
        <is>
          <t>F9</t>
        </is>
      </c>
      <c r="B731" t="n">
        <v>2016</v>
      </c>
      <c r="C731" t="n">
        <v>9</v>
      </c>
      <c r="D731" t="n">
        <v>8646</v>
      </c>
      <c r="E731" t="n">
        <v>43</v>
      </c>
      <c r="F731" t="n">
        <v>10</v>
      </c>
      <c r="G731" t="n">
        <v>8593</v>
      </c>
      <c r="H731" t="n">
        <v>6202</v>
      </c>
      <c r="I731" t="n">
        <v>110390</v>
      </c>
      <c r="J731" t="n">
        <v>166547.3000000001</v>
      </c>
      <c r="K731" t="n">
        <v>8519</v>
      </c>
      <c r="L731" t="n">
        <v>82814</v>
      </c>
      <c r="M731" t="n">
        <v>44160</v>
      </c>
      <c r="N731" t="n">
        <v>37177</v>
      </c>
      <c r="O731" t="n">
        <v>1818</v>
      </c>
      <c r="P731" t="n">
        <v>0</v>
      </c>
    </row>
    <row r="732">
      <c r="A732" t="inlineStr">
        <is>
          <t>F9</t>
        </is>
      </c>
      <c r="B732" t="n">
        <v>2016</v>
      </c>
      <c r="C732" t="n">
        <v>10</v>
      </c>
      <c r="D732" t="n">
        <v>8693</v>
      </c>
      <c r="E732" t="n">
        <v>122</v>
      </c>
      <c r="F732" t="n">
        <v>3</v>
      </c>
      <c r="G732" t="n">
        <v>8568</v>
      </c>
      <c r="H732" t="n">
        <v>6765</v>
      </c>
      <c r="I732" t="n">
        <v>48181</v>
      </c>
      <c r="J732" t="n">
        <v>175798.0000000001</v>
      </c>
      <c r="K732" t="n">
        <v>8573</v>
      </c>
      <c r="L732" t="n">
        <v>52142</v>
      </c>
      <c r="M732" t="n">
        <v>29711</v>
      </c>
      <c r="N732" t="n">
        <v>26623</v>
      </c>
      <c r="O732" t="n">
        <v>357</v>
      </c>
      <c r="P732" t="n">
        <v>0</v>
      </c>
    </row>
    <row r="733">
      <c r="A733" t="inlineStr">
        <is>
          <t>F9</t>
        </is>
      </c>
      <c r="B733" t="n">
        <v>2016</v>
      </c>
      <c r="C733" t="n">
        <v>11</v>
      </c>
      <c r="D733" t="n">
        <v>7707</v>
      </c>
      <c r="E733" t="n">
        <v>6</v>
      </c>
      <c r="F733" t="n">
        <v>8</v>
      </c>
      <c r="G733" t="n">
        <v>7693</v>
      </c>
      <c r="H733" t="n">
        <v>6744</v>
      </c>
      <c r="I733" t="n">
        <v>-36898</v>
      </c>
      <c r="J733" t="n">
        <v>182521.3999999998</v>
      </c>
      <c r="K733" t="n">
        <v>7541</v>
      </c>
      <c r="L733" t="n">
        <v>21412</v>
      </c>
      <c r="M733" t="n">
        <v>16547</v>
      </c>
      <c r="N733" t="n">
        <v>14139</v>
      </c>
      <c r="O733" t="n">
        <v>134</v>
      </c>
      <c r="P733" t="n">
        <v>0</v>
      </c>
    </row>
    <row r="734">
      <c r="A734" t="inlineStr">
        <is>
          <t>F9</t>
        </is>
      </c>
      <c r="B734" t="n">
        <v>2016</v>
      </c>
      <c r="C734" t="n">
        <v>12</v>
      </c>
      <c r="D734" t="n">
        <v>8171</v>
      </c>
      <c r="E734" t="n">
        <v>523</v>
      </c>
      <c r="F734" t="n">
        <v>10</v>
      </c>
      <c r="G734" t="n">
        <v>7638</v>
      </c>
      <c r="H734" t="n">
        <v>5102</v>
      </c>
      <c r="I734" t="n">
        <v>177289</v>
      </c>
      <c r="J734" t="n">
        <v>185634.5999999999</v>
      </c>
      <c r="K734" t="n">
        <v>8128</v>
      </c>
      <c r="L734" t="n">
        <v>107018</v>
      </c>
      <c r="M734" t="n">
        <v>64196</v>
      </c>
      <c r="N734" t="n">
        <v>45751</v>
      </c>
      <c r="O734" t="n">
        <v>6955</v>
      </c>
      <c r="P734" t="n">
        <v>0</v>
      </c>
    </row>
    <row r="735">
      <c r="A735" t="inlineStr">
        <is>
          <t>F9</t>
        </is>
      </c>
      <c r="B735" t="n">
        <v>2017</v>
      </c>
      <c r="C735" t="n">
        <v>1</v>
      </c>
      <c r="D735" t="n">
        <v>7760</v>
      </c>
      <c r="E735" t="n">
        <v>162</v>
      </c>
      <c r="F735" t="n">
        <v>19</v>
      </c>
      <c r="G735" t="n">
        <v>7579</v>
      </c>
      <c r="H735" t="n">
        <v>5374</v>
      </c>
      <c r="I735" t="n">
        <v>91530</v>
      </c>
      <c r="J735" t="n">
        <v>175100.1</v>
      </c>
      <c r="K735" t="n">
        <v>7696</v>
      </c>
      <c r="L735" t="n">
        <v>68557</v>
      </c>
      <c r="M735" t="n">
        <v>36930</v>
      </c>
      <c r="N735" t="n">
        <v>42050</v>
      </c>
      <c r="O735" t="n">
        <v>1919</v>
      </c>
      <c r="P735" t="n">
        <v>0</v>
      </c>
    </row>
    <row r="736">
      <c r="A736" t="inlineStr">
        <is>
          <t>F9</t>
        </is>
      </c>
      <c r="B736" t="n">
        <v>2017</v>
      </c>
      <c r="C736" t="n">
        <v>2</v>
      </c>
      <c r="D736" t="n">
        <v>6710</v>
      </c>
      <c r="E736" t="n">
        <v>51</v>
      </c>
      <c r="F736" t="n">
        <v>14</v>
      </c>
      <c r="G736" t="n">
        <v>6645</v>
      </c>
      <c r="H736" t="n">
        <v>5520</v>
      </c>
      <c r="I736" t="n">
        <v>-6368</v>
      </c>
      <c r="J736" t="n">
        <v>167861.7999999999</v>
      </c>
      <c r="K736" t="n">
        <v>6615</v>
      </c>
      <c r="L736" t="n">
        <v>31200</v>
      </c>
      <c r="M736" t="n">
        <v>18750</v>
      </c>
      <c r="N736" t="n">
        <v>17770</v>
      </c>
      <c r="O736" t="n">
        <v>849</v>
      </c>
      <c r="P736" t="n">
        <v>0</v>
      </c>
    </row>
    <row r="737">
      <c r="A737" t="inlineStr">
        <is>
          <t>F9</t>
        </is>
      </c>
      <c r="B737" t="n">
        <v>2017</v>
      </c>
      <c r="C737" t="n">
        <v>3</v>
      </c>
      <c r="D737" t="n">
        <v>7745</v>
      </c>
      <c r="E737" t="n">
        <v>91</v>
      </c>
      <c r="F737" t="n">
        <v>4</v>
      </c>
      <c r="G737" t="n">
        <v>7650</v>
      </c>
      <c r="H737" t="n">
        <v>6142</v>
      </c>
      <c r="I737" t="n">
        <v>29206</v>
      </c>
      <c r="J737" t="n">
        <v>178540.5999999995</v>
      </c>
      <c r="K737" t="n">
        <v>7652</v>
      </c>
      <c r="L737" t="n">
        <v>45542</v>
      </c>
      <c r="M737" t="n">
        <v>20607</v>
      </c>
      <c r="N737" t="n">
        <v>27093</v>
      </c>
      <c r="O737" t="n">
        <v>1489</v>
      </c>
      <c r="P737" t="n">
        <v>0</v>
      </c>
    </row>
    <row r="738">
      <c r="A738" t="inlineStr">
        <is>
          <t>F9</t>
        </is>
      </c>
      <c r="B738" t="n">
        <v>2017</v>
      </c>
      <c r="C738" t="n">
        <v>4</v>
      </c>
      <c r="D738" t="n">
        <v>7800</v>
      </c>
      <c r="E738" t="n">
        <v>27</v>
      </c>
      <c r="F738" t="n">
        <v>9</v>
      </c>
      <c r="G738" t="n">
        <v>7764</v>
      </c>
      <c r="H738" t="n">
        <v>6202</v>
      </c>
      <c r="I738" t="n">
        <v>47829</v>
      </c>
      <c r="J738" t="n">
        <v>165765.6</v>
      </c>
      <c r="K738" t="n">
        <v>7734</v>
      </c>
      <c r="L738" t="n">
        <v>53115</v>
      </c>
      <c r="M738" t="n">
        <v>23977</v>
      </c>
      <c r="N738" t="n">
        <v>33928</v>
      </c>
      <c r="O738" t="n">
        <v>1323</v>
      </c>
      <c r="P738" t="n">
        <v>0</v>
      </c>
    </row>
    <row r="739">
      <c r="A739" t="inlineStr">
        <is>
          <t>F9</t>
        </is>
      </c>
      <c r="B739" t="n">
        <v>2017</v>
      </c>
      <c r="C739" t="n">
        <v>5</v>
      </c>
      <c r="D739" t="n">
        <v>8630</v>
      </c>
      <c r="E739" t="n">
        <v>40</v>
      </c>
      <c r="F739" t="n">
        <v>5</v>
      </c>
      <c r="G739" t="n">
        <v>8585</v>
      </c>
      <c r="H739" t="n">
        <v>6616</v>
      </c>
      <c r="I739" t="n">
        <v>66297</v>
      </c>
      <c r="J739" t="n">
        <v>171233.8</v>
      </c>
      <c r="K739" t="n">
        <v>8500</v>
      </c>
      <c r="L739" t="n">
        <v>61144</v>
      </c>
      <c r="M739" t="n">
        <v>23469</v>
      </c>
      <c r="N739" t="n">
        <v>40408</v>
      </c>
      <c r="O739" t="n">
        <v>1798</v>
      </c>
      <c r="P739" t="n">
        <v>0</v>
      </c>
    </row>
    <row r="740">
      <c r="A740" t="inlineStr">
        <is>
          <t>F9</t>
        </is>
      </c>
      <c r="B740" t="n">
        <v>2017</v>
      </c>
      <c r="C740" t="n">
        <v>6</v>
      </c>
      <c r="D740" t="n">
        <v>8913</v>
      </c>
      <c r="E740" t="n">
        <v>23</v>
      </c>
      <c r="F740" t="n">
        <v>10</v>
      </c>
      <c r="G740" t="n">
        <v>8880</v>
      </c>
      <c r="H740" t="n">
        <v>6518</v>
      </c>
      <c r="I740" t="n">
        <v>106863</v>
      </c>
      <c r="J740" t="n">
        <v>186608.4999999999</v>
      </c>
      <c r="K740" t="n">
        <v>8882</v>
      </c>
      <c r="L740" t="n">
        <v>77198</v>
      </c>
      <c r="M740" t="n">
        <v>35462</v>
      </c>
      <c r="N740" t="n">
        <v>46929</v>
      </c>
      <c r="O740" t="n">
        <v>2754</v>
      </c>
      <c r="P740" t="n">
        <v>0</v>
      </c>
    </row>
    <row r="741">
      <c r="A741" t="inlineStr">
        <is>
          <t>F9</t>
        </is>
      </c>
      <c r="B741" t="n">
        <v>2017</v>
      </c>
      <c r="C741" t="n">
        <v>7</v>
      </c>
      <c r="D741" t="n">
        <v>9611</v>
      </c>
      <c r="E741" t="n">
        <v>45</v>
      </c>
      <c r="F741" t="n">
        <v>23</v>
      </c>
      <c r="G741" t="n">
        <v>9543</v>
      </c>
      <c r="H741" t="n">
        <v>7229</v>
      </c>
      <c r="I741" t="n">
        <v>96442</v>
      </c>
      <c r="J741" t="n">
        <v>219303.3999999999</v>
      </c>
      <c r="K741" t="n">
        <v>9568</v>
      </c>
      <c r="L741" t="n">
        <v>91175</v>
      </c>
      <c r="M741" t="n">
        <v>34856</v>
      </c>
      <c r="N741" t="n">
        <v>42849</v>
      </c>
      <c r="O741" t="n">
        <v>3030</v>
      </c>
      <c r="P741" t="n">
        <v>0</v>
      </c>
    </row>
    <row r="742">
      <c r="A742" t="inlineStr">
        <is>
          <t>F9</t>
        </is>
      </c>
      <c r="B742" t="n">
        <v>2017</v>
      </c>
      <c r="C742" t="n">
        <v>8</v>
      </c>
      <c r="D742" t="n">
        <v>9228</v>
      </c>
      <c r="E742" t="n">
        <v>102</v>
      </c>
      <c r="F742" t="n">
        <v>12</v>
      </c>
      <c r="G742" t="n">
        <v>9114</v>
      </c>
      <c r="H742" t="n">
        <v>7132</v>
      </c>
      <c r="I742" t="n">
        <v>70737</v>
      </c>
      <c r="J742" t="n">
        <v>189939.8000000002</v>
      </c>
      <c r="K742" t="n">
        <v>9131</v>
      </c>
      <c r="L742" t="n">
        <v>73273</v>
      </c>
      <c r="M742" t="n">
        <v>31055</v>
      </c>
      <c r="N742" t="n">
        <v>36205</v>
      </c>
      <c r="O742" t="n">
        <v>1113</v>
      </c>
      <c r="P742" t="n">
        <v>0</v>
      </c>
    </row>
    <row r="743">
      <c r="A743" t="inlineStr">
        <is>
          <t>F9</t>
        </is>
      </c>
      <c r="B743" t="n">
        <v>2017</v>
      </c>
      <c r="C743" t="n">
        <v>9</v>
      </c>
      <c r="D743" t="n">
        <v>8662</v>
      </c>
      <c r="E743" t="n">
        <v>274</v>
      </c>
      <c r="F743" t="n">
        <v>14</v>
      </c>
      <c r="G743" t="n">
        <v>8374</v>
      </c>
      <c r="H743" t="n">
        <v>7271</v>
      </c>
      <c r="I743" t="n">
        <v>-16387</v>
      </c>
      <c r="J743" t="n">
        <v>182372.5000000004</v>
      </c>
      <c r="K743" t="n">
        <v>8535</v>
      </c>
      <c r="L743" t="n">
        <v>34119</v>
      </c>
      <c r="M743" t="n">
        <v>21200</v>
      </c>
      <c r="N743" t="n">
        <v>16608</v>
      </c>
      <c r="O743" t="n">
        <v>594</v>
      </c>
      <c r="P743" t="n">
        <v>0</v>
      </c>
    </row>
    <row r="744">
      <c r="A744" t="inlineStr">
        <is>
          <t>F9</t>
        </is>
      </c>
      <c r="B744" t="n">
        <v>2017</v>
      </c>
      <c r="C744" t="n">
        <v>10</v>
      </c>
      <c r="D744" t="n">
        <v>9265</v>
      </c>
      <c r="E744" t="n">
        <v>45</v>
      </c>
      <c r="F744" t="n">
        <v>11</v>
      </c>
      <c r="G744" t="n">
        <v>9209</v>
      </c>
      <c r="H744" t="n">
        <v>7611</v>
      </c>
      <c r="I744" t="n">
        <v>36593</v>
      </c>
      <c r="J744" t="n">
        <v>195934.2999999996</v>
      </c>
      <c r="K744" t="n">
        <v>9053</v>
      </c>
      <c r="L744" t="n">
        <v>63533</v>
      </c>
      <c r="M744" t="n">
        <v>30400</v>
      </c>
      <c r="N744" t="n">
        <v>23916</v>
      </c>
      <c r="O744" t="n">
        <v>392</v>
      </c>
      <c r="P744" t="n">
        <v>0</v>
      </c>
    </row>
    <row r="745">
      <c r="A745" t="inlineStr">
        <is>
          <t>F9</t>
        </is>
      </c>
      <c r="B745" t="n">
        <v>2017</v>
      </c>
      <c r="C745" t="n">
        <v>11</v>
      </c>
      <c r="D745" t="n">
        <v>9165</v>
      </c>
      <c r="E745" t="n">
        <v>18</v>
      </c>
      <c r="F745" t="n">
        <v>11</v>
      </c>
      <c r="G745" t="n">
        <v>9136</v>
      </c>
      <c r="H745" t="n">
        <v>7877</v>
      </c>
      <c r="I745" t="n">
        <v>-13584</v>
      </c>
      <c r="J745" t="n">
        <v>213849.3999999995</v>
      </c>
      <c r="K745" t="n">
        <v>9021</v>
      </c>
      <c r="L745" t="n">
        <v>43859</v>
      </c>
      <c r="M745" t="n">
        <v>24395</v>
      </c>
      <c r="N745" t="n">
        <v>13876</v>
      </c>
      <c r="O745" t="n">
        <v>340</v>
      </c>
      <c r="P745" t="n">
        <v>0</v>
      </c>
    </row>
    <row r="746">
      <c r="A746" t="inlineStr">
        <is>
          <t>F9</t>
        </is>
      </c>
      <c r="B746" t="n">
        <v>2017</v>
      </c>
      <c r="C746" t="n">
        <v>12</v>
      </c>
      <c r="D746" t="n">
        <v>9526</v>
      </c>
      <c r="E746" t="n">
        <v>77</v>
      </c>
      <c r="F746" t="n">
        <v>11</v>
      </c>
      <c r="G746" t="n">
        <v>9438</v>
      </c>
      <c r="H746" t="n">
        <v>7216</v>
      </c>
      <c r="I746" t="n">
        <v>69415</v>
      </c>
      <c r="J746" t="n">
        <v>223309.6999999993</v>
      </c>
      <c r="K746" t="n">
        <v>9435</v>
      </c>
      <c r="L746" t="n">
        <v>72255</v>
      </c>
      <c r="M746" t="n">
        <v>41412</v>
      </c>
      <c r="N746" t="n">
        <v>32370</v>
      </c>
      <c r="O746" t="n">
        <v>2856</v>
      </c>
      <c r="P746" t="n">
        <v>0</v>
      </c>
    </row>
    <row r="747">
      <c r="A747" t="inlineStr">
        <is>
          <t>F9</t>
        </is>
      </c>
      <c r="B747" t="n">
        <v>2018</v>
      </c>
      <c r="C747" t="n">
        <v>1</v>
      </c>
      <c r="D747" t="n">
        <v>9707</v>
      </c>
      <c r="E747" t="n">
        <v>188</v>
      </c>
      <c r="F747" t="n">
        <v>12</v>
      </c>
      <c r="G747" t="n">
        <v>9507</v>
      </c>
      <c r="H747" t="n">
        <v>7272</v>
      </c>
      <c r="I747" t="n">
        <v>83151</v>
      </c>
      <c r="J747" t="n">
        <v>232277.8999999996</v>
      </c>
      <c r="K747" t="n">
        <v>9691</v>
      </c>
      <c r="L747" t="n">
        <v>90903</v>
      </c>
      <c r="M747" t="n">
        <v>46435</v>
      </c>
      <c r="N747" t="n">
        <v>29727</v>
      </c>
      <c r="O747" t="n">
        <v>2078</v>
      </c>
      <c r="P747" t="n">
        <v>0</v>
      </c>
    </row>
    <row r="748">
      <c r="A748" t="inlineStr">
        <is>
          <t>F9</t>
        </is>
      </c>
      <c r="B748" t="n">
        <v>2018</v>
      </c>
      <c r="C748" t="n">
        <v>2</v>
      </c>
      <c r="D748" t="n">
        <v>8712</v>
      </c>
      <c r="E748" t="n">
        <v>111</v>
      </c>
      <c r="F748" t="n">
        <v>12</v>
      </c>
      <c r="G748" t="n">
        <v>8589</v>
      </c>
      <c r="H748" t="n">
        <v>6432</v>
      </c>
      <c r="I748" t="n">
        <v>90013</v>
      </c>
      <c r="J748" t="n">
        <v>204915.2000000004</v>
      </c>
      <c r="K748" t="n">
        <v>8677</v>
      </c>
      <c r="L748" t="n">
        <v>85970</v>
      </c>
      <c r="M748" t="n">
        <v>40633</v>
      </c>
      <c r="N748" t="n">
        <v>32810</v>
      </c>
      <c r="O748" t="n">
        <v>1507</v>
      </c>
      <c r="P748" t="n">
        <v>0</v>
      </c>
    </row>
    <row r="749">
      <c r="A749" t="inlineStr">
        <is>
          <t>F9</t>
        </is>
      </c>
      <c r="B749" t="n">
        <v>2018</v>
      </c>
      <c r="C749" t="n">
        <v>3</v>
      </c>
      <c r="D749" t="n">
        <v>9376</v>
      </c>
      <c r="E749" t="n">
        <v>174</v>
      </c>
      <c r="F749" t="n">
        <v>15</v>
      </c>
      <c r="G749" t="n">
        <v>9187</v>
      </c>
      <c r="H749" t="n">
        <v>7357</v>
      </c>
      <c r="I749" t="n">
        <v>42332</v>
      </c>
      <c r="J749" t="n">
        <v>205236.2</v>
      </c>
      <c r="K749" t="n">
        <v>9055</v>
      </c>
      <c r="L749" t="n">
        <v>55021</v>
      </c>
      <c r="M749" t="n">
        <v>34795</v>
      </c>
      <c r="N749" t="n">
        <v>29943</v>
      </c>
      <c r="O749" t="n">
        <v>2022</v>
      </c>
      <c r="P749" t="n">
        <v>0</v>
      </c>
    </row>
    <row r="750">
      <c r="A750" t="inlineStr">
        <is>
          <t>F9</t>
        </is>
      </c>
      <c r="B750" t="n">
        <v>2018</v>
      </c>
      <c r="C750" t="n">
        <v>4</v>
      </c>
      <c r="D750" t="n">
        <v>9614</v>
      </c>
      <c r="E750" t="n">
        <v>93</v>
      </c>
      <c r="F750" t="n">
        <v>9</v>
      </c>
      <c r="G750" t="n">
        <v>9512</v>
      </c>
      <c r="H750" t="n">
        <v>7343</v>
      </c>
      <c r="I750" t="n">
        <v>94154</v>
      </c>
      <c r="J750" t="n">
        <v>194167.6000000001</v>
      </c>
      <c r="K750" t="n">
        <v>8857</v>
      </c>
      <c r="L750" t="n">
        <v>90706</v>
      </c>
      <c r="M750" t="n">
        <v>47370</v>
      </c>
      <c r="N750" t="n">
        <v>31241</v>
      </c>
      <c r="O750" t="n">
        <v>1587</v>
      </c>
      <c r="P750" t="n">
        <v>0</v>
      </c>
    </row>
    <row r="751">
      <c r="A751" t="inlineStr">
        <is>
          <t>F9</t>
        </is>
      </c>
      <c r="B751" t="n">
        <v>2018</v>
      </c>
      <c r="C751" t="n">
        <v>5</v>
      </c>
      <c r="D751" t="n">
        <v>10297</v>
      </c>
      <c r="E751" t="n">
        <v>100</v>
      </c>
      <c r="F751" t="n">
        <v>27</v>
      </c>
      <c r="G751" t="n">
        <v>10170</v>
      </c>
      <c r="H751" t="n">
        <v>7390</v>
      </c>
      <c r="I751" t="n">
        <v>147623</v>
      </c>
      <c r="J751" t="n">
        <v>190945.3000000002</v>
      </c>
      <c r="K751" t="n">
        <v>9342</v>
      </c>
      <c r="L751" t="n">
        <v>120380</v>
      </c>
      <c r="M751" t="n">
        <v>52692</v>
      </c>
      <c r="N751" t="n">
        <v>43766</v>
      </c>
      <c r="O751" t="n">
        <v>1786</v>
      </c>
      <c r="P751" t="n">
        <v>0</v>
      </c>
    </row>
    <row r="752">
      <c r="A752" t="inlineStr">
        <is>
          <t>F9</t>
        </is>
      </c>
      <c r="B752" t="n">
        <v>2018</v>
      </c>
      <c r="C752" t="n">
        <v>6</v>
      </c>
      <c r="D752" t="n">
        <v>10207</v>
      </c>
      <c r="E752" t="n">
        <v>291</v>
      </c>
      <c r="F752" t="n">
        <v>17</v>
      </c>
      <c r="G752" t="n">
        <v>9899</v>
      </c>
      <c r="H752" t="n">
        <v>6153</v>
      </c>
      <c r="I752" t="n">
        <v>251932</v>
      </c>
      <c r="J752" t="n">
        <v>200611.8000000006</v>
      </c>
      <c r="K752" t="n">
        <v>9837</v>
      </c>
      <c r="L752" t="n">
        <v>171227</v>
      </c>
      <c r="M752" t="n">
        <v>79320</v>
      </c>
      <c r="N752" t="n">
        <v>51319</v>
      </c>
      <c r="O752" t="n">
        <v>4527</v>
      </c>
      <c r="P752" t="n">
        <v>0</v>
      </c>
    </row>
    <row r="753">
      <c r="A753" t="inlineStr">
        <is>
          <t>F9</t>
        </is>
      </c>
      <c r="B753" t="n">
        <v>2018</v>
      </c>
      <c r="C753" t="n">
        <v>7</v>
      </c>
      <c r="D753" t="n">
        <v>10686</v>
      </c>
      <c r="E753" t="n">
        <v>409</v>
      </c>
      <c r="F753" t="n">
        <v>30</v>
      </c>
      <c r="G753" t="n">
        <v>10247</v>
      </c>
      <c r="H753" t="n">
        <v>6382</v>
      </c>
      <c r="I753" t="n">
        <v>230576</v>
      </c>
      <c r="J753" t="n">
        <v>200780.8000000002</v>
      </c>
      <c r="K753" t="n">
        <v>10355</v>
      </c>
      <c r="L753" t="n">
        <v>150083</v>
      </c>
      <c r="M753" t="n">
        <v>73689</v>
      </c>
      <c r="N753" t="n">
        <v>58187</v>
      </c>
      <c r="O753" t="n">
        <v>4976</v>
      </c>
      <c r="P753" t="n">
        <v>0</v>
      </c>
    </row>
    <row r="754">
      <c r="A754" t="inlineStr">
        <is>
          <t>F9</t>
        </is>
      </c>
      <c r="B754" t="n">
        <v>2018</v>
      </c>
      <c r="C754" t="n">
        <v>8</v>
      </c>
      <c r="D754" t="n">
        <v>10710</v>
      </c>
      <c r="E754" t="n">
        <v>268</v>
      </c>
      <c r="F754" t="n">
        <v>17</v>
      </c>
      <c r="G754" t="n">
        <v>10425</v>
      </c>
      <c r="H754" t="n">
        <v>6579</v>
      </c>
      <c r="I754" t="n">
        <v>231145</v>
      </c>
      <c r="J754" t="n">
        <v>193849.9000000002</v>
      </c>
      <c r="K754" t="n">
        <v>10003</v>
      </c>
      <c r="L754" t="n">
        <v>156531</v>
      </c>
      <c r="M754" t="n">
        <v>73821</v>
      </c>
      <c r="N754" t="n">
        <v>54110</v>
      </c>
      <c r="O754" t="n">
        <v>2321</v>
      </c>
      <c r="P754" t="n">
        <v>0</v>
      </c>
    </row>
    <row r="755">
      <c r="A755" t="inlineStr">
        <is>
          <t>F9</t>
        </is>
      </c>
      <c r="B755" t="n">
        <v>2018</v>
      </c>
      <c r="C755" t="n">
        <v>9</v>
      </c>
      <c r="D755" t="n">
        <v>10352</v>
      </c>
      <c r="E755" t="n">
        <v>326</v>
      </c>
      <c r="F755" t="n">
        <v>12</v>
      </c>
      <c r="G755" t="n">
        <v>10014</v>
      </c>
      <c r="H755" t="n">
        <v>6859</v>
      </c>
      <c r="I755" t="n">
        <v>168718</v>
      </c>
      <c r="J755" t="n">
        <v>190969.9999999995</v>
      </c>
      <c r="K755" t="n">
        <v>9541</v>
      </c>
      <c r="L755" t="n">
        <v>123462</v>
      </c>
      <c r="M755" t="n">
        <v>77303</v>
      </c>
      <c r="N755" t="n">
        <v>33564</v>
      </c>
      <c r="O755" t="n">
        <v>1202</v>
      </c>
      <c r="P755" t="n">
        <v>0</v>
      </c>
    </row>
    <row r="756">
      <c r="A756" t="inlineStr">
        <is>
          <t>F9</t>
        </is>
      </c>
      <c r="B756" t="n">
        <v>2018</v>
      </c>
      <c r="C756" t="n">
        <v>10</v>
      </c>
      <c r="D756" t="n">
        <v>10516</v>
      </c>
      <c r="E756" t="n">
        <v>183</v>
      </c>
      <c r="F756" t="n">
        <v>13</v>
      </c>
      <c r="G756" t="n">
        <v>10320</v>
      </c>
      <c r="H756" t="n">
        <v>7177</v>
      </c>
      <c r="I756" t="n">
        <v>144118</v>
      </c>
      <c r="J756" t="n">
        <v>198289.8</v>
      </c>
      <c r="K756" t="n">
        <v>9793</v>
      </c>
      <c r="L756" t="n">
        <v>107610</v>
      </c>
      <c r="M756" t="n">
        <v>63367</v>
      </c>
      <c r="N756" t="n">
        <v>36786</v>
      </c>
      <c r="O756" t="n">
        <v>521</v>
      </c>
      <c r="P756" t="n">
        <v>0</v>
      </c>
    </row>
    <row r="757">
      <c r="A757" t="inlineStr">
        <is>
          <t>F9</t>
        </is>
      </c>
      <c r="B757" t="n">
        <v>2018</v>
      </c>
      <c r="C757" t="n">
        <v>11</v>
      </c>
      <c r="D757" t="n">
        <v>9939</v>
      </c>
      <c r="E757" t="n">
        <v>113</v>
      </c>
      <c r="F757" t="n">
        <v>12</v>
      </c>
      <c r="G757" t="n">
        <v>9814</v>
      </c>
      <c r="H757" t="n">
        <v>6972</v>
      </c>
      <c r="I757" t="n">
        <v>114962</v>
      </c>
      <c r="J757" t="n">
        <v>203533.8000000002</v>
      </c>
      <c r="K757" t="n">
        <v>9007</v>
      </c>
      <c r="L757" t="n">
        <v>87159</v>
      </c>
      <c r="M757" t="n">
        <v>52829</v>
      </c>
      <c r="N757" t="n">
        <v>40413</v>
      </c>
      <c r="O757" t="n">
        <v>1557</v>
      </c>
      <c r="P757" t="n">
        <v>0</v>
      </c>
    </row>
    <row r="758">
      <c r="A758" t="inlineStr">
        <is>
          <t>F9</t>
        </is>
      </c>
      <c r="B758" t="n">
        <v>2018</v>
      </c>
      <c r="C758" t="n">
        <v>12</v>
      </c>
      <c r="D758" t="n">
        <v>9916</v>
      </c>
      <c r="E758" t="n">
        <v>70</v>
      </c>
      <c r="F758" t="n">
        <v>9</v>
      </c>
      <c r="G758" t="n">
        <v>9837</v>
      </c>
      <c r="H758" t="n">
        <v>7378</v>
      </c>
      <c r="I758" t="n">
        <v>71116</v>
      </c>
      <c r="J758" t="n">
        <v>213311.3999999999</v>
      </c>
      <c r="K758" t="n">
        <v>9250</v>
      </c>
      <c r="L758" t="n">
        <v>73291</v>
      </c>
      <c r="M758" t="n">
        <v>50277</v>
      </c>
      <c r="N758" t="n">
        <v>32444</v>
      </c>
      <c r="O758" t="n">
        <v>640</v>
      </c>
      <c r="P758" t="n">
        <v>0</v>
      </c>
    </row>
    <row r="759">
      <c r="A759" t="inlineStr">
        <is>
          <t>F9</t>
        </is>
      </c>
      <c r="B759" t="n">
        <v>2019</v>
      </c>
      <c r="C759" t="n">
        <v>1</v>
      </c>
      <c r="D759" t="n">
        <v>9647</v>
      </c>
      <c r="E759" t="n">
        <v>151</v>
      </c>
      <c r="F759" t="n">
        <v>6</v>
      </c>
      <c r="G759" t="n">
        <v>9490</v>
      </c>
      <c r="H759" t="n">
        <v>7128</v>
      </c>
      <c r="I759" t="n">
        <v>65211</v>
      </c>
      <c r="J759" t="n">
        <v>219666.7000000001</v>
      </c>
      <c r="K759" t="n">
        <v>9158</v>
      </c>
      <c r="L759" t="n">
        <v>64272</v>
      </c>
      <c r="M759" t="n">
        <v>43166</v>
      </c>
      <c r="N759" t="n">
        <v>37517</v>
      </c>
      <c r="O759" t="n">
        <v>3416</v>
      </c>
      <c r="P759" t="n">
        <v>0</v>
      </c>
    </row>
    <row r="760">
      <c r="A760" t="inlineStr">
        <is>
          <t>F9</t>
        </is>
      </c>
      <c r="B760" t="n">
        <v>2019</v>
      </c>
      <c r="C760" t="n">
        <v>2</v>
      </c>
      <c r="D760" t="n">
        <v>8750</v>
      </c>
      <c r="E760" t="n">
        <v>107</v>
      </c>
      <c r="F760" t="n">
        <v>10</v>
      </c>
      <c r="G760" t="n">
        <v>8633</v>
      </c>
      <c r="H760" t="n">
        <v>6502</v>
      </c>
      <c r="I760" t="n">
        <v>66913</v>
      </c>
      <c r="J760" t="n">
        <v>216123.1000000001</v>
      </c>
      <c r="K760" t="n">
        <v>8239</v>
      </c>
      <c r="L760" t="n">
        <v>65903</v>
      </c>
      <c r="M760" t="n">
        <v>40102</v>
      </c>
      <c r="N760" t="n">
        <v>36830</v>
      </c>
      <c r="O760" t="n">
        <v>3608</v>
      </c>
      <c r="P760" t="n">
        <v>0</v>
      </c>
    </row>
    <row r="761">
      <c r="A761" t="inlineStr">
        <is>
          <t>F9</t>
        </is>
      </c>
      <c r="B761" t="n">
        <v>2019</v>
      </c>
      <c r="C761" t="n">
        <v>3</v>
      </c>
      <c r="D761" t="n">
        <v>9845</v>
      </c>
      <c r="E761" t="n">
        <v>182</v>
      </c>
      <c r="F761" t="n">
        <v>9</v>
      </c>
      <c r="G761" t="n">
        <v>9654</v>
      </c>
      <c r="H761" t="n">
        <v>7712</v>
      </c>
      <c r="I761" t="n">
        <v>45368</v>
      </c>
      <c r="J761" t="n">
        <v>225333.8000000002</v>
      </c>
      <c r="K761" t="n">
        <v>9218</v>
      </c>
      <c r="L761" t="n">
        <v>74039</v>
      </c>
      <c r="M761" t="n">
        <v>37666</v>
      </c>
      <c r="N761" t="n">
        <v>27148</v>
      </c>
      <c r="O761" t="n">
        <v>2006</v>
      </c>
      <c r="P761" t="n">
        <v>0</v>
      </c>
    </row>
    <row r="762">
      <c r="A762" t="inlineStr">
        <is>
          <t>F9</t>
        </is>
      </c>
      <c r="B762" t="n">
        <v>2019</v>
      </c>
      <c r="C762" t="n">
        <v>4</v>
      </c>
      <c r="D762" t="n">
        <v>9819</v>
      </c>
      <c r="E762" t="n">
        <v>182</v>
      </c>
      <c r="F762" t="n">
        <v>12</v>
      </c>
      <c r="G762" t="n">
        <v>9625</v>
      </c>
      <c r="H762" t="n">
        <v>7621</v>
      </c>
      <c r="I762" t="n">
        <v>48251</v>
      </c>
      <c r="J762" t="n">
        <v>222296.3000000003</v>
      </c>
      <c r="K762" t="n">
        <v>9129</v>
      </c>
      <c r="L762" t="n">
        <v>74934</v>
      </c>
      <c r="M762" t="n">
        <v>40317</v>
      </c>
      <c r="N762" t="n">
        <v>29291</v>
      </c>
      <c r="O762" t="n">
        <v>2221</v>
      </c>
      <c r="P762" t="n">
        <v>0</v>
      </c>
    </row>
    <row r="763">
      <c r="A763" t="inlineStr">
        <is>
          <t>F9</t>
        </is>
      </c>
      <c r="B763" t="n">
        <v>2019</v>
      </c>
      <c r="C763" t="n">
        <v>5</v>
      </c>
      <c r="D763" t="n">
        <v>11383</v>
      </c>
      <c r="E763" t="n">
        <v>129</v>
      </c>
      <c r="F763" t="n">
        <v>24</v>
      </c>
      <c r="G763" t="n">
        <v>11230</v>
      </c>
      <c r="H763" t="n">
        <v>7623</v>
      </c>
      <c r="I763" t="n">
        <v>188063</v>
      </c>
      <c r="J763" t="n">
        <v>217192.4</v>
      </c>
      <c r="K763" t="n">
        <v>10116</v>
      </c>
      <c r="L763" t="n">
        <v>144765</v>
      </c>
      <c r="M763" t="n">
        <v>60248</v>
      </c>
      <c r="N763" t="n">
        <v>45979</v>
      </c>
      <c r="O763" t="n">
        <v>4136</v>
      </c>
      <c r="P763" t="n">
        <v>0</v>
      </c>
    </row>
    <row r="764">
      <c r="A764" t="inlineStr">
        <is>
          <t>F9</t>
        </is>
      </c>
      <c r="B764" t="n">
        <v>2019</v>
      </c>
      <c r="C764" t="n">
        <v>6</v>
      </c>
      <c r="D764" t="n">
        <v>11647</v>
      </c>
      <c r="E764" t="n">
        <v>310</v>
      </c>
      <c r="F764" t="n">
        <v>30</v>
      </c>
      <c r="G764" t="n">
        <v>11307</v>
      </c>
      <c r="H764" t="n">
        <v>7459</v>
      </c>
      <c r="I764" t="n">
        <v>201426</v>
      </c>
      <c r="J764" t="n">
        <v>243006.9000000003</v>
      </c>
      <c r="K764" t="n">
        <v>11263</v>
      </c>
      <c r="L764" t="n">
        <v>113725</v>
      </c>
      <c r="M764" t="n">
        <v>61521</v>
      </c>
      <c r="N764" t="n">
        <v>88895</v>
      </c>
      <c r="O764" t="n">
        <v>5158</v>
      </c>
      <c r="P764" t="n">
        <v>0</v>
      </c>
    </row>
    <row r="765">
      <c r="A765" t="inlineStr">
        <is>
          <t>F9</t>
        </is>
      </c>
      <c r="B765" t="n">
        <v>2019</v>
      </c>
      <c r="C765" t="n">
        <v>7</v>
      </c>
      <c r="D765" t="n">
        <v>12535</v>
      </c>
      <c r="E765" t="n">
        <v>288</v>
      </c>
      <c r="F765" t="n">
        <v>32</v>
      </c>
      <c r="G765" t="n">
        <v>12215</v>
      </c>
      <c r="H765" t="n">
        <v>8272</v>
      </c>
      <c r="I765" t="n">
        <v>182064</v>
      </c>
      <c r="J765" t="n">
        <v>256061.5000000008</v>
      </c>
      <c r="K765" t="n">
        <v>12137</v>
      </c>
      <c r="L765" t="n">
        <v>118547</v>
      </c>
      <c r="M765" t="n">
        <v>67458</v>
      </c>
      <c r="N765" t="n">
        <v>74993</v>
      </c>
      <c r="O765" t="n">
        <v>4142</v>
      </c>
      <c r="P765" t="n">
        <v>0</v>
      </c>
    </row>
    <row r="766">
      <c r="A766" t="inlineStr">
        <is>
          <t>F9</t>
        </is>
      </c>
      <c r="B766" t="n">
        <v>2019</v>
      </c>
      <c r="C766" t="n">
        <v>8</v>
      </c>
      <c r="D766" t="n">
        <v>12454</v>
      </c>
      <c r="E766" t="n">
        <v>202</v>
      </c>
      <c r="F766" t="n">
        <v>15</v>
      </c>
      <c r="G766" t="n">
        <v>12237</v>
      </c>
      <c r="H766" t="n">
        <v>8873</v>
      </c>
      <c r="I766" t="n">
        <v>131609</v>
      </c>
      <c r="J766" t="n">
        <v>263295.4000000008</v>
      </c>
      <c r="K766" t="n">
        <v>11993</v>
      </c>
      <c r="L766" t="n">
        <v>104585</v>
      </c>
      <c r="M766" t="n">
        <v>56287</v>
      </c>
      <c r="N766" t="n">
        <v>63373</v>
      </c>
      <c r="O766" t="n">
        <v>2093</v>
      </c>
      <c r="P766" t="n">
        <v>0</v>
      </c>
    </row>
    <row r="767">
      <c r="A767" t="inlineStr">
        <is>
          <t>F9</t>
        </is>
      </c>
      <c r="B767" t="n">
        <v>2019</v>
      </c>
      <c r="C767" t="n">
        <v>9</v>
      </c>
      <c r="D767" t="n">
        <v>12200</v>
      </c>
      <c r="E767" t="n">
        <v>305</v>
      </c>
      <c r="F767" t="n">
        <v>16</v>
      </c>
      <c r="G767" t="n">
        <v>11879</v>
      </c>
      <c r="H767" t="n">
        <v>9615</v>
      </c>
      <c r="I767" t="n">
        <v>14618</v>
      </c>
      <c r="J767" t="n">
        <v>275418.1000000006</v>
      </c>
      <c r="K767" t="n">
        <v>11727</v>
      </c>
      <c r="L767" t="n">
        <v>62638</v>
      </c>
      <c r="M767" t="n">
        <v>43367</v>
      </c>
      <c r="N767" t="n">
        <v>38188</v>
      </c>
      <c r="O767" t="n">
        <v>893</v>
      </c>
      <c r="P767" t="n">
        <v>0</v>
      </c>
    </row>
    <row r="768">
      <c r="A768" t="inlineStr">
        <is>
          <t>F9</t>
        </is>
      </c>
      <c r="B768" t="n">
        <v>2019</v>
      </c>
      <c r="C768" t="n">
        <v>10</v>
      </c>
      <c r="D768" t="n">
        <v>12769</v>
      </c>
      <c r="E768" t="n">
        <v>188</v>
      </c>
      <c r="F768" t="n">
        <v>22</v>
      </c>
      <c r="G768" t="n">
        <v>12559</v>
      </c>
      <c r="H768" t="n">
        <v>9509</v>
      </c>
      <c r="I768" t="n">
        <v>98041</v>
      </c>
      <c r="J768" t="n">
        <v>293890.8000000004</v>
      </c>
      <c r="K768" t="n">
        <v>12402</v>
      </c>
      <c r="L768" t="n">
        <v>102476</v>
      </c>
      <c r="M768" t="n">
        <v>55451</v>
      </c>
      <c r="N768" t="n">
        <v>52917</v>
      </c>
      <c r="O768" t="n">
        <v>3421</v>
      </c>
      <c r="P768" t="n">
        <v>0</v>
      </c>
    </row>
    <row r="769">
      <c r="A769" t="inlineStr">
        <is>
          <t>F9</t>
        </is>
      </c>
      <c r="B769" t="n">
        <v>2019</v>
      </c>
      <c r="C769" t="n">
        <v>11</v>
      </c>
      <c r="D769" t="n">
        <v>12227</v>
      </c>
      <c r="E769" t="n">
        <v>98</v>
      </c>
      <c r="F769" t="n">
        <v>12</v>
      </c>
      <c r="G769" t="n">
        <v>12117</v>
      </c>
      <c r="H769" t="n">
        <v>9593</v>
      </c>
      <c r="I769" t="n">
        <v>49175</v>
      </c>
      <c r="J769" t="n">
        <v>288832.8000000006</v>
      </c>
      <c r="K769" t="n">
        <v>11508</v>
      </c>
      <c r="L769" t="n">
        <v>85036</v>
      </c>
      <c r="M769" t="n">
        <v>52027</v>
      </c>
      <c r="N769" t="n">
        <v>31079</v>
      </c>
      <c r="O769" t="n">
        <v>2327</v>
      </c>
      <c r="P769" t="n">
        <v>0</v>
      </c>
    </row>
    <row r="770">
      <c r="A770" t="inlineStr">
        <is>
          <t>F9</t>
        </is>
      </c>
      <c r="B770" t="n">
        <v>2019</v>
      </c>
      <c r="C770" t="n">
        <v>12</v>
      </c>
      <c r="D770" t="n">
        <v>12267</v>
      </c>
      <c r="E770" t="n">
        <v>139</v>
      </c>
      <c r="F770" t="n">
        <v>13</v>
      </c>
      <c r="G770" t="n">
        <v>12115</v>
      </c>
      <c r="H770" t="n">
        <v>9233</v>
      </c>
      <c r="I770" t="n">
        <v>69003</v>
      </c>
      <c r="J770" t="n">
        <v>311500.8000000012</v>
      </c>
      <c r="K770" t="n">
        <v>11953</v>
      </c>
      <c r="L770" t="n">
        <v>89957</v>
      </c>
      <c r="M770" t="n">
        <v>57460</v>
      </c>
      <c r="N770" t="n">
        <v>44321</v>
      </c>
      <c r="O770" t="n">
        <v>1633</v>
      </c>
      <c r="P770" t="n">
        <v>0</v>
      </c>
    </row>
    <row r="771">
      <c r="A771" t="inlineStr">
        <is>
          <t>F9</t>
        </is>
      </c>
      <c r="B771" t="n">
        <v>2020</v>
      </c>
      <c r="C771" t="n">
        <v>1</v>
      </c>
      <c r="D771" t="n">
        <v>12467</v>
      </c>
      <c r="E771" t="n">
        <v>145</v>
      </c>
      <c r="F771" t="n">
        <v>10</v>
      </c>
      <c r="G771" t="n">
        <v>12312</v>
      </c>
      <c r="H771" t="n">
        <v>10517</v>
      </c>
      <c r="I771" t="n">
        <v>-55183</v>
      </c>
      <c r="J771" t="n">
        <v>330437.1999999997</v>
      </c>
      <c r="K771" t="n">
        <v>12287</v>
      </c>
      <c r="L771" t="n">
        <v>46837</v>
      </c>
      <c r="M771" t="n">
        <v>39630</v>
      </c>
      <c r="N771" t="n">
        <v>23558</v>
      </c>
      <c r="O771" t="n">
        <v>1439</v>
      </c>
      <c r="P771" t="n">
        <v>0</v>
      </c>
    </row>
    <row r="772">
      <c r="A772" t="inlineStr">
        <is>
          <t>F9</t>
        </is>
      </c>
      <c r="B772" t="n">
        <v>2020</v>
      </c>
      <c r="C772" t="n">
        <v>2</v>
      </c>
      <c r="D772" t="n">
        <v>11549</v>
      </c>
      <c r="E772" t="n">
        <v>107</v>
      </c>
      <c r="F772" t="n">
        <v>5</v>
      </c>
      <c r="G772" t="n">
        <v>11437</v>
      </c>
      <c r="H772" t="n">
        <v>9333</v>
      </c>
      <c r="I772" t="n">
        <v>-7928</v>
      </c>
      <c r="J772" t="n">
        <v>307589.8000000009</v>
      </c>
      <c r="K772" t="n">
        <v>11368</v>
      </c>
      <c r="L772" t="n">
        <v>58853</v>
      </c>
      <c r="M772" t="n">
        <v>34002</v>
      </c>
      <c r="N772" t="n">
        <v>34969</v>
      </c>
      <c r="O772" t="n">
        <v>1331</v>
      </c>
      <c r="P772" t="n">
        <v>0</v>
      </c>
    </row>
    <row r="773">
      <c r="A773" t="inlineStr">
        <is>
          <t>F9</t>
        </is>
      </c>
      <c r="B773" t="n">
        <v>2020</v>
      </c>
      <c r="C773" t="n">
        <v>3</v>
      </c>
      <c r="D773" t="n">
        <v>12765</v>
      </c>
      <c r="E773" t="n">
        <v>2766</v>
      </c>
      <c r="F773" t="n">
        <v>7</v>
      </c>
      <c r="G773" t="n">
        <v>9992</v>
      </c>
      <c r="H773" t="n">
        <v>8655</v>
      </c>
      <c r="I773" t="n">
        <v>-54885</v>
      </c>
      <c r="J773" t="n">
        <v>307615.9999999994</v>
      </c>
      <c r="K773" t="n">
        <v>11866</v>
      </c>
      <c r="L773" t="n">
        <v>32716</v>
      </c>
      <c r="M773" t="n">
        <v>23933</v>
      </c>
      <c r="N773" t="n">
        <v>26842</v>
      </c>
      <c r="O773" t="n">
        <v>380</v>
      </c>
      <c r="P773" t="n">
        <v>0</v>
      </c>
    </row>
    <row r="774">
      <c r="A774" t="inlineStr">
        <is>
          <t>F9</t>
        </is>
      </c>
      <c r="B774" t="n">
        <v>2020</v>
      </c>
      <c r="C774" t="n">
        <v>4</v>
      </c>
      <c r="D774" t="n">
        <v>2736</v>
      </c>
      <c r="E774" t="n">
        <v>1304</v>
      </c>
      <c r="F774" t="n">
        <v>0</v>
      </c>
      <c r="G774" t="n">
        <v>1432</v>
      </c>
      <c r="H774" t="n">
        <v>1358</v>
      </c>
      <c r="I774" t="n">
        <v>-26358</v>
      </c>
      <c r="J774" t="n">
        <v>58914.20000000001</v>
      </c>
      <c r="K774" t="n">
        <v>2590</v>
      </c>
      <c r="L774" t="n">
        <v>1091</v>
      </c>
      <c r="M774" t="n">
        <v>1922</v>
      </c>
      <c r="N774" t="n">
        <v>718</v>
      </c>
      <c r="O774" t="n">
        <v>84</v>
      </c>
      <c r="P774" t="n">
        <v>0</v>
      </c>
    </row>
    <row r="775">
      <c r="A775" t="inlineStr">
        <is>
          <t>F9</t>
        </is>
      </c>
      <c r="B775" t="n">
        <v>2020</v>
      </c>
      <c r="C775" t="n">
        <v>5</v>
      </c>
      <c r="D775" t="n">
        <v>2863</v>
      </c>
      <c r="E775" t="n">
        <v>5</v>
      </c>
      <c r="F775" t="n">
        <v>3</v>
      </c>
      <c r="G775" t="n">
        <v>2855</v>
      </c>
      <c r="H775" t="n">
        <v>2689</v>
      </c>
      <c r="I775" t="n">
        <v>-43527</v>
      </c>
      <c r="J775" t="n">
        <v>55226.09999999998</v>
      </c>
      <c r="K775" t="n">
        <v>2692</v>
      </c>
      <c r="L775" t="n">
        <v>2359</v>
      </c>
      <c r="M775" t="n">
        <v>3351</v>
      </c>
      <c r="N775" t="n">
        <v>1895</v>
      </c>
      <c r="O775" t="n">
        <v>491</v>
      </c>
      <c r="P775" t="n">
        <v>0</v>
      </c>
    </row>
    <row r="776">
      <c r="A776" t="inlineStr">
        <is>
          <t>F9</t>
        </is>
      </c>
      <c r="B776" t="n">
        <v>2020</v>
      </c>
      <c r="C776" t="n">
        <v>6</v>
      </c>
      <c r="D776" t="n">
        <v>4754</v>
      </c>
      <c r="E776" t="n">
        <v>5</v>
      </c>
      <c r="F776" t="n">
        <v>4</v>
      </c>
      <c r="G776" t="n">
        <v>4745</v>
      </c>
      <c r="H776" t="n">
        <v>4443</v>
      </c>
      <c r="I776" t="n">
        <v>-59270</v>
      </c>
      <c r="J776" t="n">
        <v>98051.10000000001</v>
      </c>
      <c r="K776" t="n">
        <v>4624</v>
      </c>
      <c r="L776" t="n">
        <v>3331</v>
      </c>
      <c r="M776" t="n">
        <v>6198</v>
      </c>
      <c r="N776" t="n">
        <v>6238</v>
      </c>
      <c r="O776" t="n">
        <v>902</v>
      </c>
      <c r="P776" t="n">
        <v>0</v>
      </c>
    </row>
    <row r="777">
      <c r="A777" t="inlineStr">
        <is>
          <t>F9</t>
        </is>
      </c>
      <c r="B777" t="n">
        <v>2020</v>
      </c>
      <c r="C777" t="n">
        <v>7</v>
      </c>
      <c r="D777" t="n">
        <v>7533</v>
      </c>
      <c r="E777" t="n">
        <v>238</v>
      </c>
      <c r="F777" t="n">
        <v>9</v>
      </c>
      <c r="G777" t="n">
        <v>7286</v>
      </c>
      <c r="H777" t="n">
        <v>6553</v>
      </c>
      <c r="I777" t="n">
        <v>-50382</v>
      </c>
      <c r="J777" t="n">
        <v>132982.3000000002</v>
      </c>
      <c r="K777" t="n">
        <v>7390</v>
      </c>
      <c r="L777" t="n">
        <v>10068</v>
      </c>
      <c r="M777" t="n">
        <v>13390</v>
      </c>
      <c r="N777" t="n">
        <v>11810</v>
      </c>
      <c r="O777" t="n">
        <v>1917</v>
      </c>
      <c r="P777" t="n">
        <v>0</v>
      </c>
    </row>
    <row r="778">
      <c r="A778" t="inlineStr">
        <is>
          <t>F9</t>
        </is>
      </c>
      <c r="B778" t="n">
        <v>2020</v>
      </c>
      <c r="C778" t="n">
        <v>8</v>
      </c>
      <c r="D778" t="n">
        <v>7112</v>
      </c>
      <c r="E778" t="n">
        <v>44</v>
      </c>
      <c r="F778" t="n">
        <v>9</v>
      </c>
      <c r="G778" t="n">
        <v>7059</v>
      </c>
      <c r="H778" t="n">
        <v>6247</v>
      </c>
      <c r="I778" t="n">
        <v>-35803</v>
      </c>
      <c r="J778" t="n">
        <v>135336.7000000001</v>
      </c>
      <c r="K778" t="n">
        <v>6992</v>
      </c>
      <c r="L778" t="n">
        <v>16962</v>
      </c>
      <c r="M778" t="n">
        <v>21565</v>
      </c>
      <c r="N778" t="n">
        <v>8904</v>
      </c>
      <c r="O778" t="n">
        <v>1116</v>
      </c>
      <c r="P778" t="n">
        <v>0</v>
      </c>
    </row>
    <row r="779">
      <c r="A779" t="inlineStr">
        <is>
          <t>F9</t>
        </is>
      </c>
      <c r="B779" t="n">
        <v>2020</v>
      </c>
      <c r="C779" t="n">
        <v>9</v>
      </c>
      <c r="D779" t="n">
        <v>6734</v>
      </c>
      <c r="E779" t="n">
        <v>8</v>
      </c>
      <c r="F779" t="n">
        <v>6</v>
      </c>
      <c r="G779" t="n">
        <v>6720</v>
      </c>
      <c r="H779" t="n">
        <v>6288</v>
      </c>
      <c r="I779" t="n">
        <v>-76355</v>
      </c>
      <c r="J779" t="n">
        <v>133925.6000000004</v>
      </c>
      <c r="K779" t="n">
        <v>6634</v>
      </c>
      <c r="L779" t="n">
        <v>6437</v>
      </c>
      <c r="M779" t="n">
        <v>8234</v>
      </c>
      <c r="N779" t="n">
        <v>5915</v>
      </c>
      <c r="O779" t="n">
        <v>655</v>
      </c>
      <c r="P779" t="n">
        <v>0</v>
      </c>
    </row>
    <row r="780">
      <c r="A780" t="inlineStr">
        <is>
          <t>F9</t>
        </is>
      </c>
      <c r="B780" t="n">
        <v>2020</v>
      </c>
      <c r="C780" t="n">
        <v>10</v>
      </c>
      <c r="D780" t="n">
        <v>7917</v>
      </c>
      <c r="E780" t="n">
        <v>20</v>
      </c>
      <c r="F780" t="n">
        <v>8</v>
      </c>
      <c r="G780" t="n">
        <v>7889</v>
      </c>
      <c r="H780" t="n">
        <v>6942</v>
      </c>
      <c r="I780" t="n">
        <v>-30219</v>
      </c>
      <c r="J780" t="n">
        <v>145462.9000000003</v>
      </c>
      <c r="K780" t="n">
        <v>7843</v>
      </c>
      <c r="L780" t="n">
        <v>19568</v>
      </c>
      <c r="M780" t="n">
        <v>17617</v>
      </c>
      <c r="N780" t="n">
        <v>15350</v>
      </c>
      <c r="O780" t="n">
        <v>745</v>
      </c>
      <c r="P780" t="n">
        <v>0</v>
      </c>
    </row>
    <row r="781">
      <c r="A781" t="inlineStr">
        <is>
          <t>F9</t>
        </is>
      </c>
      <c r="B781" t="n">
        <v>2020</v>
      </c>
      <c r="C781" t="n">
        <v>11</v>
      </c>
      <c r="D781" t="n">
        <v>7425</v>
      </c>
      <c r="E781" t="n">
        <v>13</v>
      </c>
      <c r="F781" t="n">
        <v>4</v>
      </c>
      <c r="G781" t="n">
        <v>7408</v>
      </c>
      <c r="H781" t="n">
        <v>6929</v>
      </c>
      <c r="I781" t="n">
        <v>-72132</v>
      </c>
      <c r="J781" t="n">
        <v>141942.2000000001</v>
      </c>
      <c r="K781" t="n">
        <v>7356</v>
      </c>
      <c r="L781" t="n">
        <v>6371</v>
      </c>
      <c r="M781" t="n">
        <v>9113</v>
      </c>
      <c r="N781" t="n">
        <v>7885</v>
      </c>
      <c r="O781" t="n">
        <v>288</v>
      </c>
      <c r="P781" t="n">
        <v>0</v>
      </c>
    </row>
    <row r="782">
      <c r="A782" t="inlineStr">
        <is>
          <t>F9</t>
        </is>
      </c>
      <c r="B782" t="n">
        <v>2020</v>
      </c>
      <c r="C782" t="n">
        <v>12</v>
      </c>
      <c r="D782" t="n">
        <v>7320</v>
      </c>
      <c r="E782" t="n">
        <v>36</v>
      </c>
      <c r="F782" t="n">
        <v>1</v>
      </c>
      <c r="G782" t="n">
        <v>7283</v>
      </c>
      <c r="H782" t="n">
        <v>6511</v>
      </c>
      <c r="I782" t="n">
        <v>-40772</v>
      </c>
      <c r="J782" t="n">
        <v>140614.5000000003</v>
      </c>
      <c r="K782" t="n">
        <v>7109</v>
      </c>
      <c r="L782" t="n">
        <v>9600</v>
      </c>
      <c r="M782" t="n">
        <v>13118</v>
      </c>
      <c r="N782" t="n">
        <v>15496</v>
      </c>
      <c r="O782" t="n">
        <v>1111</v>
      </c>
      <c r="P782" t="n">
        <v>0</v>
      </c>
    </row>
    <row r="783">
      <c r="A783" t="inlineStr">
        <is>
          <t>F9</t>
        </is>
      </c>
      <c r="B783" t="n">
        <v>2021</v>
      </c>
      <c r="C783" t="n">
        <v>1</v>
      </c>
      <c r="D783" t="n">
        <v>6264</v>
      </c>
      <c r="E783" t="n">
        <v>21</v>
      </c>
      <c r="F783" t="n">
        <v>4</v>
      </c>
      <c r="G783" t="n">
        <v>6239</v>
      </c>
      <c r="H783" t="n">
        <v>5697</v>
      </c>
      <c r="I783" t="n">
        <v>-49754</v>
      </c>
      <c r="J783" t="n">
        <v>126681.7</v>
      </c>
      <c r="K783" t="n">
        <v>6109</v>
      </c>
      <c r="L783" t="n">
        <v>7336</v>
      </c>
      <c r="M783" t="n">
        <v>8777</v>
      </c>
      <c r="N783" t="n">
        <v>11784</v>
      </c>
      <c r="O783" t="n">
        <v>848</v>
      </c>
      <c r="P783" t="n">
        <v>0</v>
      </c>
    </row>
    <row r="784">
      <c r="A784" t="inlineStr">
        <is>
          <t>F9</t>
        </is>
      </c>
      <c r="B784" t="n">
        <v>2021</v>
      </c>
      <c r="C784" t="n">
        <v>2</v>
      </c>
      <c r="D784" t="n">
        <v>6582</v>
      </c>
      <c r="E784" t="n">
        <v>98</v>
      </c>
      <c r="F784" t="n">
        <v>3</v>
      </c>
      <c r="G784" t="n">
        <v>6481</v>
      </c>
      <c r="H784" t="n">
        <v>5396</v>
      </c>
      <c r="I784" t="n">
        <v>781</v>
      </c>
      <c r="J784" t="n">
        <v>132691.4999999999</v>
      </c>
      <c r="K784" t="n">
        <v>6384</v>
      </c>
      <c r="L784" t="n">
        <v>20401</v>
      </c>
      <c r="M784" t="n">
        <v>18091</v>
      </c>
      <c r="N784" t="n">
        <v>20692</v>
      </c>
      <c r="O784" t="n">
        <v>5495</v>
      </c>
      <c r="P784" t="n">
        <v>0</v>
      </c>
    </row>
    <row r="785">
      <c r="A785" t="inlineStr">
        <is>
          <t>F9</t>
        </is>
      </c>
      <c r="B785" t="n">
        <v>2021</v>
      </c>
      <c r="C785" t="n">
        <v>3</v>
      </c>
      <c r="D785" t="n">
        <v>10886</v>
      </c>
      <c r="E785" t="n">
        <v>325</v>
      </c>
      <c r="F785" t="n">
        <v>10</v>
      </c>
      <c r="G785" t="n">
        <v>10551</v>
      </c>
      <c r="H785" t="n">
        <v>9154</v>
      </c>
      <c r="I785" t="n">
        <v>-38358</v>
      </c>
      <c r="J785" t="n">
        <v>233738.7000000006</v>
      </c>
      <c r="K785" t="n">
        <v>10645</v>
      </c>
      <c r="L785" t="n">
        <v>23849</v>
      </c>
      <c r="M785" t="n">
        <v>23178</v>
      </c>
      <c r="N785" t="n">
        <v>21997</v>
      </c>
      <c r="O785" t="n">
        <v>1947</v>
      </c>
      <c r="P785" t="n">
        <v>0</v>
      </c>
    </row>
    <row r="786">
      <c r="A786" t="inlineStr">
        <is>
          <t>F9</t>
        </is>
      </c>
      <c r="B786" t="n">
        <v>2021</v>
      </c>
      <c r="C786" t="n">
        <v>4</v>
      </c>
      <c r="D786" t="n">
        <v>10910</v>
      </c>
      <c r="E786" t="n">
        <v>93</v>
      </c>
      <c r="F786" t="n">
        <v>16</v>
      </c>
      <c r="G786" t="n">
        <v>10801</v>
      </c>
      <c r="H786" t="n">
        <v>8883</v>
      </c>
      <c r="I786" t="n">
        <v>28282</v>
      </c>
      <c r="J786" t="n">
        <v>221611.2000000002</v>
      </c>
      <c r="K786" t="n">
        <v>10697</v>
      </c>
      <c r="L786" t="n">
        <v>44876</v>
      </c>
      <c r="M786" t="n">
        <v>38485</v>
      </c>
      <c r="N786" t="n">
        <v>37759</v>
      </c>
      <c r="O786" t="n">
        <v>6017</v>
      </c>
      <c r="P786" t="n">
        <v>0</v>
      </c>
    </row>
    <row r="787">
      <c r="A787" t="inlineStr">
        <is>
          <t>F9</t>
        </is>
      </c>
      <c r="B787" t="n">
        <v>2021</v>
      </c>
      <c r="C787" t="n">
        <v>5</v>
      </c>
      <c r="D787" t="n">
        <v>11940</v>
      </c>
      <c r="E787" t="n">
        <v>12</v>
      </c>
      <c r="F787" t="n">
        <v>11</v>
      </c>
      <c r="G787" t="n">
        <v>11917</v>
      </c>
      <c r="H787" t="n">
        <v>10139</v>
      </c>
      <c r="I787" t="n">
        <v>-24370</v>
      </c>
      <c r="J787" t="n">
        <v>251095.5999999997</v>
      </c>
      <c r="K787" t="n">
        <v>11673</v>
      </c>
      <c r="L787" t="n">
        <v>34878</v>
      </c>
      <c r="M787" t="n">
        <v>28311</v>
      </c>
      <c r="N787" t="n">
        <v>31496</v>
      </c>
      <c r="O787" t="n">
        <v>1928</v>
      </c>
      <c r="P787" t="n">
        <v>0</v>
      </c>
    </row>
    <row r="788">
      <c r="A788" t="inlineStr">
        <is>
          <t>F9</t>
        </is>
      </c>
      <c r="B788" t="n">
        <v>2021</v>
      </c>
      <c r="C788" t="n">
        <v>6</v>
      </c>
      <c r="D788" t="n">
        <v>12590</v>
      </c>
      <c r="E788" t="n">
        <v>201</v>
      </c>
      <c r="F788" t="n">
        <v>26</v>
      </c>
      <c r="G788" t="n">
        <v>12363</v>
      </c>
      <c r="H788" t="n">
        <v>8746</v>
      </c>
      <c r="I788" t="n">
        <v>170374</v>
      </c>
      <c r="J788" t="n">
        <v>267336.0999999997</v>
      </c>
      <c r="K788" t="n">
        <v>12153</v>
      </c>
      <c r="L788" t="n">
        <v>103756</v>
      </c>
      <c r="M788" t="n">
        <v>72235</v>
      </c>
      <c r="N788" t="n">
        <v>70971</v>
      </c>
      <c r="O788" t="n">
        <v>11829</v>
      </c>
      <c r="P788" t="n">
        <v>0</v>
      </c>
    </row>
    <row r="789">
      <c r="A789" t="inlineStr">
        <is>
          <t>F9</t>
        </is>
      </c>
      <c r="B789" t="n">
        <v>2021</v>
      </c>
      <c r="C789" t="n">
        <v>7</v>
      </c>
      <c r="D789" t="n">
        <v>13467</v>
      </c>
      <c r="E789" t="n">
        <v>463</v>
      </c>
      <c r="F789" t="n">
        <v>34</v>
      </c>
      <c r="G789" t="n">
        <v>12970</v>
      </c>
      <c r="H789" t="n">
        <v>8084</v>
      </c>
      <c r="I789" t="n">
        <v>318240</v>
      </c>
      <c r="J789" t="n">
        <v>285392.4999999996</v>
      </c>
      <c r="K789" t="n">
        <v>13106</v>
      </c>
      <c r="L789" t="n">
        <v>159158</v>
      </c>
      <c r="M789" t="n">
        <v>120118</v>
      </c>
      <c r="N789" t="n">
        <v>96559</v>
      </c>
      <c r="O789" t="n">
        <v>14428</v>
      </c>
      <c r="P789" t="n">
        <v>0</v>
      </c>
    </row>
    <row r="790">
      <c r="A790" t="inlineStr">
        <is>
          <t>F9</t>
        </is>
      </c>
      <c r="B790" t="n">
        <v>2021</v>
      </c>
      <c r="C790" t="n">
        <v>8</v>
      </c>
      <c r="D790" t="n">
        <v>13398</v>
      </c>
      <c r="E790" t="n">
        <v>322</v>
      </c>
      <c r="F790" t="n">
        <v>29</v>
      </c>
      <c r="G790" t="n">
        <v>13047</v>
      </c>
      <c r="H790" t="n">
        <v>9233</v>
      </c>
      <c r="I790" t="n">
        <v>187861</v>
      </c>
      <c r="J790" t="n">
        <v>283424.9999999999</v>
      </c>
      <c r="K790" t="n">
        <v>13027</v>
      </c>
      <c r="L790" t="n">
        <v>105076</v>
      </c>
      <c r="M790" t="n">
        <v>97673</v>
      </c>
      <c r="N790" t="n">
        <v>65304</v>
      </c>
      <c r="O790" t="n">
        <v>9766</v>
      </c>
      <c r="P790" t="n">
        <v>0</v>
      </c>
    </row>
    <row r="791">
      <c r="A791" t="inlineStr">
        <is>
          <t>F9</t>
        </is>
      </c>
      <c r="B791" t="n">
        <v>2021</v>
      </c>
      <c r="C791" t="n">
        <v>9</v>
      </c>
      <c r="D791" t="n">
        <v>12155</v>
      </c>
      <c r="E791" t="n">
        <v>79</v>
      </c>
      <c r="F791" t="n">
        <v>16</v>
      </c>
      <c r="G791" t="n">
        <v>12060</v>
      </c>
      <c r="H791" t="n">
        <v>9799</v>
      </c>
      <c r="I791" t="n">
        <v>44213</v>
      </c>
      <c r="J791" t="n">
        <v>258840.799999999</v>
      </c>
      <c r="K791" t="n">
        <v>11777</v>
      </c>
      <c r="L791" t="n">
        <v>53155</v>
      </c>
      <c r="M791" t="n">
        <v>56874</v>
      </c>
      <c r="N791" t="n">
        <v>36182</v>
      </c>
      <c r="O791" t="n">
        <v>3330</v>
      </c>
      <c r="P791" t="n">
        <v>0</v>
      </c>
    </row>
    <row r="792">
      <c r="A792" t="inlineStr">
        <is>
          <t>F9</t>
        </is>
      </c>
      <c r="B792" t="n">
        <v>2021</v>
      </c>
      <c r="C792" t="n">
        <v>10</v>
      </c>
      <c r="D792" t="n">
        <v>12987</v>
      </c>
      <c r="E792" t="n">
        <v>79</v>
      </c>
      <c r="F792" t="n">
        <v>8</v>
      </c>
      <c r="G792" t="n">
        <v>12900</v>
      </c>
      <c r="H792" t="n">
        <v>10474</v>
      </c>
      <c r="I792" t="n">
        <v>45867</v>
      </c>
      <c r="J792" t="n">
        <v>302440.9999999988</v>
      </c>
      <c r="K792" t="n">
        <v>12706</v>
      </c>
      <c r="L792" t="n">
        <v>70186</v>
      </c>
      <c r="M792" t="n">
        <v>54890</v>
      </c>
      <c r="N792" t="n">
        <v>36141</v>
      </c>
      <c r="O792" t="n">
        <v>1725</v>
      </c>
      <c r="P792" t="n">
        <v>0</v>
      </c>
    </row>
    <row r="793">
      <c r="A793" t="inlineStr">
        <is>
          <t>F9</t>
        </is>
      </c>
      <c r="B793" t="n">
        <v>2021</v>
      </c>
      <c r="C793" t="n">
        <v>11</v>
      </c>
      <c r="D793" t="n">
        <v>12803</v>
      </c>
      <c r="E793" t="n">
        <v>24</v>
      </c>
      <c r="F793" t="n">
        <v>5</v>
      </c>
      <c r="G793" t="n">
        <v>12774</v>
      </c>
      <c r="H793" t="n">
        <v>10233</v>
      </c>
      <c r="I793" t="n">
        <v>44283</v>
      </c>
      <c r="J793" t="n">
        <v>292389.8999999992</v>
      </c>
      <c r="K793" t="n">
        <v>11873</v>
      </c>
      <c r="L793" t="n">
        <v>70364</v>
      </c>
      <c r="M793" t="n">
        <v>54967</v>
      </c>
      <c r="N793" t="n">
        <v>28349</v>
      </c>
      <c r="O793" t="n">
        <v>4853</v>
      </c>
      <c r="P793" t="n">
        <v>0</v>
      </c>
    </row>
    <row r="794">
      <c r="A794" t="inlineStr">
        <is>
          <t>F9</t>
        </is>
      </c>
      <c r="B794" t="n">
        <v>2021</v>
      </c>
      <c r="C794" t="n">
        <v>12</v>
      </c>
      <c r="D794" t="n">
        <v>13160</v>
      </c>
      <c r="E794" t="n">
        <v>212</v>
      </c>
      <c r="F794" t="n">
        <v>19</v>
      </c>
      <c r="G794" t="n">
        <v>12929</v>
      </c>
      <c r="H794" t="n">
        <v>9261</v>
      </c>
      <c r="I794" t="n">
        <v>153472</v>
      </c>
      <c r="J794" t="n">
        <v>313584.1000000004</v>
      </c>
      <c r="K794" t="n">
        <v>12472</v>
      </c>
      <c r="L794" t="n">
        <v>109497</v>
      </c>
      <c r="M794" t="n">
        <v>87382</v>
      </c>
      <c r="N794" t="n">
        <v>51642</v>
      </c>
      <c r="O794" t="n">
        <v>1519</v>
      </c>
      <c r="P794" t="n">
        <v>0</v>
      </c>
    </row>
    <row r="795">
      <c r="A795" t="inlineStr">
        <is>
          <t>F9</t>
        </is>
      </c>
      <c r="B795" t="n">
        <v>2022</v>
      </c>
      <c r="C795" t="n">
        <v>1</v>
      </c>
      <c r="D795" t="n">
        <v>12039</v>
      </c>
      <c r="E795" t="n">
        <v>536</v>
      </c>
      <c r="F795" t="n">
        <v>17</v>
      </c>
      <c r="G795" t="n">
        <v>11486</v>
      </c>
      <c r="H795" t="n">
        <v>8353</v>
      </c>
      <c r="I795" t="n">
        <v>125831</v>
      </c>
      <c r="J795" t="n">
        <v>279349.5999999999</v>
      </c>
      <c r="K795" t="n">
        <v>11578</v>
      </c>
      <c r="L795" t="n">
        <v>85746</v>
      </c>
      <c r="M795" t="n">
        <v>80506</v>
      </c>
      <c r="N795" t="n">
        <v>41194</v>
      </c>
      <c r="O795" t="n">
        <v>4725</v>
      </c>
      <c r="P795" t="n">
        <v>0</v>
      </c>
    </row>
    <row r="796">
      <c r="A796" t="inlineStr">
        <is>
          <t>F9</t>
        </is>
      </c>
      <c r="B796" t="n">
        <v>2022</v>
      </c>
      <c r="C796" t="n">
        <v>2</v>
      </c>
      <c r="D796" t="n">
        <v>11131</v>
      </c>
      <c r="E796" t="n">
        <v>482</v>
      </c>
      <c r="F796" t="n">
        <v>12</v>
      </c>
      <c r="G796" t="n">
        <v>10637</v>
      </c>
      <c r="H796" t="n">
        <v>7565</v>
      </c>
      <c r="I796" t="n">
        <v>146239</v>
      </c>
      <c r="J796" t="n">
        <v>245447.8999999994</v>
      </c>
      <c r="K796" t="n">
        <v>10632</v>
      </c>
      <c r="L796" t="n">
        <v>85713</v>
      </c>
      <c r="M796" t="n">
        <v>79448</v>
      </c>
      <c r="N796" t="n">
        <v>46731</v>
      </c>
      <c r="O796" t="n">
        <v>3754</v>
      </c>
      <c r="P796" t="n">
        <v>0</v>
      </c>
    </row>
    <row r="797">
      <c r="A797" t="inlineStr">
        <is>
          <t>F9</t>
        </is>
      </c>
      <c r="B797" t="n">
        <v>2022</v>
      </c>
      <c r="C797" t="n">
        <v>3</v>
      </c>
      <c r="D797" t="n">
        <v>12901</v>
      </c>
      <c r="E797" t="n">
        <v>585</v>
      </c>
      <c r="F797" t="n">
        <v>31</v>
      </c>
      <c r="G797" t="n">
        <v>12285</v>
      </c>
      <c r="H797" t="n">
        <v>7463</v>
      </c>
      <c r="I797" t="n">
        <v>306005</v>
      </c>
      <c r="J797" t="n">
        <v>281713.0000000002</v>
      </c>
      <c r="K797" t="n">
        <v>12297</v>
      </c>
      <c r="L797" t="n">
        <v>152997</v>
      </c>
      <c r="M797" t="n">
        <v>115885</v>
      </c>
      <c r="N797" t="n">
        <v>88415</v>
      </c>
      <c r="O797" t="n">
        <v>6833</v>
      </c>
      <c r="P797" t="n">
        <v>0</v>
      </c>
    </row>
    <row r="798">
      <c r="A798" t="inlineStr">
        <is>
          <t>F9</t>
        </is>
      </c>
      <c r="B798" t="n">
        <v>2022</v>
      </c>
      <c r="C798" t="n">
        <v>4</v>
      </c>
      <c r="D798" t="n">
        <v>12203</v>
      </c>
      <c r="E798" t="n">
        <v>438</v>
      </c>
      <c r="F798" t="n">
        <v>19</v>
      </c>
      <c r="G798" t="n">
        <v>11746</v>
      </c>
      <c r="H798" t="n">
        <v>7123</v>
      </c>
      <c r="I798" t="n">
        <v>296739</v>
      </c>
      <c r="J798" t="n">
        <v>239115.2000000002</v>
      </c>
      <c r="K798" t="n">
        <v>11763</v>
      </c>
      <c r="L798" t="n">
        <v>138210</v>
      </c>
      <c r="M798" t="n">
        <v>98488</v>
      </c>
      <c r="N798" t="n">
        <v>91436</v>
      </c>
      <c r="O798" t="n">
        <v>9909</v>
      </c>
      <c r="P798" t="n">
        <v>0</v>
      </c>
    </row>
    <row r="799">
      <c r="A799" t="inlineStr">
        <is>
          <t>F9</t>
        </is>
      </c>
      <c r="B799" t="n">
        <v>2022</v>
      </c>
      <c r="C799" t="n">
        <v>5</v>
      </c>
      <c r="D799" t="n">
        <v>12678</v>
      </c>
      <c r="E799" t="n">
        <v>179</v>
      </c>
      <c r="F799" t="n">
        <v>22</v>
      </c>
      <c r="G799" t="n">
        <v>12477</v>
      </c>
      <c r="H799" t="n">
        <v>8191</v>
      </c>
      <c r="I799" t="n">
        <v>240540</v>
      </c>
      <c r="J799" t="n">
        <v>236735.1000000003</v>
      </c>
      <c r="K799" t="n">
        <v>11933</v>
      </c>
      <c r="L799" t="n">
        <v>126113</v>
      </c>
      <c r="M799" t="n">
        <v>88278</v>
      </c>
      <c r="N799" t="n">
        <v>67742</v>
      </c>
      <c r="O799" t="n">
        <v>6071</v>
      </c>
      <c r="P799" t="n">
        <v>0</v>
      </c>
    </row>
    <row r="800">
      <c r="A800" t="inlineStr">
        <is>
          <t>F9</t>
        </is>
      </c>
      <c r="B800" t="n">
        <v>2022</v>
      </c>
      <c r="C800" t="n">
        <v>6</v>
      </c>
      <c r="D800" t="n">
        <v>12430</v>
      </c>
      <c r="E800" t="n">
        <v>136</v>
      </c>
      <c r="F800" t="n">
        <v>28</v>
      </c>
      <c r="G800" t="n">
        <v>12266</v>
      </c>
      <c r="H800" t="n">
        <v>8637</v>
      </c>
      <c r="I800" t="n">
        <v>171540</v>
      </c>
      <c r="J800" t="n">
        <v>261592.9999999999</v>
      </c>
      <c r="K800" t="n">
        <v>11871</v>
      </c>
      <c r="L800" t="n">
        <v>94637</v>
      </c>
      <c r="M800" t="n">
        <v>77473</v>
      </c>
      <c r="N800" t="n">
        <v>66534</v>
      </c>
      <c r="O800" t="n">
        <v>3689</v>
      </c>
      <c r="P800" t="n">
        <v>0</v>
      </c>
    </row>
    <row r="801">
      <c r="A801" t="inlineStr">
        <is>
          <t>F9</t>
        </is>
      </c>
      <c r="B801" t="n">
        <v>2022</v>
      </c>
      <c r="C801" t="n">
        <v>7</v>
      </c>
      <c r="D801" t="n">
        <v>13175</v>
      </c>
      <c r="E801" t="n">
        <v>145</v>
      </c>
      <c r="F801" t="n">
        <v>33</v>
      </c>
      <c r="G801" t="n">
        <v>12997</v>
      </c>
      <c r="H801" t="n">
        <v>9551</v>
      </c>
      <c r="I801" t="n">
        <v>157624</v>
      </c>
      <c r="J801" t="n">
        <v>293432.7000000004</v>
      </c>
      <c r="K801" t="n">
        <v>12753</v>
      </c>
      <c r="L801" t="n">
        <v>97664</v>
      </c>
      <c r="M801" t="n">
        <v>82912</v>
      </c>
      <c r="N801" t="n">
        <v>62983</v>
      </c>
      <c r="O801" t="n">
        <v>11758</v>
      </c>
      <c r="P801" t="n">
        <v>0</v>
      </c>
    </row>
    <row r="802">
      <c r="A802" t="inlineStr">
        <is>
          <t>F9</t>
        </is>
      </c>
      <c r="B802" t="n">
        <v>2022</v>
      </c>
      <c r="C802" t="n">
        <v>8</v>
      </c>
      <c r="D802" t="n">
        <v>13337</v>
      </c>
      <c r="E802" t="n">
        <v>126</v>
      </c>
      <c r="F802" t="n">
        <v>35</v>
      </c>
      <c r="G802" t="n">
        <v>13176</v>
      </c>
      <c r="H802" t="n">
        <v>9489</v>
      </c>
      <c r="I802" t="n">
        <v>205477</v>
      </c>
      <c r="J802" t="n">
        <v>299455.1999999997</v>
      </c>
      <c r="K802" t="n">
        <v>12888</v>
      </c>
      <c r="L802" t="n">
        <v>127373</v>
      </c>
      <c r="M802" t="n">
        <v>97748</v>
      </c>
      <c r="N802" t="n">
        <v>60630</v>
      </c>
      <c r="O802" t="n">
        <v>12530</v>
      </c>
      <c r="P802" t="n">
        <v>0</v>
      </c>
    </row>
    <row r="803">
      <c r="A803" t="inlineStr">
        <is>
          <t>F9</t>
        </is>
      </c>
      <c r="B803" t="n">
        <v>2022</v>
      </c>
      <c r="C803" t="n">
        <v>9</v>
      </c>
      <c r="D803" t="n">
        <v>13512</v>
      </c>
      <c r="E803" t="n">
        <v>564</v>
      </c>
      <c r="F803" t="n">
        <v>21</v>
      </c>
      <c r="G803" t="n">
        <v>12927</v>
      </c>
      <c r="H803" t="n">
        <v>9505</v>
      </c>
      <c r="I803" t="n">
        <v>167949</v>
      </c>
      <c r="J803" t="n">
        <v>297594.4999999989</v>
      </c>
      <c r="K803" t="n">
        <v>13053</v>
      </c>
      <c r="L803" t="n">
        <v>103405</v>
      </c>
      <c r="M803" t="n">
        <v>89994</v>
      </c>
      <c r="N803" t="n">
        <v>46705</v>
      </c>
      <c r="O803" t="n">
        <v>4128</v>
      </c>
      <c r="P803" t="n">
        <v>0</v>
      </c>
    </row>
    <row r="804">
      <c r="A804" t="inlineStr">
        <is>
          <t>F9</t>
        </is>
      </c>
      <c r="B804" t="n">
        <v>2022</v>
      </c>
      <c r="C804" t="n">
        <v>10</v>
      </c>
      <c r="D804" t="n">
        <v>14522</v>
      </c>
      <c r="E804" t="n">
        <v>248</v>
      </c>
      <c r="F804" t="n">
        <v>20</v>
      </c>
      <c r="G804" t="n">
        <v>14254</v>
      </c>
      <c r="H804" t="n">
        <v>10207</v>
      </c>
      <c r="I804" t="n">
        <v>197702</v>
      </c>
      <c r="J804" t="n">
        <v>342150.899999998</v>
      </c>
      <c r="K804" t="n">
        <v>14069</v>
      </c>
      <c r="L804" t="n">
        <v>130852</v>
      </c>
      <c r="M804" t="n">
        <v>102391</v>
      </c>
      <c r="N804" t="n">
        <v>44437</v>
      </c>
      <c r="O804" t="n">
        <v>1853</v>
      </c>
      <c r="P804" t="n">
        <v>0</v>
      </c>
    </row>
    <row r="805">
      <c r="A805" t="inlineStr">
        <is>
          <t>F9</t>
        </is>
      </c>
      <c r="B805" t="n">
        <v>2022</v>
      </c>
      <c r="C805" t="n">
        <v>11</v>
      </c>
      <c r="D805" t="n">
        <v>13659</v>
      </c>
      <c r="E805" t="n">
        <v>351</v>
      </c>
      <c r="F805" t="n">
        <v>16</v>
      </c>
      <c r="G805" t="n">
        <v>13292</v>
      </c>
      <c r="H805" t="n">
        <v>8824</v>
      </c>
      <c r="I805" t="n">
        <v>248454</v>
      </c>
      <c r="J805" t="n">
        <v>321553.3999999996</v>
      </c>
      <c r="K805" t="n">
        <v>12995</v>
      </c>
      <c r="L805" t="n">
        <v>144851</v>
      </c>
      <c r="M805" t="n">
        <v>107481</v>
      </c>
      <c r="N805" t="n">
        <v>55410</v>
      </c>
      <c r="O805" t="n">
        <v>4679</v>
      </c>
      <c r="P805" t="n">
        <v>0</v>
      </c>
    </row>
    <row r="806">
      <c r="A806" t="inlineStr">
        <is>
          <t>F9</t>
        </is>
      </c>
      <c r="B806" t="n">
        <v>2022</v>
      </c>
      <c r="C806" t="n">
        <v>12</v>
      </c>
      <c r="D806" t="n">
        <v>13894</v>
      </c>
      <c r="E806" t="n">
        <v>665</v>
      </c>
      <c r="F806" t="n">
        <v>26</v>
      </c>
      <c r="G806" t="n">
        <v>13203</v>
      </c>
      <c r="H806" t="n">
        <v>7857</v>
      </c>
      <c r="I806" t="n">
        <v>357843</v>
      </c>
      <c r="J806" t="n">
        <v>333354.9000000003</v>
      </c>
      <c r="K806" t="n">
        <v>13283</v>
      </c>
      <c r="L806" t="n">
        <v>183055</v>
      </c>
      <c r="M806" t="n">
        <v>139436</v>
      </c>
      <c r="N806" t="n">
        <v>74517</v>
      </c>
      <c r="O806" t="n">
        <v>15819</v>
      </c>
      <c r="P806" t="n">
        <v>0</v>
      </c>
    </row>
    <row r="807">
      <c r="A807" t="inlineStr">
        <is>
          <t>F9</t>
        </is>
      </c>
      <c r="B807" t="n">
        <v>2023</v>
      </c>
      <c r="C807" t="n">
        <v>1</v>
      </c>
      <c r="D807" t="n">
        <v>13285</v>
      </c>
      <c r="E807" t="n">
        <v>438</v>
      </c>
      <c r="F807" t="n">
        <v>19</v>
      </c>
      <c r="G807" t="n">
        <v>12828</v>
      </c>
      <c r="H807" t="n">
        <v>8323</v>
      </c>
      <c r="I807" t="n">
        <v>270786</v>
      </c>
      <c r="J807" t="n">
        <v>327949.9999999999</v>
      </c>
      <c r="K807" t="n">
        <v>12681</v>
      </c>
      <c r="L807" t="n">
        <v>146082</v>
      </c>
      <c r="M807" t="n">
        <v>115285</v>
      </c>
      <c r="N807" t="n">
        <v>73861</v>
      </c>
      <c r="O807" t="n">
        <v>11442</v>
      </c>
      <c r="P807" t="n">
        <v>0</v>
      </c>
    </row>
    <row r="808">
      <c r="A808" t="inlineStr">
        <is>
          <t>F9</t>
        </is>
      </c>
      <c r="B808" t="n">
        <v>2023</v>
      </c>
      <c r="C808" t="n">
        <v>2</v>
      </c>
      <c r="D808" t="n">
        <v>12524</v>
      </c>
      <c r="E808" t="n">
        <v>185</v>
      </c>
      <c r="F808" t="n">
        <v>10</v>
      </c>
      <c r="G808" t="n">
        <v>12329</v>
      </c>
      <c r="H808" t="n">
        <v>8639</v>
      </c>
      <c r="I808" t="n">
        <v>165967</v>
      </c>
      <c r="J808" t="n">
        <v>309464.0000000003</v>
      </c>
      <c r="K808" t="n">
        <v>11849</v>
      </c>
      <c r="L808" t="n">
        <v>109966</v>
      </c>
      <c r="M808" t="n">
        <v>86102</v>
      </c>
      <c r="N808" t="n">
        <v>55421</v>
      </c>
      <c r="O808" t="n">
        <v>4794</v>
      </c>
      <c r="P808" t="n">
        <v>0</v>
      </c>
    </row>
    <row r="809">
      <c r="A809" t="inlineStr">
        <is>
          <t>F9</t>
        </is>
      </c>
      <c r="B809" t="n">
        <v>2023</v>
      </c>
      <c r="C809" t="n">
        <v>3</v>
      </c>
      <c r="D809" t="n">
        <v>14461</v>
      </c>
      <c r="E809" t="n">
        <v>211</v>
      </c>
      <c r="F809" t="n">
        <v>21</v>
      </c>
      <c r="G809" t="n">
        <v>14229</v>
      </c>
      <c r="H809" t="n">
        <v>9360</v>
      </c>
      <c r="I809" t="n">
        <v>282990</v>
      </c>
      <c r="J809" t="n">
        <v>342112.9999999998</v>
      </c>
      <c r="K809" t="n">
        <v>13457</v>
      </c>
      <c r="L809" t="n">
        <v>146904</v>
      </c>
      <c r="M809" t="n">
        <v>104013</v>
      </c>
      <c r="N809" t="n">
        <v>96263</v>
      </c>
      <c r="O809" t="n">
        <v>10054</v>
      </c>
      <c r="P809" t="n">
        <v>0</v>
      </c>
    </row>
    <row r="810">
      <c r="A810" t="inlineStr">
        <is>
          <t>F9</t>
        </is>
      </c>
      <c r="B810" t="n">
        <v>2023</v>
      </c>
      <c r="C810" t="n">
        <v>4</v>
      </c>
      <c r="D810" t="n">
        <v>13772</v>
      </c>
      <c r="E810" t="n">
        <v>214</v>
      </c>
      <c r="F810" t="n">
        <v>33</v>
      </c>
      <c r="G810" t="n">
        <v>13525</v>
      </c>
      <c r="H810" t="n">
        <v>9025</v>
      </c>
      <c r="I810" t="n">
        <v>262684</v>
      </c>
      <c r="J810" t="n">
        <v>299091.3000000005</v>
      </c>
      <c r="K810" t="n">
        <v>12964</v>
      </c>
      <c r="L810" t="n">
        <v>159879</v>
      </c>
      <c r="M810" t="n">
        <v>99685</v>
      </c>
      <c r="N810" t="n">
        <v>61240</v>
      </c>
      <c r="O810" t="n">
        <v>10874</v>
      </c>
      <c r="P810" t="n">
        <v>0</v>
      </c>
    </row>
    <row r="811">
      <c r="A811" t="inlineStr">
        <is>
          <t>F9</t>
        </is>
      </c>
      <c r="B811" t="n">
        <v>2023</v>
      </c>
      <c r="C811" t="n">
        <v>5</v>
      </c>
      <c r="D811" t="n">
        <v>14122</v>
      </c>
      <c r="E811" t="n">
        <v>181</v>
      </c>
      <c r="F811" t="n">
        <v>21</v>
      </c>
      <c r="G811" t="n">
        <v>13920</v>
      </c>
      <c r="H811" t="n">
        <v>9413</v>
      </c>
      <c r="I811" t="n">
        <v>275072</v>
      </c>
      <c r="J811" t="n">
        <v>297502.5000000001</v>
      </c>
      <c r="K811" t="n">
        <v>13096</v>
      </c>
      <c r="L811" t="n">
        <v>183212</v>
      </c>
      <c r="M811" t="n">
        <v>108208</v>
      </c>
      <c r="N811" t="n">
        <v>53466</v>
      </c>
      <c r="O811" t="n">
        <v>7607</v>
      </c>
      <c r="P811" t="n">
        <v>0</v>
      </c>
    </row>
    <row r="812">
      <c r="A812" t="inlineStr">
        <is>
          <t>F9</t>
        </is>
      </c>
      <c r="B812" t="n">
        <v>2023</v>
      </c>
      <c r="C812" t="n">
        <v>6</v>
      </c>
      <c r="D812" t="n">
        <v>13937</v>
      </c>
      <c r="E812" t="n">
        <v>546</v>
      </c>
      <c r="F812" t="n">
        <v>47</v>
      </c>
      <c r="G812" t="n">
        <v>13344</v>
      </c>
      <c r="H812" t="n">
        <v>7486</v>
      </c>
      <c r="I812" t="n">
        <v>444533</v>
      </c>
      <c r="J812" t="n">
        <v>292710.2999999998</v>
      </c>
      <c r="K812" t="n">
        <v>12731</v>
      </c>
      <c r="L812" t="n">
        <v>263209</v>
      </c>
      <c r="M812" t="n">
        <v>144307</v>
      </c>
      <c r="N812" t="n">
        <v>76492</v>
      </c>
      <c r="O812" t="n">
        <v>14186</v>
      </c>
      <c r="P812" t="n">
        <v>0</v>
      </c>
    </row>
    <row r="813">
      <c r="A813" t="inlineStr">
        <is>
          <t>F9</t>
        </is>
      </c>
      <c r="B813" t="n">
        <v>2023</v>
      </c>
      <c r="C813" t="n">
        <v>7</v>
      </c>
      <c r="D813" t="n">
        <v>14811</v>
      </c>
      <c r="E813" t="n">
        <v>672</v>
      </c>
      <c r="F813" t="n">
        <v>37</v>
      </c>
      <c r="G813" t="n">
        <v>14102</v>
      </c>
      <c r="H813" t="n">
        <v>7921</v>
      </c>
      <c r="I813" t="n">
        <v>476996</v>
      </c>
      <c r="J813" t="n">
        <v>305115.6000000002</v>
      </c>
      <c r="K813" t="n">
        <v>13545</v>
      </c>
      <c r="L813" t="n">
        <v>274025</v>
      </c>
      <c r="M813" t="n">
        <v>154105</v>
      </c>
      <c r="N813" t="n">
        <v>86165</v>
      </c>
      <c r="O813" t="n">
        <v>18389</v>
      </c>
      <c r="P813" t="n">
        <v>0</v>
      </c>
    </row>
    <row r="814">
      <c r="A814" t="inlineStr">
        <is>
          <t>F9</t>
        </is>
      </c>
      <c r="B814" t="n">
        <v>2023</v>
      </c>
      <c r="C814" t="n">
        <v>8</v>
      </c>
      <c r="D814" t="n">
        <v>15405</v>
      </c>
      <c r="E814" t="n">
        <v>774</v>
      </c>
      <c r="F814" t="n">
        <v>36</v>
      </c>
      <c r="G814" t="n">
        <v>14595</v>
      </c>
      <c r="H814" t="n">
        <v>9562</v>
      </c>
      <c r="I814" t="n">
        <v>346614</v>
      </c>
      <c r="J814" t="n">
        <v>331342.9999999999</v>
      </c>
      <c r="K814" t="n">
        <v>14216</v>
      </c>
      <c r="L814" t="n">
        <v>227738</v>
      </c>
      <c r="M814" t="n">
        <v>138810</v>
      </c>
      <c r="N814" t="n">
        <v>58891</v>
      </c>
      <c r="O814" t="n">
        <v>10452</v>
      </c>
      <c r="P814" t="n">
        <v>0</v>
      </c>
    </row>
    <row r="815">
      <c r="A815" t="inlineStr">
        <is>
          <t>F9</t>
        </is>
      </c>
      <c r="B815" t="n">
        <v>2023</v>
      </c>
      <c r="C815" t="n">
        <v>9</v>
      </c>
      <c r="D815" t="n">
        <v>16353</v>
      </c>
      <c r="E815" t="n">
        <v>329</v>
      </c>
      <c r="F815" t="n">
        <v>30</v>
      </c>
      <c r="G815" t="n">
        <v>15994</v>
      </c>
      <c r="H815" t="n">
        <v>11623</v>
      </c>
      <c r="I815" t="n">
        <v>225453</v>
      </c>
      <c r="J815" t="n">
        <v>357582.5999999997</v>
      </c>
      <c r="K815" t="n">
        <v>15400</v>
      </c>
      <c r="L815" t="n">
        <v>181739</v>
      </c>
      <c r="M815" t="n">
        <v>95964</v>
      </c>
      <c r="N815" t="n">
        <v>52859</v>
      </c>
      <c r="O815" t="n">
        <v>6783</v>
      </c>
      <c r="P815" t="n">
        <v>0</v>
      </c>
    </row>
    <row r="816">
      <c r="A816" t="inlineStr">
        <is>
          <t>F9</t>
        </is>
      </c>
      <c r="B816" t="n">
        <v>2023</v>
      </c>
      <c r="C816" t="n">
        <v>10</v>
      </c>
      <c r="D816" t="n">
        <v>17270</v>
      </c>
      <c r="E816" t="n">
        <v>124</v>
      </c>
      <c r="F816" t="n">
        <v>24</v>
      </c>
      <c r="G816" t="n">
        <v>17122</v>
      </c>
      <c r="H816" t="n">
        <v>12760</v>
      </c>
      <c r="I816" t="n">
        <v>192476</v>
      </c>
      <c r="J816" t="n">
        <v>398765.9</v>
      </c>
      <c r="K816" t="n">
        <v>16242</v>
      </c>
      <c r="L816" t="n">
        <v>177881</v>
      </c>
      <c r="M816" t="n">
        <v>97367</v>
      </c>
      <c r="N816" t="n">
        <v>39126</v>
      </c>
      <c r="O816" t="n">
        <v>3942</v>
      </c>
      <c r="P816" t="n">
        <v>0</v>
      </c>
    </row>
    <row r="817">
      <c r="A817" t="inlineStr">
        <is>
          <t>F9</t>
        </is>
      </c>
      <c r="B817" t="n">
        <v>2023</v>
      </c>
      <c r="C817" t="n">
        <v>11</v>
      </c>
      <c r="D817" t="n">
        <v>15904</v>
      </c>
      <c r="E817" t="n">
        <v>24</v>
      </c>
      <c r="F817" t="n">
        <v>9</v>
      </c>
      <c r="G817" t="n">
        <v>15871</v>
      </c>
      <c r="H817" t="n">
        <v>12675</v>
      </c>
      <c r="I817" t="n">
        <v>96546</v>
      </c>
      <c r="J817" t="n">
        <v>374641.3999999979</v>
      </c>
      <c r="K817" t="n">
        <v>14678</v>
      </c>
      <c r="L817" t="n">
        <v>117755</v>
      </c>
      <c r="M817" t="n">
        <v>83244</v>
      </c>
      <c r="N817" t="n">
        <v>30072</v>
      </c>
      <c r="O817" t="n">
        <v>1241</v>
      </c>
      <c r="P817" t="n">
        <v>0</v>
      </c>
    </row>
    <row r="818">
      <c r="A818" t="inlineStr">
        <is>
          <t>F9</t>
        </is>
      </c>
      <c r="B818" t="n">
        <v>2023</v>
      </c>
      <c r="C818" t="n">
        <v>12</v>
      </c>
      <c r="D818" t="n">
        <v>15698</v>
      </c>
      <c r="E818" t="n">
        <v>76</v>
      </c>
      <c r="F818" t="n">
        <v>22</v>
      </c>
      <c r="G818" t="n">
        <v>15600</v>
      </c>
      <c r="H818" t="n">
        <v>12147</v>
      </c>
      <c r="I818" t="n">
        <v>115130</v>
      </c>
      <c r="J818" t="n">
        <v>373386.8999999998</v>
      </c>
      <c r="K818" t="n">
        <v>14386</v>
      </c>
      <c r="L818" t="n">
        <v>133908</v>
      </c>
      <c r="M818" t="n">
        <v>75309</v>
      </c>
      <c r="N818" t="n">
        <v>41311</v>
      </c>
      <c r="O818" t="n">
        <v>2629</v>
      </c>
      <c r="P818" t="n">
        <v>0</v>
      </c>
    </row>
    <row r="819">
      <c r="A819" t="inlineStr">
        <is>
          <t>F9</t>
        </is>
      </c>
      <c r="B819" t="n">
        <v>2024</v>
      </c>
      <c r="C819" t="n">
        <v>1</v>
      </c>
      <c r="D819" t="n">
        <v>14379</v>
      </c>
      <c r="E819" t="n">
        <v>311</v>
      </c>
      <c r="F819" t="n">
        <v>23</v>
      </c>
      <c r="G819" t="n">
        <v>14045</v>
      </c>
      <c r="H819" t="n">
        <v>10231</v>
      </c>
      <c r="I819" t="n">
        <v>206733</v>
      </c>
      <c r="J819" t="n">
        <v>354660.7000000007</v>
      </c>
      <c r="K819" t="n">
        <v>13291</v>
      </c>
      <c r="L819" t="n">
        <v>171298</v>
      </c>
      <c r="M819" t="n">
        <v>87728</v>
      </c>
      <c r="N819" t="n">
        <v>56800</v>
      </c>
      <c r="O819" t="n">
        <v>13404</v>
      </c>
      <c r="P819" t="n">
        <v>0</v>
      </c>
    </row>
    <row r="820">
      <c r="A820" t="inlineStr">
        <is>
          <t>F9</t>
        </is>
      </c>
      <c r="B820" t="n">
        <v>2024</v>
      </c>
      <c r="C820" t="n">
        <v>2</v>
      </c>
      <c r="D820" t="n">
        <v>14157</v>
      </c>
      <c r="E820" t="n">
        <v>35</v>
      </c>
      <c r="F820" t="n">
        <v>10</v>
      </c>
      <c r="G820" t="n">
        <v>14112</v>
      </c>
      <c r="H820" t="n">
        <v>11303</v>
      </c>
      <c r="I820" t="n">
        <v>52871</v>
      </c>
      <c r="J820" t="n">
        <v>353336.700000002</v>
      </c>
      <c r="K820" t="n">
        <v>13101</v>
      </c>
      <c r="L820" t="n">
        <v>104158</v>
      </c>
      <c r="M820" t="n">
        <v>49100</v>
      </c>
      <c r="N820" t="n">
        <v>45818</v>
      </c>
      <c r="O820" t="n">
        <v>2533</v>
      </c>
      <c r="P820" t="n">
        <v>0</v>
      </c>
    </row>
    <row r="821">
      <c r="A821" t="inlineStr">
        <is>
          <t>F9</t>
        </is>
      </c>
      <c r="B821" t="n">
        <v>2024</v>
      </c>
      <c r="C821" t="n">
        <v>3</v>
      </c>
      <c r="D821" t="n">
        <v>17324</v>
      </c>
      <c r="E821" t="n">
        <v>463</v>
      </c>
      <c r="F821" t="n">
        <v>28</v>
      </c>
      <c r="G821" t="n">
        <v>16833</v>
      </c>
      <c r="H821" t="n">
        <v>11500</v>
      </c>
      <c r="I821" t="n">
        <v>364465</v>
      </c>
      <c r="J821" t="n">
        <v>431019.9999999993</v>
      </c>
      <c r="K821" t="n">
        <v>15618</v>
      </c>
      <c r="L821" t="n">
        <v>275272</v>
      </c>
      <c r="M821" t="n">
        <v>121369</v>
      </c>
      <c r="N821" t="n">
        <v>87132</v>
      </c>
      <c r="O821" t="n">
        <v>8933</v>
      </c>
      <c r="P821" t="n">
        <v>0</v>
      </c>
    </row>
    <row r="822">
      <c r="A822" t="inlineStr">
        <is>
          <t>F9</t>
        </is>
      </c>
      <c r="B822" t="n">
        <v>2024</v>
      </c>
      <c r="C822" t="n">
        <v>4</v>
      </c>
      <c r="D822" t="n">
        <v>17081</v>
      </c>
      <c r="E822" t="n">
        <v>286</v>
      </c>
      <c r="F822" t="n">
        <v>17</v>
      </c>
      <c r="G822" t="n">
        <v>16778</v>
      </c>
      <c r="H822" t="n">
        <v>11798</v>
      </c>
      <c r="I822" t="n">
        <v>312718</v>
      </c>
      <c r="J822" t="n">
        <v>402597.1000000006</v>
      </c>
      <c r="K822" t="n">
        <v>15615</v>
      </c>
      <c r="L822" t="n">
        <v>259465</v>
      </c>
      <c r="M822" t="n">
        <v>104929</v>
      </c>
      <c r="N822" t="n">
        <v>65295</v>
      </c>
      <c r="O822" t="n">
        <v>6606</v>
      </c>
      <c r="P822" t="n">
        <v>0</v>
      </c>
    </row>
    <row r="823">
      <c r="A823" t="inlineStr">
        <is>
          <t>F9</t>
        </is>
      </c>
      <c r="B823" t="n">
        <v>2024</v>
      </c>
      <c r="C823" t="n">
        <v>5</v>
      </c>
      <c r="D823" t="n">
        <v>18647</v>
      </c>
      <c r="E823" t="n">
        <v>488</v>
      </c>
      <c r="F823" t="n">
        <v>42</v>
      </c>
      <c r="G823" t="n">
        <v>18117</v>
      </c>
      <c r="H823" t="n">
        <v>11868</v>
      </c>
      <c r="I823" t="n">
        <v>378091</v>
      </c>
      <c r="J823" t="n">
        <v>412139.7000000007</v>
      </c>
      <c r="K823" t="n">
        <v>16842</v>
      </c>
      <c r="L823" t="n">
        <v>272280</v>
      </c>
      <c r="M823" t="n">
        <v>116115</v>
      </c>
      <c r="N823" t="n">
        <v>94685</v>
      </c>
      <c r="O823" t="n">
        <v>10564</v>
      </c>
      <c r="P823" t="n">
        <v>0</v>
      </c>
    </row>
    <row r="824">
      <c r="A824" t="inlineStr">
        <is>
          <t>F9</t>
        </is>
      </c>
      <c r="B824" t="n">
        <v>2024</v>
      </c>
      <c r="C824" t="n">
        <v>6</v>
      </c>
      <c r="D824" t="n">
        <v>18646</v>
      </c>
      <c r="E824" t="n">
        <v>655</v>
      </c>
      <c r="F824" t="n">
        <v>39</v>
      </c>
      <c r="G824" t="n">
        <v>17952</v>
      </c>
      <c r="H824" t="n">
        <v>11432</v>
      </c>
      <c r="I824" t="n">
        <v>443380</v>
      </c>
      <c r="J824" t="n">
        <v>374000.9000000008</v>
      </c>
      <c r="K824" t="n">
        <v>16477</v>
      </c>
      <c r="L824" t="n">
        <v>288842</v>
      </c>
      <c r="M824" t="n">
        <v>155425</v>
      </c>
      <c r="N824" t="n">
        <v>86852</v>
      </c>
      <c r="O824" t="n">
        <v>10823</v>
      </c>
      <c r="P824" t="n">
        <v>0</v>
      </c>
    </row>
    <row r="825">
      <c r="A825" t="inlineStr">
        <is>
          <t>F9</t>
        </is>
      </c>
      <c r="B825" t="n">
        <v>2024</v>
      </c>
      <c r="C825" t="n">
        <v>7</v>
      </c>
      <c r="D825" t="n">
        <v>19432</v>
      </c>
      <c r="E825" t="n">
        <v>878</v>
      </c>
      <c r="F825" t="n">
        <v>38</v>
      </c>
      <c r="G825" t="n">
        <v>18516</v>
      </c>
      <c r="H825" t="n">
        <v>12018</v>
      </c>
      <c r="I825" t="n">
        <v>411750</v>
      </c>
      <c r="J825" t="n">
        <v>383470.4000000006</v>
      </c>
      <c r="K825" t="n">
        <v>17479</v>
      </c>
      <c r="L825" t="n">
        <v>284379</v>
      </c>
      <c r="M825" t="n">
        <v>142551</v>
      </c>
      <c r="N825" t="n">
        <v>85726</v>
      </c>
      <c r="O825" t="n">
        <v>6071</v>
      </c>
      <c r="P825" t="n">
        <v>0</v>
      </c>
    </row>
    <row r="826">
      <c r="A826" t="inlineStr">
        <is>
          <t>F9</t>
        </is>
      </c>
      <c r="B826" t="n">
        <v>2024</v>
      </c>
      <c r="C826" t="n">
        <v>8</v>
      </c>
      <c r="D826" t="n">
        <v>18813</v>
      </c>
      <c r="E826" t="n">
        <v>615</v>
      </c>
      <c r="F826" t="n">
        <v>40</v>
      </c>
      <c r="G826" t="n">
        <v>18158</v>
      </c>
      <c r="H826" t="n">
        <v>12257</v>
      </c>
      <c r="I826" t="n">
        <v>337753</v>
      </c>
      <c r="J826" t="n">
        <v>395067.3999999998</v>
      </c>
      <c r="K826" t="n">
        <v>17548</v>
      </c>
      <c r="L826" t="n">
        <v>236878</v>
      </c>
      <c r="M826" t="n">
        <v>127684</v>
      </c>
      <c r="N826" t="n">
        <v>88647</v>
      </c>
      <c r="O826" t="n">
        <v>10191</v>
      </c>
      <c r="P826" t="n">
        <v>0</v>
      </c>
    </row>
    <row r="827">
      <c r="A827" t="inlineStr">
        <is>
          <t>F9</t>
        </is>
      </c>
      <c r="B827" t="n">
        <v>2024</v>
      </c>
      <c r="C827" t="n">
        <v>9</v>
      </c>
      <c r="D827" t="n">
        <v>17491</v>
      </c>
      <c r="E827" t="n">
        <v>287</v>
      </c>
      <c r="F827" t="n">
        <v>18</v>
      </c>
      <c r="G827" t="n">
        <v>17186</v>
      </c>
      <c r="H827" t="n">
        <v>13084</v>
      </c>
      <c r="I827" t="n">
        <v>142542</v>
      </c>
      <c r="J827" t="n">
        <v>366527.3999999997</v>
      </c>
      <c r="K827" t="n">
        <v>16671</v>
      </c>
      <c r="L827" t="n">
        <v>143924</v>
      </c>
      <c r="M827" t="n">
        <v>80780</v>
      </c>
      <c r="N827" t="n">
        <v>47565</v>
      </c>
      <c r="O827" t="n">
        <v>6048</v>
      </c>
      <c r="P827" t="n">
        <v>0</v>
      </c>
    </row>
    <row r="828">
      <c r="A828" t="inlineStr">
        <is>
          <t>F9</t>
        </is>
      </c>
      <c r="B828" t="n">
        <v>2024</v>
      </c>
      <c r="C828" t="n">
        <v>10</v>
      </c>
      <c r="D828" t="n">
        <v>17801</v>
      </c>
      <c r="E828" t="n">
        <v>555</v>
      </c>
      <c r="F828" t="n">
        <v>5</v>
      </c>
      <c r="G828" t="n">
        <v>17241</v>
      </c>
      <c r="H828" t="n">
        <v>13056</v>
      </c>
      <c r="I828" t="n">
        <v>169995</v>
      </c>
      <c r="J828" t="n">
        <v>377545.4999999996</v>
      </c>
      <c r="K828" t="n">
        <v>16970</v>
      </c>
      <c r="L828" t="n">
        <v>162995</v>
      </c>
      <c r="M828" t="n">
        <v>93544</v>
      </c>
      <c r="N828" t="n">
        <v>41044</v>
      </c>
      <c r="O828" t="n">
        <v>3815</v>
      </c>
      <c r="P828" t="n">
        <v>0</v>
      </c>
    </row>
    <row r="829">
      <c r="A829" t="inlineStr">
        <is>
          <t>F9</t>
        </is>
      </c>
      <c r="B829" t="n">
        <v>2024</v>
      </c>
      <c r="C829" t="n">
        <v>11</v>
      </c>
      <c r="D829" t="n">
        <v>17559</v>
      </c>
      <c r="E829" t="n">
        <v>151</v>
      </c>
      <c r="F829" t="n">
        <v>19</v>
      </c>
      <c r="G829" t="n">
        <v>17389</v>
      </c>
      <c r="H829" t="n">
        <v>13475</v>
      </c>
      <c r="I829" t="n">
        <v>128993</v>
      </c>
      <c r="J829" t="n">
        <v>404610.1999999991</v>
      </c>
      <c r="K829" t="n">
        <v>16681</v>
      </c>
      <c r="L829" t="n">
        <v>160449</v>
      </c>
      <c r="M829" t="n">
        <v>66866</v>
      </c>
      <c r="N829" t="n">
        <v>49799</v>
      </c>
      <c r="O829" t="n">
        <v>7795</v>
      </c>
      <c r="P829" t="n">
        <v>0</v>
      </c>
    </row>
    <row r="830">
      <c r="A830" t="inlineStr">
        <is>
          <t>F9</t>
        </is>
      </c>
      <c r="B830" t="n">
        <v>2024</v>
      </c>
      <c r="C830" t="n">
        <v>12</v>
      </c>
      <c r="D830" t="n">
        <v>17294</v>
      </c>
      <c r="E830" t="n">
        <v>111</v>
      </c>
      <c r="F830" t="n">
        <v>28</v>
      </c>
      <c r="G830" t="n">
        <v>17155</v>
      </c>
      <c r="H830" t="n">
        <v>12979</v>
      </c>
      <c r="I830" t="n">
        <v>153356</v>
      </c>
      <c r="J830" t="n">
        <v>409202.5000000004</v>
      </c>
      <c r="K830" t="n">
        <v>16355</v>
      </c>
      <c r="L830" t="n">
        <v>160948</v>
      </c>
      <c r="M830" t="n">
        <v>74924</v>
      </c>
      <c r="N830" t="n">
        <v>59492</v>
      </c>
      <c r="O830" t="n">
        <v>5638</v>
      </c>
      <c r="P830" t="n">
        <v>0</v>
      </c>
    </row>
    <row r="831">
      <c r="A831" t="inlineStr">
        <is>
          <t>F9</t>
        </is>
      </c>
      <c r="B831" t="n">
        <v>2025</v>
      </c>
      <c r="C831" t="n">
        <v>1</v>
      </c>
      <c r="D831" t="n">
        <v>15526</v>
      </c>
      <c r="E831" t="n">
        <v>392</v>
      </c>
      <c r="F831" t="n">
        <v>24</v>
      </c>
      <c r="G831" t="n">
        <v>15110</v>
      </c>
      <c r="H831" t="n">
        <v>11185</v>
      </c>
      <c r="I831" t="n">
        <v>163436</v>
      </c>
      <c r="J831" t="n">
        <v>387666.5000000004</v>
      </c>
      <c r="K831" t="n">
        <v>14775</v>
      </c>
      <c r="L831" t="n">
        <v>147311</v>
      </c>
      <c r="M831" t="n">
        <v>88123</v>
      </c>
      <c r="N831" t="n">
        <v>57821</v>
      </c>
      <c r="O831" t="n">
        <v>10853</v>
      </c>
      <c r="P831" t="n">
        <v>0</v>
      </c>
    </row>
    <row r="832">
      <c r="A832" t="inlineStr">
        <is>
          <t>F9</t>
        </is>
      </c>
      <c r="B832" t="n">
        <v>2025</v>
      </c>
      <c r="C832" t="n">
        <v>2</v>
      </c>
      <c r="D832" t="n">
        <v>15440</v>
      </c>
      <c r="E832" t="n">
        <v>201</v>
      </c>
      <c r="F832" t="n">
        <v>26</v>
      </c>
      <c r="G832" t="n">
        <v>15213</v>
      </c>
      <c r="H832" t="n">
        <v>11382</v>
      </c>
      <c r="I832" t="n">
        <v>156871</v>
      </c>
      <c r="J832" t="n">
        <v>398909.9000000012</v>
      </c>
      <c r="K832" t="n">
        <v>14552</v>
      </c>
      <c r="L832" t="n">
        <v>160804</v>
      </c>
      <c r="M832" t="n">
        <v>82209</v>
      </c>
      <c r="N832" t="n">
        <v>62824</v>
      </c>
      <c r="O832" t="n">
        <v>6852</v>
      </c>
      <c r="P832" t="n">
        <v>0</v>
      </c>
    </row>
    <row r="833">
      <c r="A833" t="inlineStr">
        <is>
          <t>F9</t>
        </is>
      </c>
      <c r="B833" t="n">
        <v>2025</v>
      </c>
      <c r="C833" t="n">
        <v>3</v>
      </c>
      <c r="D833" t="n">
        <v>18846</v>
      </c>
      <c r="E833" t="n">
        <v>371</v>
      </c>
      <c r="F833" t="n">
        <v>46</v>
      </c>
      <c r="G833" t="n">
        <v>18429</v>
      </c>
      <c r="H833" t="n">
        <v>13794</v>
      </c>
      <c r="I833" t="n">
        <v>197511</v>
      </c>
      <c r="J833" t="n">
        <v>479438.8999999962</v>
      </c>
      <c r="K833" t="n">
        <v>17360</v>
      </c>
      <c r="L833" t="n">
        <v>183557</v>
      </c>
      <c r="M833" t="n">
        <v>111345</v>
      </c>
      <c r="N833" t="n">
        <v>77545</v>
      </c>
      <c r="O833" t="n">
        <v>4554</v>
      </c>
      <c r="P833" t="n">
        <v>0</v>
      </c>
    </row>
    <row r="834">
      <c r="A834" t="inlineStr">
        <is>
          <t>F9</t>
        </is>
      </c>
      <c r="B834" t="n">
        <v>2025</v>
      </c>
      <c r="C834" t="n">
        <v>4</v>
      </c>
      <c r="D834" t="n">
        <v>17451</v>
      </c>
      <c r="E834" t="n">
        <v>210</v>
      </c>
      <c r="F834" t="n">
        <v>28</v>
      </c>
      <c r="G834" t="n">
        <v>17213</v>
      </c>
      <c r="H834" t="n">
        <v>12653</v>
      </c>
      <c r="I834" t="n">
        <v>228657</v>
      </c>
      <c r="J834" t="n">
        <v>435463.2999999977</v>
      </c>
      <c r="K834" t="n">
        <v>16309</v>
      </c>
      <c r="L834" t="n">
        <v>195398</v>
      </c>
      <c r="M834" t="n">
        <v>109086</v>
      </c>
      <c r="N834" t="n">
        <v>62141</v>
      </c>
      <c r="O834" t="n">
        <v>10195</v>
      </c>
      <c r="P834" t="n">
        <v>0</v>
      </c>
    </row>
    <row r="835">
      <c r="A835" t="inlineStr">
        <is>
          <t>F9</t>
        </is>
      </c>
      <c r="B835" t="n">
        <v>2025</v>
      </c>
      <c r="C835" t="n">
        <v>5</v>
      </c>
      <c r="D835" t="n">
        <v>16036</v>
      </c>
      <c r="E835" t="n">
        <v>167</v>
      </c>
      <c r="F835" t="n">
        <v>33</v>
      </c>
      <c r="G835" t="n">
        <v>15836</v>
      </c>
      <c r="H835" t="n">
        <v>10995</v>
      </c>
      <c r="I835" t="n">
        <v>309635</v>
      </c>
      <c r="J835" t="n">
        <v>411971.7999999984</v>
      </c>
      <c r="K835" t="n">
        <v>15227</v>
      </c>
      <c r="L835" t="n">
        <v>216234</v>
      </c>
      <c r="M835" t="n">
        <v>107120</v>
      </c>
      <c r="N835" t="n">
        <v>85757</v>
      </c>
      <c r="O835" t="n">
        <v>22835</v>
      </c>
      <c r="P835" t="n">
        <v>0</v>
      </c>
    </row>
    <row r="836">
      <c r="A836" t="inlineStr">
        <is>
          <t>F9</t>
        </is>
      </c>
      <c r="B836" t="n">
        <v>2025</v>
      </c>
      <c r="C836" t="n">
        <v>6</v>
      </c>
      <c r="D836" t="n">
        <v>16058</v>
      </c>
      <c r="E836" t="n">
        <v>495</v>
      </c>
      <c r="F836" t="n">
        <v>41</v>
      </c>
      <c r="G836" t="n">
        <v>15522</v>
      </c>
      <c r="H836" t="n">
        <v>9549</v>
      </c>
      <c r="I836" t="n">
        <v>425914</v>
      </c>
      <c r="J836" t="n">
        <v>402083.0000000026</v>
      </c>
      <c r="K836" t="n">
        <v>15330</v>
      </c>
      <c r="L836" t="n">
        <v>265914</v>
      </c>
      <c r="M836" t="n">
        <v>143014</v>
      </c>
      <c r="N836" t="n">
        <v>92134</v>
      </c>
      <c r="O836" t="n">
        <v>16022</v>
      </c>
      <c r="P836" t="n">
        <v>0</v>
      </c>
    </row>
    <row r="837">
      <c r="A837" t="inlineStr">
        <is>
          <t>F9</t>
        </is>
      </c>
      <c r="B837" t="n">
        <v>2025</v>
      </c>
      <c r="C837" t="n">
        <v>7</v>
      </c>
      <c r="D837" t="n">
        <v>16409</v>
      </c>
      <c r="E837" t="n">
        <v>469</v>
      </c>
      <c r="F837" t="n">
        <v>47</v>
      </c>
      <c r="G837" t="n">
        <v>15893</v>
      </c>
      <c r="H837" t="n">
        <v>10171</v>
      </c>
      <c r="I837" t="n">
        <v>413299</v>
      </c>
      <c r="J837" t="n">
        <v>413950.5000000002</v>
      </c>
      <c r="K837" t="n">
        <v>15735</v>
      </c>
      <c r="L837" t="n">
        <v>245311</v>
      </c>
      <c r="M837" t="n">
        <v>158186</v>
      </c>
      <c r="N837" t="n">
        <v>101657</v>
      </c>
      <c r="O837" t="n">
        <v>19856</v>
      </c>
      <c r="P837" t="n">
        <v>0</v>
      </c>
    </row>
    <row r="838">
      <c r="A838" t="inlineStr">
        <is>
          <t>F9</t>
        </is>
      </c>
      <c r="B838" t="n">
        <v>2025</v>
      </c>
      <c r="C838" t="n">
        <v>8</v>
      </c>
      <c r="D838" t="n">
        <v>16697</v>
      </c>
      <c r="E838" t="n">
        <v>269</v>
      </c>
      <c r="F838" t="n">
        <v>32</v>
      </c>
      <c r="G838" t="n">
        <v>16396</v>
      </c>
      <c r="H838" t="n">
        <v>11567</v>
      </c>
      <c r="I838" t="n">
        <v>253625</v>
      </c>
      <c r="J838" t="n">
        <v>424310.8999999996</v>
      </c>
      <c r="K838" t="n">
        <v>16047</v>
      </c>
      <c r="L838" t="n">
        <v>195434</v>
      </c>
      <c r="M838" t="n">
        <v>107928</v>
      </c>
      <c r="N838" t="n">
        <v>73909</v>
      </c>
      <c r="O838" t="n">
        <v>12456</v>
      </c>
      <c r="P838" t="n">
        <v>0</v>
      </c>
    </row>
    <row r="839">
      <c r="A839" t="inlineStr">
        <is>
          <t>F9</t>
        </is>
      </c>
      <c r="B839" t="n">
        <v>2025</v>
      </c>
      <c r="C839" t="n">
        <v>9</v>
      </c>
      <c r="D839" t="n">
        <v>14896</v>
      </c>
      <c r="E839" t="n">
        <v>51</v>
      </c>
      <c r="F839" t="n">
        <v>25</v>
      </c>
      <c r="G839" t="n">
        <v>14820</v>
      </c>
      <c r="H839" t="n">
        <v>11800</v>
      </c>
      <c r="I839" t="n">
        <v>84021</v>
      </c>
      <c r="J839" t="n">
        <v>376963.7999999991</v>
      </c>
      <c r="K839" t="n">
        <v>14434</v>
      </c>
      <c r="L839" t="n">
        <v>114598</v>
      </c>
      <c r="M839" t="n">
        <v>70731</v>
      </c>
      <c r="N839" t="n">
        <v>41601</v>
      </c>
      <c r="O839" t="n">
        <v>10254</v>
      </c>
      <c r="P839" t="n">
        <v>0</v>
      </c>
    </row>
    <row r="840">
      <c r="A840" t="inlineStr">
        <is>
          <t>F9</t>
        </is>
      </c>
      <c r="B840" t="n">
        <v>2025</v>
      </c>
      <c r="C840" t="n">
        <v>10</v>
      </c>
      <c r="D840" t="n">
        <v>16935</v>
      </c>
      <c r="E840" t="n">
        <v>79</v>
      </c>
      <c r="F840" t="n">
        <v>18</v>
      </c>
      <c r="G840" t="n">
        <v>16838</v>
      </c>
      <c r="H840" t="n">
        <v>13089</v>
      </c>
      <c r="I840" t="n">
        <v>157347</v>
      </c>
      <c r="J840" t="n">
        <v>412132.4999999991</v>
      </c>
      <c r="K840" t="n">
        <v>16297</v>
      </c>
      <c r="L840" t="n">
        <v>162645</v>
      </c>
      <c r="M840" t="n">
        <v>83993</v>
      </c>
      <c r="N840" t="n">
        <v>59322</v>
      </c>
      <c r="O840" t="n">
        <v>7772</v>
      </c>
      <c r="P840" t="n">
        <v>0</v>
      </c>
    </row>
    <row r="841">
      <c r="A841" t="inlineStr">
        <is>
          <t>F9</t>
        </is>
      </c>
      <c r="B841" t="n">
        <v>2025</v>
      </c>
      <c r="C841" t="n">
        <v>11</v>
      </c>
      <c r="D841" t="n">
        <v>17047</v>
      </c>
      <c r="E841" t="n">
        <v>340</v>
      </c>
      <c r="F841" t="n">
        <v>16</v>
      </c>
      <c r="G841" t="n">
        <v>16691</v>
      </c>
      <c r="H841" t="n">
        <v>12668</v>
      </c>
      <c r="I841" t="n">
        <v>182043</v>
      </c>
      <c r="J841" t="n">
        <v>423953.6999999974</v>
      </c>
      <c r="K841" t="n">
        <v>16320</v>
      </c>
      <c r="L841" t="n">
        <v>180663</v>
      </c>
      <c r="M841" t="n">
        <v>80182</v>
      </c>
      <c r="N841" t="n">
        <v>83898</v>
      </c>
      <c r="O841" t="n">
        <v>4499</v>
      </c>
      <c r="P841" t="n">
        <v>0</v>
      </c>
    </row>
    <row r="842">
      <c r="A842" t="inlineStr">
        <is>
          <t>F9</t>
        </is>
      </c>
      <c r="B842" t="n">
        <v>2025</v>
      </c>
      <c r="C842" t="n">
        <v>12</v>
      </c>
      <c r="D842" t="n">
        <v>16724</v>
      </c>
      <c r="E842" t="n">
        <v>464</v>
      </c>
      <c r="F842" t="n">
        <v>29</v>
      </c>
      <c r="G842" t="n">
        <v>16231</v>
      </c>
      <c r="H842" t="n">
        <v>11137</v>
      </c>
      <c r="I842" t="n">
        <v>308567</v>
      </c>
      <c r="J842" t="n">
        <v>429360.2999999998</v>
      </c>
      <c r="K842" t="n">
        <v>15986</v>
      </c>
      <c r="L842" t="n">
        <v>233948</v>
      </c>
      <c r="M842" t="n">
        <v>129257</v>
      </c>
      <c r="N842" t="n">
        <v>70423</v>
      </c>
      <c r="O842" t="n">
        <v>7279</v>
      </c>
      <c r="P842" t="n">
        <v>0</v>
      </c>
    </row>
    <row r="843">
      <c r="A843" t="inlineStr">
        <is>
          <t>F9</t>
        </is>
      </c>
      <c r="B843" t="n">
        <v>2026</v>
      </c>
      <c r="C843" t="n">
        <v>1</v>
      </c>
      <c r="D843" t="n">
        <v>15382</v>
      </c>
      <c r="E843" t="n">
        <v>547</v>
      </c>
      <c r="F843" t="n">
        <v>18</v>
      </c>
      <c r="G843" t="n">
        <v>14817</v>
      </c>
      <c r="H843" t="n">
        <v>10672</v>
      </c>
      <c r="I843" t="n">
        <v>201001</v>
      </c>
      <c r="J843" t="n">
        <v>415522.8000000001</v>
      </c>
      <c r="K843" t="n">
        <v>14911</v>
      </c>
      <c r="L843" t="n">
        <v>163518</v>
      </c>
      <c r="M843" t="n">
        <v>106742</v>
      </c>
      <c r="N843" t="n">
        <v>62204</v>
      </c>
      <c r="O843" t="n">
        <v>9499</v>
      </c>
      <c r="P843" t="n">
        <v>0</v>
      </c>
    </row>
    <row r="844">
      <c r="A844" t="inlineStr">
        <is>
          <t>F9</t>
        </is>
      </c>
      <c r="B844" t="n">
        <v>2026</v>
      </c>
      <c r="C844" t="n">
        <v>2</v>
      </c>
      <c r="D844" t="n">
        <v>15056</v>
      </c>
      <c r="E844" t="n">
        <v>214</v>
      </c>
      <c r="F844" t="n">
        <v>16</v>
      </c>
      <c r="G844" t="n">
        <v>14826</v>
      </c>
      <c r="H844" t="n">
        <v>11627</v>
      </c>
      <c r="I844" t="n">
        <v>97739</v>
      </c>
      <c r="J844" t="n">
        <v>417022.4999999986</v>
      </c>
      <c r="K844" t="n">
        <v>14581</v>
      </c>
      <c r="L844" t="n">
        <v>126113</v>
      </c>
      <c r="M844" t="n">
        <v>76348</v>
      </c>
      <c r="N844" t="n">
        <v>47297</v>
      </c>
      <c r="O844" t="n">
        <v>5085</v>
      </c>
      <c r="P844" t="n">
        <v>0</v>
      </c>
    </row>
    <row r="845">
      <c r="A845" t="inlineStr">
        <is>
          <t>F9</t>
        </is>
      </c>
      <c r="B845" t="n">
        <v>2026</v>
      </c>
      <c r="C845" t="n">
        <v>3</v>
      </c>
      <c r="D845" t="n">
        <v>20119</v>
      </c>
      <c r="E845" t="n">
        <v>644</v>
      </c>
      <c r="F845" t="n">
        <v>47</v>
      </c>
      <c r="G845" t="n">
        <v>19428</v>
      </c>
      <c r="H845" t="n">
        <v>13644</v>
      </c>
      <c r="I845" t="n">
        <v>339890</v>
      </c>
      <c r="J845" t="n">
        <v>552954.1999999973</v>
      </c>
      <c r="K845" t="n">
        <v>18938</v>
      </c>
      <c r="L845" t="n">
        <v>252240</v>
      </c>
      <c r="M845" t="n">
        <v>132860</v>
      </c>
      <c r="N845" t="n">
        <v>110356</v>
      </c>
      <c r="O845" t="n">
        <v>17548</v>
      </c>
      <c r="P845" t="n">
        <v>0</v>
      </c>
    </row>
    <row r="846">
      <c r="A846" t="inlineStr">
        <is>
          <t>F9</t>
        </is>
      </c>
      <c r="B846" t="n">
        <v>2026</v>
      </c>
      <c r="C846" t="n">
        <v>4</v>
      </c>
      <c r="D846" t="n">
        <v>18540</v>
      </c>
      <c r="E846" t="n">
        <v>245</v>
      </c>
      <c r="F846" t="n">
        <v>27</v>
      </c>
      <c r="G846" t="n">
        <v>18268</v>
      </c>
      <c r="H846" t="n">
        <v>13561</v>
      </c>
      <c r="I846" t="n">
        <v>205749</v>
      </c>
      <c r="J846" t="n">
        <v>510649.3999999989</v>
      </c>
      <c r="K846" t="n">
        <v>17812</v>
      </c>
      <c r="L846" t="n">
        <v>205692</v>
      </c>
      <c r="M846" t="n">
        <v>95531</v>
      </c>
      <c r="N846" t="n">
        <v>64753</v>
      </c>
      <c r="O846" t="n">
        <v>6300</v>
      </c>
      <c r="P846" t="n">
        <v>0</v>
      </c>
    </row>
    <row r="847">
      <c r="A847" t="inlineStr">
        <is>
          <t>F9</t>
        </is>
      </c>
      <c r="B847" t="n">
        <v>2026</v>
      </c>
      <c r="C847" t="n">
        <v>5</v>
      </c>
      <c r="D847" t="n">
        <v>18423</v>
      </c>
      <c r="E847" t="n">
        <v>95</v>
      </c>
      <c r="F847" t="n">
        <v>39</v>
      </c>
      <c r="G847" t="n">
        <v>18289</v>
      </c>
      <c r="H847" t="n">
        <v>14021</v>
      </c>
      <c r="I847" t="n">
        <v>150494</v>
      </c>
      <c r="J847" t="n">
        <v>508852.7999999991</v>
      </c>
      <c r="K847" t="n">
        <v>17847</v>
      </c>
      <c r="L847" t="n">
        <v>172306</v>
      </c>
      <c r="M847" t="n">
        <v>77033</v>
      </c>
      <c r="N847" t="n">
        <v>71444</v>
      </c>
      <c r="O847" t="n">
        <v>7718</v>
      </c>
      <c r="P847" t="n">
        <v>0</v>
      </c>
    </row>
    <row r="848">
      <c r="A848" t="inlineStr">
        <is>
          <t>F9</t>
        </is>
      </c>
      <c r="B848" t="n">
        <v>2026</v>
      </c>
      <c r="C848" t="n">
        <v>6</v>
      </c>
      <c r="D848" t="n">
        <v>19104</v>
      </c>
      <c r="E848" t="n">
        <v>382</v>
      </c>
      <c r="F848" t="n">
        <v>60</v>
      </c>
      <c r="G848" t="n">
        <v>18662</v>
      </c>
      <c r="H848" t="n">
        <v>13309</v>
      </c>
      <c r="I848" t="n">
        <v>285301</v>
      </c>
      <c r="J848" t="n">
        <v>526332.4999999983</v>
      </c>
      <c r="K848" t="n">
        <v>18498</v>
      </c>
      <c r="L848" t="n">
        <v>233696</v>
      </c>
      <c r="M848" t="n">
        <v>105388</v>
      </c>
      <c r="N848" t="n">
        <v>91840</v>
      </c>
      <c r="O848" t="n">
        <v>18394</v>
      </c>
      <c r="P848" t="n">
        <v>0</v>
      </c>
    </row>
    <row r="849">
      <c r="A849" t="inlineStr">
        <is>
          <t>F9</t>
        </is>
      </c>
      <c r="B849" t="n">
        <v>2026</v>
      </c>
      <c r="C849" t="n">
        <v>7</v>
      </c>
      <c r="D849" t="n">
        <v>20482</v>
      </c>
      <c r="E849" t="n">
        <v>696</v>
      </c>
      <c r="F849" t="n">
        <v>72</v>
      </c>
      <c r="G849" t="n">
        <v>19714</v>
      </c>
      <c r="H849" t="n">
        <v>12804</v>
      </c>
      <c r="I849" t="n">
        <v>456733</v>
      </c>
      <c r="J849" t="n">
        <v>535296.7999999993</v>
      </c>
      <c r="K849" t="n">
        <v>19740</v>
      </c>
      <c r="L849" t="n">
        <v>327282</v>
      </c>
      <c r="M849" t="n">
        <v>130969</v>
      </c>
      <c r="N849" t="n">
        <v>115825</v>
      </c>
      <c r="O849" t="n">
        <v>23362</v>
      </c>
      <c r="P849" t="n">
        <v>0</v>
      </c>
    </row>
    <row r="850">
      <c r="A850" t="inlineStr">
        <is>
          <t>G4</t>
        </is>
      </c>
      <c r="B850" t="n">
        <v>2018</v>
      </c>
      <c r="C850" t="n">
        <v>1</v>
      </c>
      <c r="D850" t="n">
        <v>6814</v>
      </c>
      <c r="E850" t="n">
        <v>58</v>
      </c>
      <c r="F850" t="n">
        <v>26</v>
      </c>
      <c r="G850" t="n">
        <v>6730</v>
      </c>
      <c r="H850" t="n">
        <v>5354</v>
      </c>
      <c r="I850" t="n">
        <v>40039</v>
      </c>
      <c r="J850" t="n">
        <v>86851.09999999973</v>
      </c>
      <c r="K850" t="n">
        <v>5308</v>
      </c>
      <c r="L850" t="n">
        <v>37532</v>
      </c>
      <c r="M850" t="n">
        <v>33817</v>
      </c>
      <c r="N850" t="n">
        <v>13194</v>
      </c>
      <c r="O850" t="n">
        <v>6879</v>
      </c>
      <c r="P850" t="n">
        <v>287</v>
      </c>
    </row>
    <row r="851">
      <c r="A851" t="inlineStr">
        <is>
          <t>G4</t>
        </is>
      </c>
      <c r="B851" t="n">
        <v>2018</v>
      </c>
      <c r="C851" t="n">
        <v>2</v>
      </c>
      <c r="D851" t="n">
        <v>7047</v>
      </c>
      <c r="E851" t="n">
        <v>29</v>
      </c>
      <c r="F851" t="n">
        <v>20</v>
      </c>
      <c r="G851" t="n">
        <v>6998</v>
      </c>
      <c r="H851" t="n">
        <v>5517</v>
      </c>
      <c r="I851" t="n">
        <v>52848</v>
      </c>
      <c r="J851" t="n">
        <v>86831.69999999987</v>
      </c>
      <c r="K851" t="n">
        <v>5514</v>
      </c>
      <c r="L851" t="n">
        <v>43535</v>
      </c>
      <c r="M851" t="n">
        <v>43193</v>
      </c>
      <c r="N851" t="n">
        <v>15715</v>
      </c>
      <c r="O851" t="n">
        <v>4658</v>
      </c>
      <c r="P851" t="n">
        <v>306</v>
      </c>
    </row>
    <row r="852">
      <c r="A852" t="inlineStr">
        <is>
          <t>G4</t>
        </is>
      </c>
      <c r="B852" t="n">
        <v>2018</v>
      </c>
      <c r="C852" t="n">
        <v>3</v>
      </c>
      <c r="D852" t="n">
        <v>9276</v>
      </c>
      <c r="E852" t="n">
        <v>45</v>
      </c>
      <c r="F852" t="n">
        <v>13</v>
      </c>
      <c r="G852" t="n">
        <v>9218</v>
      </c>
      <c r="H852" t="n">
        <v>7279</v>
      </c>
      <c r="I852" t="n">
        <v>73792</v>
      </c>
      <c r="J852" t="n">
        <v>119795.4999999998</v>
      </c>
      <c r="K852" t="n">
        <v>7846</v>
      </c>
      <c r="L852" t="n">
        <v>56980</v>
      </c>
      <c r="M852" t="n">
        <v>53356</v>
      </c>
      <c r="N852" t="n">
        <v>18925</v>
      </c>
      <c r="O852" t="n">
        <v>4332</v>
      </c>
      <c r="P852" t="n">
        <v>597</v>
      </c>
    </row>
    <row r="853">
      <c r="A853" t="inlineStr">
        <is>
          <t>G4</t>
        </is>
      </c>
      <c r="B853" t="n">
        <v>2018</v>
      </c>
      <c r="C853" t="n">
        <v>4</v>
      </c>
      <c r="D853" t="n">
        <v>8146</v>
      </c>
      <c r="E853" t="n">
        <v>30</v>
      </c>
      <c r="F853" t="n">
        <v>22</v>
      </c>
      <c r="G853" t="n">
        <v>8094</v>
      </c>
      <c r="H853" t="n">
        <v>6419</v>
      </c>
      <c r="I853" t="n">
        <v>68555</v>
      </c>
      <c r="J853" t="n">
        <v>94097.29999999997</v>
      </c>
      <c r="K853" t="n">
        <v>6828</v>
      </c>
      <c r="L853" t="n">
        <v>49279</v>
      </c>
      <c r="M853" t="n">
        <v>49900</v>
      </c>
      <c r="N853" t="n">
        <v>18785</v>
      </c>
      <c r="O853" t="n">
        <v>4114</v>
      </c>
      <c r="P853" t="n">
        <v>250</v>
      </c>
    </row>
    <row r="854">
      <c r="A854" t="inlineStr">
        <is>
          <t>G4</t>
        </is>
      </c>
      <c r="B854" t="n">
        <v>2018</v>
      </c>
      <c r="C854" t="n">
        <v>5</v>
      </c>
      <c r="D854" t="n">
        <v>8033</v>
      </c>
      <c r="E854" t="n">
        <v>26</v>
      </c>
      <c r="F854" t="n">
        <v>17</v>
      </c>
      <c r="G854" t="n">
        <v>7990</v>
      </c>
      <c r="H854" t="n">
        <v>6161</v>
      </c>
      <c r="I854" t="n">
        <v>102850</v>
      </c>
      <c r="J854" t="n">
        <v>78869.29999999996</v>
      </c>
      <c r="K854" t="n">
        <v>6203</v>
      </c>
      <c r="L854" t="n">
        <v>64101</v>
      </c>
      <c r="M854" t="n">
        <v>64093</v>
      </c>
      <c r="N854" t="n">
        <v>18949</v>
      </c>
      <c r="O854" t="n">
        <v>5342</v>
      </c>
      <c r="P854" t="n">
        <v>249</v>
      </c>
    </row>
    <row r="855">
      <c r="A855" t="inlineStr">
        <is>
          <t>G4</t>
        </is>
      </c>
      <c r="B855" t="n">
        <v>2018</v>
      </c>
      <c r="C855" t="n">
        <v>6</v>
      </c>
      <c r="D855" t="n">
        <v>9776</v>
      </c>
      <c r="E855" t="n">
        <v>220</v>
      </c>
      <c r="F855" t="n">
        <v>24</v>
      </c>
      <c r="G855" t="n">
        <v>9532</v>
      </c>
      <c r="H855" t="n">
        <v>6815</v>
      </c>
      <c r="I855" t="n">
        <v>181077</v>
      </c>
      <c r="J855" t="n">
        <v>87471.49999999974</v>
      </c>
      <c r="K855" t="n">
        <v>8202</v>
      </c>
      <c r="L855" t="n">
        <v>100123</v>
      </c>
      <c r="M855" t="n">
        <v>85252</v>
      </c>
      <c r="N855" t="n">
        <v>25785</v>
      </c>
      <c r="O855" t="n">
        <v>10512</v>
      </c>
      <c r="P855" t="n">
        <v>282</v>
      </c>
    </row>
    <row r="856">
      <c r="A856" t="inlineStr">
        <is>
          <t>G4</t>
        </is>
      </c>
      <c r="B856" t="n">
        <v>2018</v>
      </c>
      <c r="C856" t="n">
        <v>7</v>
      </c>
      <c r="D856" t="n">
        <v>10325</v>
      </c>
      <c r="E856" t="n">
        <v>165</v>
      </c>
      <c r="F856" t="n">
        <v>44</v>
      </c>
      <c r="G856" t="n">
        <v>10116</v>
      </c>
      <c r="H856" t="n">
        <v>6921</v>
      </c>
      <c r="I856" t="n">
        <v>205757</v>
      </c>
      <c r="J856" t="n">
        <v>89456.09999999976</v>
      </c>
      <c r="K856" t="n">
        <v>8773</v>
      </c>
      <c r="L856" t="n">
        <v>114460</v>
      </c>
      <c r="M856" t="n">
        <v>74268</v>
      </c>
      <c r="N856" t="n">
        <v>41454</v>
      </c>
      <c r="O856" t="n">
        <v>17832</v>
      </c>
      <c r="P856" t="n">
        <v>178</v>
      </c>
    </row>
    <row r="857">
      <c r="A857" t="inlineStr">
        <is>
          <t>G4</t>
        </is>
      </c>
      <c r="B857" t="n">
        <v>2018</v>
      </c>
      <c r="C857" t="n">
        <v>8</v>
      </c>
      <c r="D857" t="n">
        <v>8170</v>
      </c>
      <c r="E857" t="n">
        <v>13</v>
      </c>
      <c r="F857" t="n">
        <v>21</v>
      </c>
      <c r="G857" t="n">
        <v>8136</v>
      </c>
      <c r="H857" t="n">
        <v>6390</v>
      </c>
      <c r="I857" t="n">
        <v>76332</v>
      </c>
      <c r="J857" t="n">
        <v>75463.39999999988</v>
      </c>
      <c r="K857" t="n">
        <v>6658</v>
      </c>
      <c r="L857" t="n">
        <v>49413</v>
      </c>
      <c r="M857" t="n">
        <v>45148</v>
      </c>
      <c r="N857" t="n">
        <v>16464</v>
      </c>
      <c r="O857" t="n">
        <v>12369</v>
      </c>
      <c r="P857" t="n">
        <v>290</v>
      </c>
    </row>
    <row r="858">
      <c r="A858" t="inlineStr">
        <is>
          <t>G4</t>
        </is>
      </c>
      <c r="B858" t="n">
        <v>2018</v>
      </c>
      <c r="C858" t="n">
        <v>9</v>
      </c>
      <c r="D858" t="n">
        <v>5724</v>
      </c>
      <c r="E858" t="n">
        <v>65</v>
      </c>
      <c r="F858" t="n">
        <v>18</v>
      </c>
      <c r="G858" t="n">
        <v>5641</v>
      </c>
      <c r="H858" t="n">
        <v>4706</v>
      </c>
      <c r="I858" t="n">
        <v>17213</v>
      </c>
      <c r="J858" t="n">
        <v>59449.80000000004</v>
      </c>
      <c r="K858" t="n">
        <v>4565</v>
      </c>
      <c r="L858" t="n">
        <v>26091</v>
      </c>
      <c r="M858" t="n">
        <v>25157</v>
      </c>
      <c r="N858" t="n">
        <v>6478</v>
      </c>
      <c r="O858" t="n">
        <v>6242</v>
      </c>
      <c r="P858" t="n">
        <v>129</v>
      </c>
    </row>
    <row r="859">
      <c r="A859" t="inlineStr">
        <is>
          <t>G4</t>
        </is>
      </c>
      <c r="B859" t="n">
        <v>2018</v>
      </c>
      <c r="C859" t="n">
        <v>10</v>
      </c>
      <c r="D859" t="n">
        <v>7597</v>
      </c>
      <c r="E859" t="n">
        <v>26</v>
      </c>
      <c r="F859" t="n">
        <v>12</v>
      </c>
      <c r="G859" t="n">
        <v>7559</v>
      </c>
      <c r="H859" t="n">
        <v>6347</v>
      </c>
      <c r="I859" t="n">
        <v>31437</v>
      </c>
      <c r="J859" t="n">
        <v>81829.20000000026</v>
      </c>
      <c r="K859" t="n">
        <v>5990</v>
      </c>
      <c r="L859" t="n">
        <v>36854</v>
      </c>
      <c r="M859" t="n">
        <v>40944</v>
      </c>
      <c r="N859" t="n">
        <v>8911</v>
      </c>
      <c r="O859" t="n">
        <v>3393</v>
      </c>
      <c r="P859" t="n">
        <v>264</v>
      </c>
    </row>
    <row r="860">
      <c r="A860" t="inlineStr">
        <is>
          <t>G4</t>
        </is>
      </c>
      <c r="B860" t="n">
        <v>2018</v>
      </c>
      <c r="C860" t="n">
        <v>11</v>
      </c>
      <c r="D860" t="n">
        <v>7641</v>
      </c>
      <c r="E860" t="n">
        <v>30</v>
      </c>
      <c r="F860" t="n">
        <v>17</v>
      </c>
      <c r="G860" t="n">
        <v>7594</v>
      </c>
      <c r="H860" t="n">
        <v>6010</v>
      </c>
      <c r="I860" t="n">
        <v>57297</v>
      </c>
      <c r="J860" t="n">
        <v>79739.10000000008</v>
      </c>
      <c r="K860" t="n">
        <v>5517</v>
      </c>
      <c r="L860" t="n">
        <v>44541</v>
      </c>
      <c r="M860" t="n">
        <v>39470</v>
      </c>
      <c r="N860" t="n">
        <v>18687</v>
      </c>
      <c r="O860" t="n">
        <v>4424</v>
      </c>
      <c r="P860" t="n">
        <v>342</v>
      </c>
    </row>
    <row r="861">
      <c r="A861" t="inlineStr">
        <is>
          <t>G4</t>
        </is>
      </c>
      <c r="B861" t="n">
        <v>2018</v>
      </c>
      <c r="C861" t="n">
        <v>12</v>
      </c>
      <c r="D861" t="n">
        <v>7672</v>
      </c>
      <c r="E861" t="n">
        <v>62</v>
      </c>
      <c r="F861" t="n">
        <v>26</v>
      </c>
      <c r="G861" t="n">
        <v>7584</v>
      </c>
      <c r="H861" t="n">
        <v>6042</v>
      </c>
      <c r="I861" t="n">
        <v>43154</v>
      </c>
      <c r="J861" t="n">
        <v>84540.00000000009</v>
      </c>
      <c r="K861" t="n">
        <v>5990</v>
      </c>
      <c r="L861" t="n">
        <v>45057</v>
      </c>
      <c r="M861" t="n">
        <v>27657</v>
      </c>
      <c r="N861" t="n">
        <v>19903</v>
      </c>
      <c r="O861" t="n">
        <v>8637</v>
      </c>
      <c r="P861" t="n">
        <v>385</v>
      </c>
    </row>
    <row r="862">
      <c r="A862" t="inlineStr">
        <is>
          <t>G4</t>
        </is>
      </c>
      <c r="B862" t="n">
        <v>2019</v>
      </c>
      <c r="C862" t="n">
        <v>1</v>
      </c>
      <c r="D862" t="n">
        <v>6763</v>
      </c>
      <c r="E862" t="n">
        <v>50</v>
      </c>
      <c r="F862" t="n">
        <v>19</v>
      </c>
      <c r="G862" t="n">
        <v>6694</v>
      </c>
      <c r="H862" t="n">
        <v>4966</v>
      </c>
      <c r="I862" t="n">
        <v>65811</v>
      </c>
      <c r="J862" t="n">
        <v>74830.39999999999</v>
      </c>
      <c r="K862" t="n">
        <v>5597</v>
      </c>
      <c r="L862" t="n">
        <v>42925</v>
      </c>
      <c r="M862" t="n">
        <v>30596</v>
      </c>
      <c r="N862" t="n">
        <v>23053</v>
      </c>
      <c r="O862" t="n">
        <v>5894</v>
      </c>
      <c r="P862" t="n">
        <v>707</v>
      </c>
    </row>
    <row r="863">
      <c r="A863" t="inlineStr">
        <is>
          <t>G4</t>
        </is>
      </c>
      <c r="B863" t="n">
        <v>2019</v>
      </c>
      <c r="C863" t="n">
        <v>2</v>
      </c>
      <c r="D863" t="n">
        <v>7271</v>
      </c>
      <c r="E863" t="n">
        <v>91</v>
      </c>
      <c r="F863" t="n">
        <v>23</v>
      </c>
      <c r="G863" t="n">
        <v>7157</v>
      </c>
      <c r="H863" t="n">
        <v>5465</v>
      </c>
      <c r="I863" t="n">
        <v>76746</v>
      </c>
      <c r="J863" t="n">
        <v>84856.79999999992</v>
      </c>
      <c r="K863" t="n">
        <v>5689</v>
      </c>
      <c r="L863" t="n">
        <v>51243</v>
      </c>
      <c r="M863" t="n">
        <v>40769</v>
      </c>
      <c r="N863" t="n">
        <v>21909</v>
      </c>
      <c r="O863" t="n">
        <v>10020</v>
      </c>
      <c r="P863" t="n">
        <v>323</v>
      </c>
    </row>
    <row r="864">
      <c r="A864" t="inlineStr">
        <is>
          <t>G4</t>
        </is>
      </c>
      <c r="B864" t="n">
        <v>2019</v>
      </c>
      <c r="C864" t="n">
        <v>3</v>
      </c>
      <c r="D864" t="n">
        <v>10260</v>
      </c>
      <c r="E864" t="n">
        <v>42</v>
      </c>
      <c r="F864" t="n">
        <v>15</v>
      </c>
      <c r="G864" t="n">
        <v>10203</v>
      </c>
      <c r="H864" t="n">
        <v>8755</v>
      </c>
      <c r="I864" t="n">
        <v>4720</v>
      </c>
      <c r="J864" t="n">
        <v>117863.1999999996</v>
      </c>
      <c r="K864" t="n">
        <v>8281</v>
      </c>
      <c r="L864" t="n">
        <v>35635</v>
      </c>
      <c r="M864" t="n">
        <v>33525</v>
      </c>
      <c r="N864" t="n">
        <v>16282</v>
      </c>
      <c r="O864" t="n">
        <v>5367</v>
      </c>
      <c r="P864" t="n">
        <v>181</v>
      </c>
    </row>
    <row r="865">
      <c r="A865" t="inlineStr">
        <is>
          <t>G4</t>
        </is>
      </c>
      <c r="B865" t="n">
        <v>2019</v>
      </c>
      <c r="C865" t="n">
        <v>4</v>
      </c>
      <c r="D865" t="n">
        <v>9283</v>
      </c>
      <c r="E865" t="n">
        <v>64</v>
      </c>
      <c r="F865" t="n">
        <v>24</v>
      </c>
      <c r="G865" t="n">
        <v>9195</v>
      </c>
      <c r="H865" t="n">
        <v>7575</v>
      </c>
      <c r="I865" t="n">
        <v>57548</v>
      </c>
      <c r="J865" t="n">
        <v>97937.49999999975</v>
      </c>
      <c r="K865" t="n">
        <v>7706</v>
      </c>
      <c r="L865" t="n">
        <v>46855</v>
      </c>
      <c r="M865" t="n">
        <v>44931</v>
      </c>
      <c r="N865" t="n">
        <v>17115</v>
      </c>
      <c r="O865" t="n">
        <v>8567</v>
      </c>
      <c r="P865" t="n">
        <v>220</v>
      </c>
    </row>
    <row r="866">
      <c r="A866" t="inlineStr">
        <is>
          <t>G4</t>
        </is>
      </c>
      <c r="B866" t="n">
        <v>2019</v>
      </c>
      <c r="C866" t="n">
        <v>5</v>
      </c>
      <c r="D866" t="n">
        <v>9021</v>
      </c>
      <c r="E866" t="n">
        <v>13</v>
      </c>
      <c r="F866" t="n">
        <v>26</v>
      </c>
      <c r="G866" t="n">
        <v>8982</v>
      </c>
      <c r="H866" t="n">
        <v>7173</v>
      </c>
      <c r="I866" t="n">
        <v>63425</v>
      </c>
      <c r="J866" t="n">
        <v>79132.99999999987</v>
      </c>
      <c r="K866" t="n">
        <v>6657</v>
      </c>
      <c r="L866" t="n">
        <v>47438</v>
      </c>
      <c r="M866" t="n">
        <v>43249</v>
      </c>
      <c r="N866" t="n">
        <v>15626</v>
      </c>
      <c r="O866" t="n">
        <v>10542</v>
      </c>
      <c r="P866" t="n">
        <v>118</v>
      </c>
    </row>
    <row r="867">
      <c r="A867" t="inlineStr">
        <is>
          <t>G4</t>
        </is>
      </c>
      <c r="B867" t="n">
        <v>2019</v>
      </c>
      <c r="C867" t="n">
        <v>6</v>
      </c>
      <c r="D867" t="n">
        <v>11091</v>
      </c>
      <c r="E867" t="n">
        <v>54</v>
      </c>
      <c r="F867" t="n">
        <v>50</v>
      </c>
      <c r="G867" t="n">
        <v>10987</v>
      </c>
      <c r="H867" t="n">
        <v>8088</v>
      </c>
      <c r="I867" t="n">
        <v>153630</v>
      </c>
      <c r="J867" t="n">
        <v>94758.50000000025</v>
      </c>
      <c r="K867" t="n">
        <v>8977</v>
      </c>
      <c r="L867" t="n">
        <v>90564</v>
      </c>
      <c r="M867" t="n">
        <v>67285</v>
      </c>
      <c r="N867" t="n">
        <v>26123</v>
      </c>
      <c r="O867" t="n">
        <v>18924</v>
      </c>
      <c r="P867" t="n">
        <v>292</v>
      </c>
    </row>
    <row r="868">
      <c r="A868" t="inlineStr">
        <is>
          <t>G4</t>
        </is>
      </c>
      <c r="B868" t="n">
        <v>2019</v>
      </c>
      <c r="C868" t="n">
        <v>7</v>
      </c>
      <c r="D868" t="n">
        <v>11786</v>
      </c>
      <c r="E868" t="n">
        <v>41</v>
      </c>
      <c r="F868" t="n">
        <v>27</v>
      </c>
      <c r="G868" t="n">
        <v>11718</v>
      </c>
      <c r="H868" t="n">
        <v>9258</v>
      </c>
      <c r="I868" t="n">
        <v>102550</v>
      </c>
      <c r="J868" t="n">
        <v>97645.19999999959</v>
      </c>
      <c r="K868" t="n">
        <v>9545</v>
      </c>
      <c r="L868" t="n">
        <v>74126</v>
      </c>
      <c r="M868" t="n">
        <v>63255</v>
      </c>
      <c r="N868" t="n">
        <v>18855</v>
      </c>
      <c r="O868" t="n">
        <v>23997</v>
      </c>
      <c r="P868" t="n">
        <v>549</v>
      </c>
    </row>
    <row r="869">
      <c r="A869" t="inlineStr">
        <is>
          <t>G4</t>
        </is>
      </c>
      <c r="B869" t="n">
        <v>2019</v>
      </c>
      <c r="C869" t="n">
        <v>8</v>
      </c>
      <c r="D869" t="n">
        <v>8717</v>
      </c>
      <c r="E869" t="n">
        <v>24</v>
      </c>
      <c r="F869" t="n">
        <v>13</v>
      </c>
      <c r="G869" t="n">
        <v>8680</v>
      </c>
      <c r="H869" t="n">
        <v>6699</v>
      </c>
      <c r="I869" t="n">
        <v>103288</v>
      </c>
      <c r="J869" t="n">
        <v>77206.59999999986</v>
      </c>
      <c r="K869" t="n">
        <v>6941</v>
      </c>
      <c r="L869" t="n">
        <v>65086</v>
      </c>
      <c r="M869" t="n">
        <v>58060</v>
      </c>
      <c r="N869" t="n">
        <v>22631</v>
      </c>
      <c r="O869" t="n">
        <v>12701</v>
      </c>
      <c r="P869" t="n">
        <v>186</v>
      </c>
    </row>
    <row r="870">
      <c r="A870" t="inlineStr">
        <is>
          <t>G4</t>
        </is>
      </c>
      <c r="B870" t="n">
        <v>2019</v>
      </c>
      <c r="C870" t="n">
        <v>9</v>
      </c>
      <c r="D870" t="n">
        <v>5726</v>
      </c>
      <c r="E870" t="n">
        <v>144</v>
      </c>
      <c r="F870" t="n">
        <v>6</v>
      </c>
      <c r="G870" t="n">
        <v>5576</v>
      </c>
      <c r="H870" t="n">
        <v>4818</v>
      </c>
      <c r="I870" t="n">
        <v>3175</v>
      </c>
      <c r="J870" t="n">
        <v>58644.50000000005</v>
      </c>
      <c r="K870" t="n">
        <v>4691</v>
      </c>
      <c r="L870" t="n">
        <v>15824</v>
      </c>
      <c r="M870" t="n">
        <v>24075</v>
      </c>
      <c r="N870" t="n">
        <v>5565</v>
      </c>
      <c r="O870" t="n">
        <v>4340</v>
      </c>
      <c r="P870" t="n">
        <v>169</v>
      </c>
    </row>
    <row r="871">
      <c r="A871" t="inlineStr">
        <is>
          <t>G4</t>
        </is>
      </c>
      <c r="B871" t="n">
        <v>2019</v>
      </c>
      <c r="C871" t="n">
        <v>10</v>
      </c>
      <c r="D871" t="n">
        <v>7866</v>
      </c>
      <c r="E871" t="n">
        <v>6</v>
      </c>
      <c r="F871" t="n">
        <v>13</v>
      </c>
      <c r="G871" t="n">
        <v>7847</v>
      </c>
      <c r="H871" t="n">
        <v>6562</v>
      </c>
      <c r="I871" t="n">
        <v>41880</v>
      </c>
      <c r="J871" t="n">
        <v>81386.30000000032</v>
      </c>
      <c r="K871" t="n">
        <v>6132</v>
      </c>
      <c r="L871" t="n">
        <v>39442</v>
      </c>
      <c r="M871" t="n">
        <v>42806</v>
      </c>
      <c r="N871" t="n">
        <v>11514</v>
      </c>
      <c r="O871" t="n">
        <v>3626</v>
      </c>
      <c r="P871" t="n">
        <v>141</v>
      </c>
    </row>
    <row r="872">
      <c r="A872" t="inlineStr">
        <is>
          <t>G4</t>
        </is>
      </c>
      <c r="B872" t="n">
        <v>2019</v>
      </c>
      <c r="C872" t="n">
        <v>11</v>
      </c>
      <c r="D872" t="n">
        <v>8140</v>
      </c>
      <c r="E872" t="n">
        <v>25</v>
      </c>
      <c r="F872" t="n">
        <v>7</v>
      </c>
      <c r="G872" t="n">
        <v>8108</v>
      </c>
      <c r="H872" t="n">
        <v>6642</v>
      </c>
      <c r="I872" t="n">
        <v>49844</v>
      </c>
      <c r="J872" t="n">
        <v>77657.4000000003</v>
      </c>
      <c r="K872" t="n">
        <v>5851</v>
      </c>
      <c r="L872" t="n">
        <v>36824</v>
      </c>
      <c r="M872" t="n">
        <v>43436</v>
      </c>
      <c r="N872" t="n">
        <v>17711</v>
      </c>
      <c r="O872" t="n">
        <v>4127</v>
      </c>
      <c r="P872" t="n">
        <v>79</v>
      </c>
    </row>
    <row r="873">
      <c r="A873" t="inlineStr">
        <is>
          <t>G4</t>
        </is>
      </c>
      <c r="B873" t="n">
        <v>2019</v>
      </c>
      <c r="C873" t="n">
        <v>12</v>
      </c>
      <c r="D873" t="n">
        <v>9381</v>
      </c>
      <c r="E873" t="n">
        <v>70</v>
      </c>
      <c r="F873" t="n">
        <v>15</v>
      </c>
      <c r="G873" t="n">
        <v>9296</v>
      </c>
      <c r="H873" t="n">
        <v>6901</v>
      </c>
      <c r="I873" t="n">
        <v>113516</v>
      </c>
      <c r="J873" t="n">
        <v>94604.8999999997</v>
      </c>
      <c r="K873" t="n">
        <v>7284</v>
      </c>
      <c r="L873" t="n">
        <v>67931</v>
      </c>
      <c r="M873" t="n">
        <v>51789</v>
      </c>
      <c r="N873" t="n">
        <v>27541</v>
      </c>
      <c r="O873" t="n">
        <v>12268</v>
      </c>
      <c r="P873" t="n">
        <v>804</v>
      </c>
    </row>
    <row r="874">
      <c r="A874" t="inlineStr">
        <is>
          <t>G4</t>
        </is>
      </c>
      <c r="B874" t="n">
        <v>2020</v>
      </c>
      <c r="C874" t="n">
        <v>1</v>
      </c>
      <c r="D874" t="n">
        <v>7774</v>
      </c>
      <c r="E874" t="n">
        <v>86</v>
      </c>
      <c r="F874" t="n">
        <v>25</v>
      </c>
      <c r="G874" t="n">
        <v>7663</v>
      </c>
      <c r="H874" t="n">
        <v>6125</v>
      </c>
      <c r="I874" t="n">
        <v>49129</v>
      </c>
      <c r="J874" t="n">
        <v>94210.60000000003</v>
      </c>
      <c r="K874" t="n">
        <v>6527</v>
      </c>
      <c r="L874" t="n">
        <v>40264</v>
      </c>
      <c r="M874" t="n">
        <v>33235</v>
      </c>
      <c r="N874" t="n">
        <v>19593</v>
      </c>
      <c r="O874" t="n">
        <v>9656</v>
      </c>
      <c r="P874" t="n">
        <v>300</v>
      </c>
    </row>
    <row r="875">
      <c r="A875" t="inlineStr">
        <is>
          <t>G4</t>
        </is>
      </c>
      <c r="B875" t="n">
        <v>2020</v>
      </c>
      <c r="C875" t="n">
        <v>2</v>
      </c>
      <c r="D875" t="n">
        <v>8714</v>
      </c>
      <c r="E875" t="n">
        <v>24</v>
      </c>
      <c r="F875" t="n">
        <v>24</v>
      </c>
      <c r="G875" t="n">
        <v>8666</v>
      </c>
      <c r="H875" t="n">
        <v>6577</v>
      </c>
      <c r="I875" t="n">
        <v>101908</v>
      </c>
      <c r="J875" t="n">
        <v>85657.50000000019</v>
      </c>
      <c r="K875" t="n">
        <v>6654</v>
      </c>
      <c r="L875" t="n">
        <v>54315</v>
      </c>
      <c r="M875" t="n">
        <v>55203</v>
      </c>
      <c r="N875" t="n">
        <v>27787</v>
      </c>
      <c r="O875" t="n">
        <v>12655</v>
      </c>
      <c r="P875" t="n">
        <v>529</v>
      </c>
    </row>
    <row r="876">
      <c r="A876" t="inlineStr">
        <is>
          <t>G4</t>
        </is>
      </c>
      <c r="B876" t="n">
        <v>2020</v>
      </c>
      <c r="C876" t="n">
        <v>3</v>
      </c>
      <c r="D876" t="n">
        <v>11754</v>
      </c>
      <c r="E876" t="n">
        <v>2898</v>
      </c>
      <c r="F876" t="n">
        <v>14</v>
      </c>
      <c r="G876" t="n">
        <v>8842</v>
      </c>
      <c r="H876" t="n">
        <v>7336</v>
      </c>
      <c r="I876" t="n">
        <v>34111</v>
      </c>
      <c r="J876" t="n">
        <v>97677.00000000028</v>
      </c>
      <c r="K876" t="n">
        <v>8620</v>
      </c>
      <c r="L876" t="n">
        <v>39432</v>
      </c>
      <c r="M876" t="n">
        <v>34930</v>
      </c>
      <c r="N876" t="n">
        <v>27194</v>
      </c>
      <c r="O876" t="n">
        <v>2444</v>
      </c>
      <c r="P876" t="n">
        <v>249</v>
      </c>
    </row>
    <row r="877">
      <c r="A877" t="inlineStr">
        <is>
          <t>G4</t>
        </is>
      </c>
      <c r="B877" t="n">
        <v>2020</v>
      </c>
      <c r="C877" t="n">
        <v>4</v>
      </c>
      <c r="D877" t="n">
        <v>6256</v>
      </c>
      <c r="E877" t="n">
        <v>5298</v>
      </c>
      <c r="F877" t="n">
        <v>129</v>
      </c>
      <c r="G877" t="n">
        <v>829</v>
      </c>
      <c r="H877" t="n">
        <v>650</v>
      </c>
      <c r="I877" t="n">
        <v>8284</v>
      </c>
      <c r="J877" t="n">
        <v>48700.39999999986</v>
      </c>
      <c r="K877" t="n">
        <v>4623</v>
      </c>
      <c r="L877" t="n">
        <v>6993</v>
      </c>
      <c r="M877" t="n">
        <v>2633</v>
      </c>
      <c r="N877" t="n">
        <v>10288</v>
      </c>
      <c r="O877" t="n">
        <v>117</v>
      </c>
      <c r="P877" t="n">
        <v>14</v>
      </c>
    </row>
    <row r="878">
      <c r="A878" t="inlineStr">
        <is>
          <t>G4</t>
        </is>
      </c>
      <c r="B878" t="n">
        <v>2020</v>
      </c>
      <c r="C878" t="n">
        <v>5</v>
      </c>
      <c r="D878" t="n">
        <v>9643</v>
      </c>
      <c r="E878" t="n">
        <v>5166</v>
      </c>
      <c r="F878" t="n">
        <v>139</v>
      </c>
      <c r="G878" t="n">
        <v>4338</v>
      </c>
      <c r="H878" t="n">
        <v>3610</v>
      </c>
      <c r="I878" t="n">
        <v>30725</v>
      </c>
      <c r="J878" t="n">
        <v>67507.7999999999</v>
      </c>
      <c r="K878" t="n">
        <v>6464</v>
      </c>
      <c r="L878" t="n">
        <v>18518</v>
      </c>
      <c r="M878" t="n">
        <v>20144</v>
      </c>
      <c r="N878" t="n">
        <v>29482</v>
      </c>
      <c r="O878" t="n">
        <v>3417</v>
      </c>
      <c r="P878" t="n">
        <v>73</v>
      </c>
    </row>
    <row r="879">
      <c r="A879" t="inlineStr">
        <is>
          <t>G4</t>
        </is>
      </c>
      <c r="B879" t="n">
        <v>2020</v>
      </c>
      <c r="C879" t="n">
        <v>6</v>
      </c>
      <c r="D879" t="n">
        <v>9019</v>
      </c>
      <c r="E879" t="n">
        <v>134</v>
      </c>
      <c r="F879" t="n">
        <v>12</v>
      </c>
      <c r="G879" t="n">
        <v>8873</v>
      </c>
      <c r="H879" t="n">
        <v>7780</v>
      </c>
      <c r="I879" t="n">
        <v>-10680</v>
      </c>
      <c r="J879" t="n">
        <v>67432.00000000004</v>
      </c>
      <c r="K879" t="n">
        <v>6611</v>
      </c>
      <c r="L879" t="n">
        <v>26419</v>
      </c>
      <c r="M879" t="n">
        <v>31088</v>
      </c>
      <c r="N879" t="n">
        <v>9377</v>
      </c>
      <c r="O879" t="n">
        <v>6234</v>
      </c>
      <c r="P879" t="n">
        <v>120</v>
      </c>
    </row>
    <row r="880">
      <c r="A880" t="inlineStr">
        <is>
          <t>G4</t>
        </is>
      </c>
      <c r="B880" t="n">
        <v>2020</v>
      </c>
      <c r="C880" t="n">
        <v>7</v>
      </c>
      <c r="D880" t="n">
        <v>10349</v>
      </c>
      <c r="E880" t="n">
        <v>84</v>
      </c>
      <c r="F880" t="n">
        <v>32</v>
      </c>
      <c r="G880" t="n">
        <v>10233</v>
      </c>
      <c r="H880" t="n">
        <v>8847</v>
      </c>
      <c r="I880" t="n">
        <v>1390</v>
      </c>
      <c r="J880" t="n">
        <v>79217.00000000028</v>
      </c>
      <c r="K880" t="n">
        <v>7930</v>
      </c>
      <c r="L880" t="n">
        <v>45433</v>
      </c>
      <c r="M880" t="n">
        <v>46604</v>
      </c>
      <c r="N880" t="n">
        <v>9236</v>
      </c>
      <c r="O880" t="n">
        <v>10061</v>
      </c>
      <c r="P880" t="n">
        <v>168</v>
      </c>
    </row>
    <row r="881">
      <c r="A881" t="inlineStr">
        <is>
          <t>G4</t>
        </is>
      </c>
      <c r="B881" t="n">
        <v>2020</v>
      </c>
      <c r="C881" t="n">
        <v>8</v>
      </c>
      <c r="D881" t="n">
        <v>8619</v>
      </c>
      <c r="E881" t="n">
        <v>257</v>
      </c>
      <c r="F881" t="n">
        <v>38</v>
      </c>
      <c r="G881" t="n">
        <v>8324</v>
      </c>
      <c r="H881" t="n">
        <v>7205</v>
      </c>
      <c r="I881" t="n">
        <v>-125</v>
      </c>
      <c r="J881" t="n">
        <v>65703.49999999988</v>
      </c>
      <c r="K881" t="n">
        <v>6406</v>
      </c>
      <c r="L881" t="n">
        <v>31023</v>
      </c>
      <c r="M881" t="n">
        <v>35184</v>
      </c>
      <c r="N881" t="n">
        <v>13849</v>
      </c>
      <c r="O881" t="n">
        <v>13070</v>
      </c>
      <c r="P881" t="n">
        <v>53</v>
      </c>
    </row>
    <row r="882">
      <c r="A882" t="inlineStr">
        <is>
          <t>G4</t>
        </is>
      </c>
      <c r="B882" t="n">
        <v>2020</v>
      </c>
      <c r="C882" t="n">
        <v>9</v>
      </c>
      <c r="D882" t="n">
        <v>4917</v>
      </c>
      <c r="E882" t="n">
        <v>80</v>
      </c>
      <c r="F882" t="n">
        <v>7</v>
      </c>
      <c r="G882" t="n">
        <v>4830</v>
      </c>
      <c r="H882" t="n">
        <v>4210</v>
      </c>
      <c r="I882" t="n">
        <v>-2652</v>
      </c>
      <c r="J882" t="n">
        <v>36331.29999999987</v>
      </c>
      <c r="K882" t="n">
        <v>3128</v>
      </c>
      <c r="L882" t="n">
        <v>13757</v>
      </c>
      <c r="M882" t="n">
        <v>19527</v>
      </c>
      <c r="N882" t="n">
        <v>5887</v>
      </c>
      <c r="O882" t="n">
        <v>7614</v>
      </c>
      <c r="P882" t="n">
        <v>213</v>
      </c>
    </row>
    <row r="883">
      <c r="A883" t="inlineStr">
        <is>
          <t>G4</t>
        </is>
      </c>
      <c r="B883" t="n">
        <v>2020</v>
      </c>
      <c r="C883" t="n">
        <v>10</v>
      </c>
      <c r="D883" t="n">
        <v>7141</v>
      </c>
      <c r="E883" t="n">
        <v>60</v>
      </c>
      <c r="F883" t="n">
        <v>40</v>
      </c>
      <c r="G883" t="n">
        <v>7041</v>
      </c>
      <c r="H883" t="n">
        <v>5793</v>
      </c>
      <c r="I883" t="n">
        <v>58549</v>
      </c>
      <c r="J883" t="n">
        <v>59058.39999999978</v>
      </c>
      <c r="K883" t="n">
        <v>4831</v>
      </c>
      <c r="L883" t="n">
        <v>42660</v>
      </c>
      <c r="M883" t="n">
        <v>54557</v>
      </c>
      <c r="N883" t="n">
        <v>14821</v>
      </c>
      <c r="O883" t="n">
        <v>4181</v>
      </c>
      <c r="P883" t="n">
        <v>473</v>
      </c>
    </row>
    <row r="884">
      <c r="A884" t="inlineStr">
        <is>
          <t>G4</t>
        </is>
      </c>
      <c r="B884" t="n">
        <v>2020</v>
      </c>
      <c r="C884" t="n">
        <v>11</v>
      </c>
      <c r="D884" t="n">
        <v>6935</v>
      </c>
      <c r="E884" t="n">
        <v>57</v>
      </c>
      <c r="F884" t="n">
        <v>19</v>
      </c>
      <c r="G884" t="n">
        <v>6859</v>
      </c>
      <c r="H884" t="n">
        <v>6013</v>
      </c>
      <c r="I884" t="n">
        <v>3347</v>
      </c>
      <c r="J884" t="n">
        <v>54815.19999999986</v>
      </c>
      <c r="K884" t="n">
        <v>4596</v>
      </c>
      <c r="L884" t="n">
        <v>22776</v>
      </c>
      <c r="M884" t="n">
        <v>36741</v>
      </c>
      <c r="N884" t="n">
        <v>8390</v>
      </c>
      <c r="O884" t="n">
        <v>2989</v>
      </c>
      <c r="P884" t="n">
        <v>230</v>
      </c>
    </row>
    <row r="885">
      <c r="A885" t="inlineStr">
        <is>
          <t>G4</t>
        </is>
      </c>
      <c r="B885" t="n">
        <v>2020</v>
      </c>
      <c r="C885" t="n">
        <v>12</v>
      </c>
      <c r="D885" t="n">
        <v>7368</v>
      </c>
      <c r="E885" t="n">
        <v>152</v>
      </c>
      <c r="F885" t="n">
        <v>20</v>
      </c>
      <c r="G885" t="n">
        <v>7196</v>
      </c>
      <c r="H885" t="n">
        <v>6111</v>
      </c>
      <c r="I885" t="n">
        <v>9123</v>
      </c>
      <c r="J885" t="n">
        <v>69101.89999999998</v>
      </c>
      <c r="K885" t="n">
        <v>5225</v>
      </c>
      <c r="L885" t="n">
        <v>27722</v>
      </c>
      <c r="M885" t="n">
        <v>27609</v>
      </c>
      <c r="N885" t="n">
        <v>21019</v>
      </c>
      <c r="O885" t="n">
        <v>3952</v>
      </c>
      <c r="P885" t="n">
        <v>79</v>
      </c>
    </row>
    <row r="886">
      <c r="A886" t="inlineStr">
        <is>
          <t>G4</t>
        </is>
      </c>
      <c r="B886" t="n">
        <v>2021</v>
      </c>
      <c r="C886" t="n">
        <v>1</v>
      </c>
      <c r="D886" t="n">
        <v>5827</v>
      </c>
      <c r="E886" t="n">
        <v>277</v>
      </c>
      <c r="F886" t="n">
        <v>24</v>
      </c>
      <c r="G886" t="n">
        <v>5526</v>
      </c>
      <c r="H886" t="n">
        <v>4691</v>
      </c>
      <c r="I886" t="n">
        <v>898</v>
      </c>
      <c r="J886" t="n">
        <v>69660.99999999985</v>
      </c>
      <c r="K886" t="n">
        <v>4511</v>
      </c>
      <c r="L886" t="n">
        <v>18743</v>
      </c>
      <c r="M886" t="n">
        <v>17878</v>
      </c>
      <c r="N886" t="n">
        <v>19580</v>
      </c>
      <c r="O886" t="n">
        <v>5712</v>
      </c>
      <c r="P886" t="n">
        <v>174</v>
      </c>
    </row>
    <row r="887">
      <c r="A887" t="inlineStr">
        <is>
          <t>G4</t>
        </is>
      </c>
      <c r="B887" t="n">
        <v>2021</v>
      </c>
      <c r="C887" t="n">
        <v>2</v>
      </c>
      <c r="D887" t="n">
        <v>7977</v>
      </c>
      <c r="E887" t="n">
        <v>443</v>
      </c>
      <c r="F887" t="n">
        <v>13</v>
      </c>
      <c r="G887" t="n">
        <v>7521</v>
      </c>
      <c r="H887" t="n">
        <v>6029</v>
      </c>
      <c r="I887" t="n">
        <v>37784</v>
      </c>
      <c r="J887" t="n">
        <v>81382.60000000018</v>
      </c>
      <c r="K887" t="n">
        <v>5681</v>
      </c>
      <c r="L887" t="n">
        <v>33943</v>
      </c>
      <c r="M887" t="n">
        <v>35818</v>
      </c>
      <c r="N887" t="n">
        <v>24595</v>
      </c>
      <c r="O887" t="n">
        <v>8590</v>
      </c>
      <c r="P887" t="n">
        <v>19</v>
      </c>
    </row>
    <row r="888">
      <c r="A888" t="inlineStr">
        <is>
          <t>G4</t>
        </is>
      </c>
      <c r="B888" t="n">
        <v>2021</v>
      </c>
      <c r="C888" t="n">
        <v>3</v>
      </c>
      <c r="D888" t="n">
        <v>11709</v>
      </c>
      <c r="E888" t="n">
        <v>87</v>
      </c>
      <c r="F888" t="n">
        <v>21</v>
      </c>
      <c r="G888" t="n">
        <v>11601</v>
      </c>
      <c r="H888" t="n">
        <v>9610</v>
      </c>
      <c r="I888" t="n">
        <v>67091</v>
      </c>
      <c r="J888" t="n">
        <v>103730</v>
      </c>
      <c r="K888" t="n">
        <v>8439</v>
      </c>
      <c r="L888" t="n">
        <v>65899</v>
      </c>
      <c r="M888" t="n">
        <v>67372</v>
      </c>
      <c r="N888" t="n">
        <v>20916</v>
      </c>
      <c r="O888" t="n">
        <v>3993</v>
      </c>
      <c r="P888" t="n">
        <v>296</v>
      </c>
    </row>
    <row r="889">
      <c r="A889" t="inlineStr">
        <is>
          <t>G4</t>
        </is>
      </c>
      <c r="B889" t="n">
        <v>2021</v>
      </c>
      <c r="C889" t="n">
        <v>4</v>
      </c>
      <c r="D889" t="n">
        <v>9475</v>
      </c>
      <c r="E889" t="n">
        <v>146</v>
      </c>
      <c r="F889" t="n">
        <v>11</v>
      </c>
      <c r="G889" t="n">
        <v>9318</v>
      </c>
      <c r="H889" t="n">
        <v>7524</v>
      </c>
      <c r="I889" t="n">
        <v>74981</v>
      </c>
      <c r="J889" t="n">
        <v>77289.59999999989</v>
      </c>
      <c r="K889" t="n">
        <v>6842</v>
      </c>
      <c r="L889" t="n">
        <v>46811</v>
      </c>
      <c r="M889" t="n">
        <v>48850</v>
      </c>
      <c r="N889" t="n">
        <v>26033</v>
      </c>
      <c r="O889" t="n">
        <v>11983</v>
      </c>
      <c r="P889" t="n">
        <v>335</v>
      </c>
    </row>
    <row r="890">
      <c r="A890" t="inlineStr">
        <is>
          <t>G4</t>
        </is>
      </c>
      <c r="B890" t="n">
        <v>2021</v>
      </c>
      <c r="C890" t="n">
        <v>5</v>
      </c>
      <c r="D890" t="n">
        <v>8920</v>
      </c>
      <c r="E890" t="n">
        <v>23</v>
      </c>
      <c r="F890" t="n">
        <v>9</v>
      </c>
      <c r="G890" t="n">
        <v>8888</v>
      </c>
      <c r="H890" t="n">
        <v>6991</v>
      </c>
      <c r="I890" t="n">
        <v>87345</v>
      </c>
      <c r="J890" t="n">
        <v>61786.29999999978</v>
      </c>
      <c r="K890" t="n">
        <v>6270</v>
      </c>
      <c r="L890" t="n">
        <v>56034</v>
      </c>
      <c r="M890" t="n">
        <v>53475</v>
      </c>
      <c r="N890" t="n">
        <v>15108</v>
      </c>
      <c r="O890" t="n">
        <v>3233</v>
      </c>
      <c r="P890" t="n">
        <v>382</v>
      </c>
    </row>
    <row r="891">
      <c r="A891" t="inlineStr">
        <is>
          <t>G4</t>
        </is>
      </c>
      <c r="B891" t="n">
        <v>2021</v>
      </c>
      <c r="C891" t="n">
        <v>6</v>
      </c>
      <c r="D891" t="n">
        <v>12568</v>
      </c>
      <c r="E891" t="n">
        <v>278</v>
      </c>
      <c r="F891" t="n">
        <v>33</v>
      </c>
      <c r="G891" t="n">
        <v>12257</v>
      </c>
      <c r="H891" t="n">
        <v>7109</v>
      </c>
      <c r="I891" t="n">
        <v>343803</v>
      </c>
      <c r="J891" t="n">
        <v>83019.60000000009</v>
      </c>
      <c r="K891" t="n">
        <v>9394</v>
      </c>
      <c r="L891" t="n">
        <v>175172</v>
      </c>
      <c r="M891" t="n">
        <v>101889</v>
      </c>
      <c r="N891" t="n">
        <v>59310</v>
      </c>
      <c r="O891" t="n">
        <v>22316</v>
      </c>
      <c r="P891" t="n">
        <v>6354</v>
      </c>
    </row>
    <row r="892">
      <c r="A892" t="inlineStr">
        <is>
          <t>G4</t>
        </is>
      </c>
      <c r="B892" t="n">
        <v>2021</v>
      </c>
      <c r="C892" t="n">
        <v>7</v>
      </c>
      <c r="D892" t="n">
        <v>14130</v>
      </c>
      <c r="E892" t="n">
        <v>820</v>
      </c>
      <c r="F892" t="n">
        <v>32</v>
      </c>
      <c r="G892" t="n">
        <v>13278</v>
      </c>
      <c r="H892" t="n">
        <v>7334</v>
      </c>
      <c r="I892" t="n">
        <v>402526</v>
      </c>
      <c r="J892" t="n">
        <v>86114.79999999949</v>
      </c>
      <c r="K892" t="n">
        <v>10551</v>
      </c>
      <c r="L892" t="n">
        <v>213151</v>
      </c>
      <c r="M892" t="n">
        <v>116567</v>
      </c>
      <c r="N892" t="n">
        <v>67098</v>
      </c>
      <c r="O892" t="n">
        <v>29745</v>
      </c>
      <c r="P892" t="n">
        <v>2375</v>
      </c>
    </row>
    <row r="893">
      <c r="A893" t="inlineStr">
        <is>
          <t>G4</t>
        </is>
      </c>
      <c r="B893" t="n">
        <v>2021</v>
      </c>
      <c r="C893" t="n">
        <v>8</v>
      </c>
      <c r="D893" t="n">
        <v>9920</v>
      </c>
      <c r="E893" t="n">
        <v>570</v>
      </c>
      <c r="F893" t="n">
        <v>23</v>
      </c>
      <c r="G893" t="n">
        <v>9327</v>
      </c>
      <c r="H893" t="n">
        <v>6362</v>
      </c>
      <c r="I893" t="n">
        <v>158377</v>
      </c>
      <c r="J893" t="n">
        <v>61926.59999999998</v>
      </c>
      <c r="K893" t="n">
        <v>7035</v>
      </c>
      <c r="L893" t="n">
        <v>86114</v>
      </c>
      <c r="M893" t="n">
        <v>61511</v>
      </c>
      <c r="N893" t="n">
        <v>32608</v>
      </c>
      <c r="O893" t="n">
        <v>13760</v>
      </c>
      <c r="P893" t="n">
        <v>687</v>
      </c>
    </row>
    <row r="894">
      <c r="A894" t="inlineStr">
        <is>
          <t>G4</t>
        </is>
      </c>
      <c r="B894" t="n">
        <v>2021</v>
      </c>
      <c r="C894" t="n">
        <v>9</v>
      </c>
      <c r="D894" t="n">
        <v>6704</v>
      </c>
      <c r="E894" t="n">
        <v>50</v>
      </c>
      <c r="F894" t="n">
        <v>12</v>
      </c>
      <c r="G894" t="n">
        <v>6642</v>
      </c>
      <c r="H894" t="n">
        <v>4942</v>
      </c>
      <c r="I894" t="n">
        <v>79420</v>
      </c>
      <c r="J894" t="n">
        <v>43632.90000000002</v>
      </c>
      <c r="K894" t="n">
        <v>4669</v>
      </c>
      <c r="L894" t="n">
        <v>45026</v>
      </c>
      <c r="M894" t="n">
        <v>43045</v>
      </c>
      <c r="N894" t="n">
        <v>15221</v>
      </c>
      <c r="O894" t="n">
        <v>5877</v>
      </c>
      <c r="P894" t="n">
        <v>664</v>
      </c>
    </row>
    <row r="895">
      <c r="A895" t="inlineStr">
        <is>
          <t>G4</t>
        </is>
      </c>
      <c r="B895" t="n">
        <v>2021</v>
      </c>
      <c r="C895" t="n">
        <v>10</v>
      </c>
      <c r="D895" t="n">
        <v>9313</v>
      </c>
      <c r="E895" t="n">
        <v>333</v>
      </c>
      <c r="F895" t="n">
        <v>23</v>
      </c>
      <c r="G895" t="n">
        <v>8957</v>
      </c>
      <c r="H895" t="n">
        <v>6133</v>
      </c>
      <c r="I895" t="n">
        <v>150568</v>
      </c>
      <c r="J895" t="n">
        <v>62603.60000000011</v>
      </c>
      <c r="K895" t="n">
        <v>5988</v>
      </c>
      <c r="L895" t="n">
        <v>84020</v>
      </c>
      <c r="M895" t="n">
        <v>55979</v>
      </c>
      <c r="N895" t="n">
        <v>34457</v>
      </c>
      <c r="O895" t="n">
        <v>6776</v>
      </c>
      <c r="P895" t="n">
        <v>593</v>
      </c>
    </row>
    <row r="896">
      <c r="A896" t="inlineStr">
        <is>
          <t>G4</t>
        </is>
      </c>
      <c r="B896" t="n">
        <v>2021</v>
      </c>
      <c r="C896" t="n">
        <v>11</v>
      </c>
      <c r="D896" t="n">
        <v>8999</v>
      </c>
      <c r="E896" t="n">
        <v>153</v>
      </c>
      <c r="F896" t="n">
        <v>12</v>
      </c>
      <c r="G896" t="n">
        <v>8834</v>
      </c>
      <c r="H896" t="n">
        <v>6056</v>
      </c>
      <c r="I896" t="n">
        <v>129766</v>
      </c>
      <c r="J896" t="n">
        <v>61775.59999999995</v>
      </c>
      <c r="K896" t="n">
        <v>5225</v>
      </c>
      <c r="L896" t="n">
        <v>72570</v>
      </c>
      <c r="M896" t="n">
        <v>57121</v>
      </c>
      <c r="N896" t="n">
        <v>25740</v>
      </c>
      <c r="O896" t="n">
        <v>3948</v>
      </c>
      <c r="P896" t="n">
        <v>663</v>
      </c>
    </row>
    <row r="897">
      <c r="A897" t="inlineStr">
        <is>
          <t>G4</t>
        </is>
      </c>
      <c r="B897" t="n">
        <v>2021</v>
      </c>
      <c r="C897" t="n">
        <v>12</v>
      </c>
      <c r="D897" t="n">
        <v>10339</v>
      </c>
      <c r="E897" t="n">
        <v>649</v>
      </c>
      <c r="F897" t="n">
        <v>37</v>
      </c>
      <c r="G897" t="n">
        <v>9653</v>
      </c>
      <c r="H897" t="n">
        <v>6314</v>
      </c>
      <c r="I897" t="n">
        <v>176476</v>
      </c>
      <c r="J897" t="n">
        <v>74399.10000000001</v>
      </c>
      <c r="K897" t="n">
        <v>6256</v>
      </c>
      <c r="L897" t="n">
        <v>94737</v>
      </c>
      <c r="M897" t="n">
        <v>58132</v>
      </c>
      <c r="N897" t="n">
        <v>43857</v>
      </c>
      <c r="O897" t="n">
        <v>12024</v>
      </c>
      <c r="P897" t="n">
        <v>635</v>
      </c>
    </row>
    <row r="898">
      <c r="A898" t="inlineStr">
        <is>
          <t>G4</t>
        </is>
      </c>
      <c r="B898" t="n">
        <v>2022</v>
      </c>
      <c r="C898" t="n">
        <v>1</v>
      </c>
      <c r="D898" t="n">
        <v>8714</v>
      </c>
      <c r="E898" t="n">
        <v>724</v>
      </c>
      <c r="F898" t="n">
        <v>15</v>
      </c>
      <c r="G898" t="n">
        <v>7975</v>
      </c>
      <c r="H898" t="n">
        <v>5709</v>
      </c>
      <c r="I898" t="n">
        <v>97639</v>
      </c>
      <c r="J898" t="n">
        <v>76186.40000000026</v>
      </c>
      <c r="K898" t="n">
        <v>5520</v>
      </c>
      <c r="L898" t="n">
        <v>63230</v>
      </c>
      <c r="M898" t="n">
        <v>43474</v>
      </c>
      <c r="N898" t="n">
        <v>26582</v>
      </c>
      <c r="O898" t="n">
        <v>11678</v>
      </c>
      <c r="P898" t="n">
        <v>94</v>
      </c>
    </row>
    <row r="899">
      <c r="A899" t="inlineStr">
        <is>
          <t>G4</t>
        </is>
      </c>
      <c r="B899" t="n">
        <v>2022</v>
      </c>
      <c r="C899" t="n">
        <v>2</v>
      </c>
      <c r="D899" t="n">
        <v>8672</v>
      </c>
      <c r="E899" t="n">
        <v>493</v>
      </c>
      <c r="F899" t="n">
        <v>18</v>
      </c>
      <c r="G899" t="n">
        <v>8161</v>
      </c>
      <c r="H899" t="n">
        <v>5643</v>
      </c>
      <c r="I899" t="n">
        <v>109768</v>
      </c>
      <c r="J899" t="n">
        <v>74443.60000000009</v>
      </c>
      <c r="K899" t="n">
        <v>5515</v>
      </c>
      <c r="L899" t="n">
        <v>62794</v>
      </c>
      <c r="M899" t="n">
        <v>49812</v>
      </c>
      <c r="N899" t="n">
        <v>27003</v>
      </c>
      <c r="O899" t="n">
        <v>9021</v>
      </c>
      <c r="P899" t="n">
        <v>394</v>
      </c>
    </row>
    <row r="900">
      <c r="A900" t="inlineStr">
        <is>
          <t>G4</t>
        </is>
      </c>
      <c r="B900" t="n">
        <v>2022</v>
      </c>
      <c r="C900" t="n">
        <v>3</v>
      </c>
      <c r="D900" t="n">
        <v>11766</v>
      </c>
      <c r="E900" t="n">
        <v>633</v>
      </c>
      <c r="F900" t="n">
        <v>25</v>
      </c>
      <c r="G900" t="n">
        <v>11108</v>
      </c>
      <c r="H900" t="n">
        <v>6735</v>
      </c>
      <c r="I900" t="n">
        <v>256031</v>
      </c>
      <c r="J900" t="n">
        <v>84827.09999999998</v>
      </c>
      <c r="K900" t="n">
        <v>7358</v>
      </c>
      <c r="L900" t="n">
        <v>128915</v>
      </c>
      <c r="M900" t="n">
        <v>73953</v>
      </c>
      <c r="N900" t="n">
        <v>72690</v>
      </c>
      <c r="O900" t="n">
        <v>10977</v>
      </c>
      <c r="P900" t="n">
        <v>463</v>
      </c>
    </row>
    <row r="901">
      <c r="A901" t="inlineStr">
        <is>
          <t>G4</t>
        </is>
      </c>
      <c r="B901" t="n">
        <v>2022</v>
      </c>
      <c r="C901" t="n">
        <v>4</v>
      </c>
      <c r="D901" t="n">
        <v>10542</v>
      </c>
      <c r="E901" t="n">
        <v>310</v>
      </c>
      <c r="F901" t="n">
        <v>18</v>
      </c>
      <c r="G901" t="n">
        <v>10214</v>
      </c>
      <c r="H901" t="n">
        <v>6248</v>
      </c>
      <c r="I901" t="n">
        <v>234752</v>
      </c>
      <c r="J901" t="n">
        <v>70523.39999999999</v>
      </c>
      <c r="K901" t="n">
        <v>6415</v>
      </c>
      <c r="L901" t="n">
        <v>125165</v>
      </c>
      <c r="M901" t="n">
        <v>64062</v>
      </c>
      <c r="N901" t="n">
        <v>61848</v>
      </c>
      <c r="O901" t="n">
        <v>9489</v>
      </c>
      <c r="P901" t="n">
        <v>684</v>
      </c>
    </row>
    <row r="902">
      <c r="A902" t="inlineStr">
        <is>
          <t>G4</t>
        </is>
      </c>
      <c r="B902" t="n">
        <v>2022</v>
      </c>
      <c r="C902" t="n">
        <v>5</v>
      </c>
      <c r="D902" t="n">
        <v>9867</v>
      </c>
      <c r="E902" t="n">
        <v>179</v>
      </c>
      <c r="F902" t="n">
        <v>22</v>
      </c>
      <c r="G902" t="n">
        <v>9666</v>
      </c>
      <c r="H902" t="n">
        <v>6510</v>
      </c>
      <c r="I902" t="n">
        <v>169103</v>
      </c>
      <c r="J902" t="n">
        <v>67304.09999999974</v>
      </c>
      <c r="K902" t="n">
        <v>5960</v>
      </c>
      <c r="L902" t="n">
        <v>93468</v>
      </c>
      <c r="M902" t="n">
        <v>60368</v>
      </c>
      <c r="N902" t="n">
        <v>38036</v>
      </c>
      <c r="O902" t="n">
        <v>11526</v>
      </c>
      <c r="P902" t="n">
        <v>458</v>
      </c>
    </row>
    <row r="903">
      <c r="A903" t="inlineStr">
        <is>
          <t>G4</t>
        </is>
      </c>
      <c r="B903" t="n">
        <v>2022</v>
      </c>
      <c r="C903" t="n">
        <v>6</v>
      </c>
      <c r="D903" t="n">
        <v>11510</v>
      </c>
      <c r="E903" t="n">
        <v>368</v>
      </c>
      <c r="F903" t="n">
        <v>34</v>
      </c>
      <c r="G903" t="n">
        <v>11108</v>
      </c>
      <c r="H903" t="n">
        <v>6793</v>
      </c>
      <c r="I903" t="n">
        <v>261637</v>
      </c>
      <c r="J903" t="n">
        <v>87012.90000000002</v>
      </c>
      <c r="K903" t="n">
        <v>7963</v>
      </c>
      <c r="L903" t="n">
        <v>139490</v>
      </c>
      <c r="M903" t="n">
        <v>72345</v>
      </c>
      <c r="N903" t="n">
        <v>59054</v>
      </c>
      <c r="O903" t="n">
        <v>20241</v>
      </c>
      <c r="P903" t="n">
        <v>1215</v>
      </c>
    </row>
    <row r="904">
      <c r="A904" t="inlineStr">
        <is>
          <t>G4</t>
        </is>
      </c>
      <c r="B904" t="n">
        <v>2022</v>
      </c>
      <c r="C904" t="n">
        <v>7</v>
      </c>
      <c r="D904" t="n">
        <v>12433</v>
      </c>
      <c r="E904" t="n">
        <v>184</v>
      </c>
      <c r="F904" t="n">
        <v>29</v>
      </c>
      <c r="G904" t="n">
        <v>12220</v>
      </c>
      <c r="H904" t="n">
        <v>7577</v>
      </c>
      <c r="I904" t="n">
        <v>316720</v>
      </c>
      <c r="J904" t="n">
        <v>84273.10000000012</v>
      </c>
      <c r="K904" t="n">
        <v>8612</v>
      </c>
      <c r="L904" t="n">
        <v>161458</v>
      </c>
      <c r="M904" t="n">
        <v>100797</v>
      </c>
      <c r="N904" t="n">
        <v>60374</v>
      </c>
      <c r="O904" t="n">
        <v>27489</v>
      </c>
      <c r="P904" t="n">
        <v>796</v>
      </c>
    </row>
    <row r="905">
      <c r="A905" t="inlineStr">
        <is>
          <t>G4</t>
        </is>
      </c>
      <c r="B905" t="n">
        <v>2022</v>
      </c>
      <c r="C905" t="n">
        <v>8</v>
      </c>
      <c r="D905" t="n">
        <v>9282</v>
      </c>
      <c r="E905" t="n">
        <v>103</v>
      </c>
      <c r="F905" t="n">
        <v>34</v>
      </c>
      <c r="G905" t="n">
        <v>9145</v>
      </c>
      <c r="H905" t="n">
        <v>6171</v>
      </c>
      <c r="I905" t="n">
        <v>173024</v>
      </c>
      <c r="J905" t="n">
        <v>64843.79999999968</v>
      </c>
      <c r="K905" t="n">
        <v>6137</v>
      </c>
      <c r="L905" t="n">
        <v>90971</v>
      </c>
      <c r="M905" t="n">
        <v>58881</v>
      </c>
      <c r="N905" t="n">
        <v>34591</v>
      </c>
      <c r="O905" t="n">
        <v>19118</v>
      </c>
      <c r="P905" t="n">
        <v>3483</v>
      </c>
    </row>
    <row r="906">
      <c r="A906" t="inlineStr">
        <is>
          <t>G4</t>
        </is>
      </c>
      <c r="B906" t="n">
        <v>2022</v>
      </c>
      <c r="C906" t="n">
        <v>9</v>
      </c>
      <c r="D906" t="n">
        <v>7017</v>
      </c>
      <c r="E906" t="n">
        <v>323</v>
      </c>
      <c r="F906" t="n">
        <v>19</v>
      </c>
      <c r="G906" t="n">
        <v>6675</v>
      </c>
      <c r="H906" t="n">
        <v>5050</v>
      </c>
      <c r="I906" t="n">
        <v>68305</v>
      </c>
      <c r="J906" t="n">
        <v>55954.59999999999</v>
      </c>
      <c r="K906" t="n">
        <v>4524</v>
      </c>
      <c r="L906" t="n">
        <v>38746</v>
      </c>
      <c r="M906" t="n">
        <v>36323</v>
      </c>
      <c r="N906" t="n">
        <v>18585</v>
      </c>
      <c r="O906" t="n">
        <v>9214</v>
      </c>
      <c r="P906" t="n">
        <v>162</v>
      </c>
    </row>
    <row r="907">
      <c r="A907" t="inlineStr">
        <is>
          <t>G4</t>
        </is>
      </c>
      <c r="B907" t="n">
        <v>2022</v>
      </c>
      <c r="C907" t="n">
        <v>10</v>
      </c>
      <c r="D907" t="n">
        <v>8531</v>
      </c>
      <c r="E907" t="n">
        <v>120</v>
      </c>
      <c r="F907" t="n">
        <v>13</v>
      </c>
      <c r="G907" t="n">
        <v>8398</v>
      </c>
      <c r="H907" t="n">
        <v>6215</v>
      </c>
      <c r="I907" t="n">
        <v>93454</v>
      </c>
      <c r="J907" t="n">
        <v>66293.69999999995</v>
      </c>
      <c r="K907" t="n">
        <v>5214</v>
      </c>
      <c r="L907" t="n">
        <v>55741</v>
      </c>
      <c r="M907" t="n">
        <v>48827</v>
      </c>
      <c r="N907" t="n">
        <v>25047</v>
      </c>
      <c r="O907" t="n">
        <v>4527</v>
      </c>
      <c r="P907" t="n">
        <v>235</v>
      </c>
    </row>
    <row r="908">
      <c r="A908" t="inlineStr">
        <is>
          <t>G4</t>
        </is>
      </c>
      <c r="B908" t="n">
        <v>2022</v>
      </c>
      <c r="C908" t="n">
        <v>11</v>
      </c>
      <c r="D908" t="n">
        <v>8122</v>
      </c>
      <c r="E908" t="n">
        <v>123</v>
      </c>
      <c r="F908" t="n">
        <v>24</v>
      </c>
      <c r="G908" t="n">
        <v>7975</v>
      </c>
      <c r="H908" t="n">
        <v>5479</v>
      </c>
      <c r="I908" t="n">
        <v>142759</v>
      </c>
      <c r="J908" t="n">
        <v>67772.30000000019</v>
      </c>
      <c r="K908" t="n">
        <v>4566</v>
      </c>
      <c r="L908" t="n">
        <v>77670</v>
      </c>
      <c r="M908" t="n">
        <v>61527</v>
      </c>
      <c r="N908" t="n">
        <v>31680</v>
      </c>
      <c r="O908" t="n">
        <v>9479</v>
      </c>
      <c r="P908" t="n">
        <v>547</v>
      </c>
    </row>
    <row r="909">
      <c r="A909" t="inlineStr">
        <is>
          <t>G4</t>
        </is>
      </c>
      <c r="B909" t="n">
        <v>2022</v>
      </c>
      <c r="C909" t="n">
        <v>12</v>
      </c>
      <c r="D909" t="n">
        <v>10421</v>
      </c>
      <c r="E909" t="n">
        <v>550</v>
      </c>
      <c r="F909" t="n">
        <v>50</v>
      </c>
      <c r="G909" t="n">
        <v>9821</v>
      </c>
      <c r="H909" t="n">
        <v>5963</v>
      </c>
      <c r="I909" t="n">
        <v>267980</v>
      </c>
      <c r="J909" t="n">
        <v>91079.19999999997</v>
      </c>
      <c r="K909" t="n">
        <v>6080</v>
      </c>
      <c r="L909" t="n">
        <v>125401</v>
      </c>
      <c r="M909" t="n">
        <v>85639</v>
      </c>
      <c r="N909" t="n">
        <v>60692</v>
      </c>
      <c r="O909" t="n">
        <v>32835</v>
      </c>
      <c r="P909" t="n">
        <v>623</v>
      </c>
    </row>
    <row r="910">
      <c r="A910" t="inlineStr">
        <is>
          <t>G4</t>
        </is>
      </c>
      <c r="B910" t="n">
        <v>2023</v>
      </c>
      <c r="C910" t="n">
        <v>1</v>
      </c>
      <c r="D910" t="n">
        <v>8615</v>
      </c>
      <c r="E910" t="n">
        <v>115</v>
      </c>
      <c r="F910" t="n">
        <v>22</v>
      </c>
      <c r="G910" t="n">
        <v>8478</v>
      </c>
      <c r="H910" t="n">
        <v>6066</v>
      </c>
      <c r="I910" t="n">
        <v>133974</v>
      </c>
      <c r="J910" t="n">
        <v>87768.29999999989</v>
      </c>
      <c r="K910" t="n">
        <v>4688</v>
      </c>
      <c r="L910" t="n">
        <v>65654</v>
      </c>
      <c r="M910" t="n">
        <v>55866</v>
      </c>
      <c r="N910" t="n">
        <v>46456</v>
      </c>
      <c r="O910" t="n">
        <v>27096</v>
      </c>
      <c r="P910" t="n">
        <v>211</v>
      </c>
    </row>
    <row r="911">
      <c r="A911" t="inlineStr">
        <is>
          <t>G4</t>
        </is>
      </c>
      <c r="B911" t="n">
        <v>2023</v>
      </c>
      <c r="C911" t="n">
        <v>2</v>
      </c>
      <c r="D911" t="n">
        <v>8508</v>
      </c>
      <c r="E911" t="n">
        <v>58</v>
      </c>
      <c r="F911" t="n">
        <v>22</v>
      </c>
      <c r="G911" t="n">
        <v>8428</v>
      </c>
      <c r="H911" t="n">
        <v>6485</v>
      </c>
      <c r="I911" t="n">
        <v>83970</v>
      </c>
      <c r="J911" t="n">
        <v>86949.20000000007</v>
      </c>
      <c r="K911" t="n">
        <v>4720</v>
      </c>
      <c r="L911" t="n">
        <v>50631</v>
      </c>
      <c r="M911" t="n">
        <v>46103</v>
      </c>
      <c r="N911" t="n">
        <v>27493</v>
      </c>
      <c r="O911" t="n">
        <v>26200</v>
      </c>
      <c r="P911" t="n">
        <v>2058</v>
      </c>
    </row>
    <row r="912">
      <c r="A912" t="inlineStr">
        <is>
          <t>G4</t>
        </is>
      </c>
      <c r="B912" t="n">
        <v>2023</v>
      </c>
      <c r="C912" t="n">
        <v>3</v>
      </c>
      <c r="D912" t="n">
        <v>11070</v>
      </c>
      <c r="E912" t="n">
        <v>94</v>
      </c>
      <c r="F912" t="n">
        <v>31</v>
      </c>
      <c r="G912" t="n">
        <v>10945</v>
      </c>
      <c r="H912" t="n">
        <v>7105</v>
      </c>
      <c r="I912" t="n">
        <v>248676</v>
      </c>
      <c r="J912" t="n">
        <v>100824.7000000003</v>
      </c>
      <c r="K912" t="n">
        <v>6327</v>
      </c>
      <c r="L912" t="n">
        <v>125131</v>
      </c>
      <c r="M912" t="n">
        <v>72263</v>
      </c>
      <c r="N912" t="n">
        <v>78678</v>
      </c>
      <c r="O912" t="n">
        <v>22296</v>
      </c>
      <c r="P912" t="n">
        <v>437</v>
      </c>
    </row>
    <row r="913">
      <c r="A913" t="inlineStr">
        <is>
          <t>G4</t>
        </is>
      </c>
      <c r="B913" t="n">
        <v>2023</v>
      </c>
      <c r="C913" t="n">
        <v>4</v>
      </c>
      <c r="D913" t="n">
        <v>10492</v>
      </c>
      <c r="E913" t="n">
        <v>139</v>
      </c>
      <c r="F913" t="n">
        <v>39</v>
      </c>
      <c r="G913" t="n">
        <v>10314</v>
      </c>
      <c r="H913" t="n">
        <v>7560</v>
      </c>
      <c r="I913" t="n">
        <v>184344</v>
      </c>
      <c r="J913" t="n">
        <v>97195.30000000008</v>
      </c>
      <c r="K913" t="n">
        <v>5924</v>
      </c>
      <c r="L913" t="n">
        <v>86866</v>
      </c>
      <c r="M913" t="n">
        <v>81340</v>
      </c>
      <c r="N913" t="n">
        <v>65210</v>
      </c>
      <c r="O913" t="n">
        <v>20873</v>
      </c>
      <c r="P913" t="n">
        <v>623</v>
      </c>
    </row>
    <row r="914">
      <c r="A914" t="inlineStr">
        <is>
          <t>G4</t>
        </is>
      </c>
      <c r="B914" t="n">
        <v>2023</v>
      </c>
      <c r="C914" t="n">
        <v>5</v>
      </c>
      <c r="D914" t="n">
        <v>9422</v>
      </c>
      <c r="E914" t="n">
        <v>15</v>
      </c>
      <c r="F914" t="n">
        <v>25</v>
      </c>
      <c r="G914" t="n">
        <v>9382</v>
      </c>
      <c r="H914" t="n">
        <v>7391</v>
      </c>
      <c r="I914" t="n">
        <v>78375</v>
      </c>
      <c r="J914" t="n">
        <v>73991.19999999978</v>
      </c>
      <c r="K914" t="n">
        <v>5247</v>
      </c>
      <c r="L914" t="n">
        <v>52906</v>
      </c>
      <c r="M914" t="n">
        <v>52018</v>
      </c>
      <c r="N914" t="n">
        <v>29945</v>
      </c>
      <c r="O914" t="n">
        <v>11837</v>
      </c>
      <c r="P914" t="n">
        <v>1616</v>
      </c>
    </row>
    <row r="915">
      <c r="A915" t="inlineStr">
        <is>
          <t>G4</t>
        </is>
      </c>
      <c r="B915" t="n">
        <v>2023</v>
      </c>
      <c r="C915" t="n">
        <v>6</v>
      </c>
      <c r="D915" t="n">
        <v>11483</v>
      </c>
      <c r="E915" t="n">
        <v>64</v>
      </c>
      <c r="F915" t="n">
        <v>36</v>
      </c>
      <c r="G915" t="n">
        <v>11383</v>
      </c>
      <c r="H915" t="n">
        <v>8111</v>
      </c>
      <c r="I915" t="n">
        <v>216132</v>
      </c>
      <c r="J915" t="n">
        <v>87881.39999999992</v>
      </c>
      <c r="K915" t="n">
        <v>7058</v>
      </c>
      <c r="L915" t="n">
        <v>102486</v>
      </c>
      <c r="M915" t="n">
        <v>74689</v>
      </c>
      <c r="N915" t="n">
        <v>69620</v>
      </c>
      <c r="O915" t="n">
        <v>26865</v>
      </c>
      <c r="P915" t="n">
        <v>446</v>
      </c>
    </row>
    <row r="916">
      <c r="A916" t="inlineStr">
        <is>
          <t>G4</t>
        </is>
      </c>
      <c r="B916" t="n">
        <v>2023</v>
      </c>
      <c r="C916" t="n">
        <v>7</v>
      </c>
      <c r="D916" t="n">
        <v>12181</v>
      </c>
      <c r="E916" t="n">
        <v>105</v>
      </c>
      <c r="F916" t="n">
        <v>51</v>
      </c>
      <c r="G916" t="n">
        <v>12025</v>
      </c>
      <c r="H916" t="n">
        <v>7938</v>
      </c>
      <c r="I916" t="n">
        <v>313846</v>
      </c>
      <c r="J916" t="n">
        <v>87323.69999999987</v>
      </c>
      <c r="K916" t="n">
        <v>7632</v>
      </c>
      <c r="L916" t="n">
        <v>145994</v>
      </c>
      <c r="M916" t="n">
        <v>110925</v>
      </c>
      <c r="N916" t="n">
        <v>71152</v>
      </c>
      <c r="O916" t="n">
        <v>35605</v>
      </c>
      <c r="P916" t="n">
        <v>891</v>
      </c>
    </row>
    <row r="917">
      <c r="A917" t="inlineStr">
        <is>
          <t>G4</t>
        </is>
      </c>
      <c r="B917" t="n">
        <v>2023</v>
      </c>
      <c r="C917" t="n">
        <v>8</v>
      </c>
      <c r="D917" t="n">
        <v>8813</v>
      </c>
      <c r="E917" t="n">
        <v>85</v>
      </c>
      <c r="F917" t="n">
        <v>22</v>
      </c>
      <c r="G917" t="n">
        <v>8706</v>
      </c>
      <c r="H917" t="n">
        <v>6351</v>
      </c>
      <c r="I917" t="n">
        <v>132828</v>
      </c>
      <c r="J917" t="n">
        <v>66553.0999999999</v>
      </c>
      <c r="K917" t="n">
        <v>5379</v>
      </c>
      <c r="L917" t="n">
        <v>64914</v>
      </c>
      <c r="M917" t="n">
        <v>58047</v>
      </c>
      <c r="N917" t="n">
        <v>33910</v>
      </c>
      <c r="O917" t="n">
        <v>22716</v>
      </c>
      <c r="P917" t="n">
        <v>226</v>
      </c>
    </row>
    <row r="918">
      <c r="A918" t="inlineStr">
        <is>
          <t>G4</t>
        </is>
      </c>
      <c r="B918" t="n">
        <v>2023</v>
      </c>
      <c r="C918" t="n">
        <v>9</v>
      </c>
      <c r="D918" t="n">
        <v>6892</v>
      </c>
      <c r="E918" t="n">
        <v>22</v>
      </c>
      <c r="F918" t="n">
        <v>15</v>
      </c>
      <c r="G918" t="n">
        <v>6855</v>
      </c>
      <c r="H918" t="n">
        <v>5348</v>
      </c>
      <c r="I918" t="n">
        <v>63794</v>
      </c>
      <c r="J918" t="n">
        <v>52413.30000000003</v>
      </c>
      <c r="K918" t="n">
        <v>3735</v>
      </c>
      <c r="L918" t="n">
        <v>39677</v>
      </c>
      <c r="M918" t="n">
        <v>41500</v>
      </c>
      <c r="N918" t="n">
        <v>18548</v>
      </c>
      <c r="O918" t="n">
        <v>9048</v>
      </c>
      <c r="P918" t="n">
        <v>198</v>
      </c>
    </row>
    <row r="919">
      <c r="A919" t="inlineStr">
        <is>
          <t>G4</t>
        </is>
      </c>
      <c r="B919" t="n">
        <v>2023</v>
      </c>
      <c r="C919" t="n">
        <v>10</v>
      </c>
      <c r="D919" t="n">
        <v>9643</v>
      </c>
      <c r="E919" t="n">
        <v>16</v>
      </c>
      <c r="F919" t="n">
        <v>27</v>
      </c>
      <c r="G919" t="n">
        <v>9600</v>
      </c>
      <c r="H919" t="n">
        <v>7627</v>
      </c>
      <c r="I919" t="n">
        <v>76243</v>
      </c>
      <c r="J919" t="n">
        <v>75953.00000000016</v>
      </c>
      <c r="K919" t="n">
        <v>5346</v>
      </c>
      <c r="L919" t="n">
        <v>53929</v>
      </c>
      <c r="M919" t="n">
        <v>55686</v>
      </c>
      <c r="N919" t="n">
        <v>22367</v>
      </c>
      <c r="O919" t="n">
        <v>7073</v>
      </c>
      <c r="P919" t="n">
        <v>613</v>
      </c>
    </row>
    <row r="920">
      <c r="A920" t="inlineStr">
        <is>
          <t>G4</t>
        </is>
      </c>
      <c r="B920" t="n">
        <v>2023</v>
      </c>
      <c r="C920" t="n">
        <v>11</v>
      </c>
      <c r="D920" t="n">
        <v>8940</v>
      </c>
      <c r="E920" t="n">
        <v>7</v>
      </c>
      <c r="F920" t="n">
        <v>7</v>
      </c>
      <c r="G920" t="n">
        <v>8926</v>
      </c>
      <c r="H920" t="n">
        <v>7225</v>
      </c>
      <c r="I920" t="n">
        <v>36998</v>
      </c>
      <c r="J920" t="n">
        <v>85761.8000000004</v>
      </c>
      <c r="K920" t="n">
        <v>4855</v>
      </c>
      <c r="L920" t="n">
        <v>43580</v>
      </c>
      <c r="M920" t="n">
        <v>42727</v>
      </c>
      <c r="N920" t="n">
        <v>20379</v>
      </c>
      <c r="O920" t="n">
        <v>7710</v>
      </c>
      <c r="P920" t="n">
        <v>273</v>
      </c>
    </row>
    <row r="921">
      <c r="A921" t="inlineStr">
        <is>
          <t>G4</t>
        </is>
      </c>
      <c r="B921" t="n">
        <v>2023</v>
      </c>
      <c r="C921" t="n">
        <v>12</v>
      </c>
      <c r="D921" t="n">
        <v>9480</v>
      </c>
      <c r="E921" t="n">
        <v>62</v>
      </c>
      <c r="F921" t="n">
        <v>35</v>
      </c>
      <c r="G921" t="n">
        <v>9383</v>
      </c>
      <c r="H921" t="n">
        <v>7565</v>
      </c>
      <c r="I921" t="n">
        <v>48725</v>
      </c>
      <c r="J921" t="n">
        <v>110374.7999999998</v>
      </c>
      <c r="K921" t="n">
        <v>5361</v>
      </c>
      <c r="L921" t="n">
        <v>57516</v>
      </c>
      <c r="M921" t="n">
        <v>44178</v>
      </c>
      <c r="N921" t="n">
        <v>29502</v>
      </c>
      <c r="O921" t="n">
        <v>19260</v>
      </c>
      <c r="P921" t="n">
        <v>383</v>
      </c>
    </row>
    <row r="922">
      <c r="A922" t="inlineStr">
        <is>
          <t>G4</t>
        </is>
      </c>
      <c r="B922" t="n">
        <v>2024</v>
      </c>
      <c r="C922" t="n">
        <v>1</v>
      </c>
      <c r="D922" t="n">
        <v>8596</v>
      </c>
      <c r="E922" t="n">
        <v>193</v>
      </c>
      <c r="F922" t="n">
        <v>37</v>
      </c>
      <c r="G922" t="n">
        <v>8366</v>
      </c>
      <c r="H922" t="n">
        <v>6497</v>
      </c>
      <c r="I922" t="n">
        <v>88079</v>
      </c>
      <c r="J922" t="n">
        <v>109309.4</v>
      </c>
      <c r="K922" t="n">
        <v>4915</v>
      </c>
      <c r="L922" t="n">
        <v>59483</v>
      </c>
      <c r="M922" t="n">
        <v>52020</v>
      </c>
      <c r="N922" t="n">
        <v>34382</v>
      </c>
      <c r="O922" t="n">
        <v>35355</v>
      </c>
      <c r="P922" t="n">
        <v>527</v>
      </c>
    </row>
    <row r="923">
      <c r="A923" t="inlineStr">
        <is>
          <t>G4</t>
        </is>
      </c>
      <c r="B923" t="n">
        <v>2024</v>
      </c>
      <c r="C923" t="n">
        <v>2</v>
      </c>
      <c r="D923" t="n">
        <v>8486</v>
      </c>
      <c r="E923" t="n">
        <v>12</v>
      </c>
      <c r="F923" t="n">
        <v>14</v>
      </c>
      <c r="G923" t="n">
        <v>8460</v>
      </c>
      <c r="H923" t="n">
        <v>6962</v>
      </c>
      <c r="I923" t="n">
        <v>40952</v>
      </c>
      <c r="J923" t="n">
        <v>98387.90000000027</v>
      </c>
      <c r="K923" t="n">
        <v>4769</v>
      </c>
      <c r="L923" t="n">
        <v>41494</v>
      </c>
      <c r="M923" t="n">
        <v>51442</v>
      </c>
      <c r="N923" t="n">
        <v>28573</v>
      </c>
      <c r="O923" t="n">
        <v>13243</v>
      </c>
      <c r="P923" t="n">
        <v>258</v>
      </c>
    </row>
    <row r="924">
      <c r="A924" t="inlineStr">
        <is>
          <t>G4</t>
        </is>
      </c>
      <c r="B924" t="n">
        <v>2024</v>
      </c>
      <c r="C924" t="n">
        <v>3</v>
      </c>
      <c r="D924" t="n">
        <v>11031</v>
      </c>
      <c r="E924" t="n">
        <v>71</v>
      </c>
      <c r="F924" t="n">
        <v>19</v>
      </c>
      <c r="G924" t="n">
        <v>10941</v>
      </c>
      <c r="H924" t="n">
        <v>8367</v>
      </c>
      <c r="I924" t="n">
        <v>119412</v>
      </c>
      <c r="J924" t="n">
        <v>129273.6999999999</v>
      </c>
      <c r="K924" t="n">
        <v>6332</v>
      </c>
      <c r="L924" t="n">
        <v>77973</v>
      </c>
      <c r="M924" t="n">
        <v>75340</v>
      </c>
      <c r="N924" t="n">
        <v>63212</v>
      </c>
      <c r="O924" t="n">
        <v>9743</v>
      </c>
      <c r="P924" t="n">
        <v>411</v>
      </c>
    </row>
    <row r="925">
      <c r="A925" t="inlineStr">
        <is>
          <t>G4</t>
        </is>
      </c>
      <c r="B925" t="n">
        <v>2024</v>
      </c>
      <c r="C925" t="n">
        <v>4</v>
      </c>
      <c r="D925" t="n">
        <v>9271</v>
      </c>
      <c r="E925" t="n">
        <v>43</v>
      </c>
      <c r="F925" t="n">
        <v>13</v>
      </c>
      <c r="G925" t="n">
        <v>9215</v>
      </c>
      <c r="H925" t="n">
        <v>7957</v>
      </c>
      <c r="I925" t="n">
        <v>3962</v>
      </c>
      <c r="J925" t="n">
        <v>105734.6999999998</v>
      </c>
      <c r="K925" t="n">
        <v>5116</v>
      </c>
      <c r="L925" t="n">
        <v>39483</v>
      </c>
      <c r="M925" t="n">
        <v>42275</v>
      </c>
      <c r="N925" t="n">
        <v>37098</v>
      </c>
      <c r="O925" t="n">
        <v>7780</v>
      </c>
      <c r="P925" t="n">
        <v>318</v>
      </c>
    </row>
    <row r="926">
      <c r="A926" t="inlineStr">
        <is>
          <t>G4</t>
        </is>
      </c>
      <c r="B926" t="n">
        <v>2024</v>
      </c>
      <c r="C926" t="n">
        <v>5</v>
      </c>
      <c r="D926" t="n">
        <v>9567</v>
      </c>
      <c r="E926" t="n">
        <v>35</v>
      </c>
      <c r="F926" t="n">
        <v>19</v>
      </c>
      <c r="G926" t="n">
        <v>9513</v>
      </c>
      <c r="H926" t="n">
        <v>7536</v>
      </c>
      <c r="I926" t="n">
        <v>72747</v>
      </c>
      <c r="J926" t="n">
        <v>89839.89999999959</v>
      </c>
      <c r="K926" t="n">
        <v>5145</v>
      </c>
      <c r="L926" t="n">
        <v>60580</v>
      </c>
      <c r="M926" t="n">
        <v>50522</v>
      </c>
      <c r="N926" t="n">
        <v>38475</v>
      </c>
      <c r="O926" t="n">
        <v>11562</v>
      </c>
      <c r="P926" t="n">
        <v>136</v>
      </c>
    </row>
    <row r="927">
      <c r="A927" t="inlineStr">
        <is>
          <t>G4</t>
        </is>
      </c>
      <c r="B927" t="n">
        <v>2024</v>
      </c>
      <c r="C927" t="n">
        <v>6</v>
      </c>
      <c r="D927" t="n">
        <v>12229</v>
      </c>
      <c r="E927" t="n">
        <v>146</v>
      </c>
      <c r="F927" t="n">
        <v>40</v>
      </c>
      <c r="G927" t="n">
        <v>12043</v>
      </c>
      <c r="H927" t="n">
        <v>8976</v>
      </c>
      <c r="I927" t="n">
        <v>170578</v>
      </c>
      <c r="J927" t="n">
        <v>108471.4999999998</v>
      </c>
      <c r="K927" t="n">
        <v>7238</v>
      </c>
      <c r="L927" t="n">
        <v>106604</v>
      </c>
      <c r="M927" t="n">
        <v>92943</v>
      </c>
      <c r="N927" t="n">
        <v>32630</v>
      </c>
      <c r="O927" t="n">
        <v>21682</v>
      </c>
      <c r="P927" t="n">
        <v>1013</v>
      </c>
    </row>
    <row r="928">
      <c r="A928" t="inlineStr">
        <is>
          <t>G4</t>
        </is>
      </c>
      <c r="B928" t="n">
        <v>2024</v>
      </c>
      <c r="C928" t="n">
        <v>7</v>
      </c>
      <c r="D928" t="n">
        <v>12861</v>
      </c>
      <c r="E928" t="n">
        <v>415</v>
      </c>
      <c r="F928" t="n">
        <v>27</v>
      </c>
      <c r="G928" t="n">
        <v>12419</v>
      </c>
      <c r="H928" t="n">
        <v>8741</v>
      </c>
      <c r="I928" t="n">
        <v>250398</v>
      </c>
      <c r="J928" t="n">
        <v>107538.7999999999</v>
      </c>
      <c r="K928" t="n">
        <v>7621</v>
      </c>
      <c r="L928" t="n">
        <v>122411</v>
      </c>
      <c r="M928" t="n">
        <v>119088</v>
      </c>
      <c r="N928" t="n">
        <v>42392</v>
      </c>
      <c r="O928" t="n">
        <v>39972</v>
      </c>
      <c r="P928" t="n">
        <v>1125</v>
      </c>
    </row>
    <row r="929">
      <c r="A929" t="inlineStr">
        <is>
          <t>G4</t>
        </is>
      </c>
      <c r="B929" t="n">
        <v>2024</v>
      </c>
      <c r="C929" t="n">
        <v>8</v>
      </c>
      <c r="D929" t="n">
        <v>9244</v>
      </c>
      <c r="E929" t="n">
        <v>199</v>
      </c>
      <c r="F929" t="n">
        <v>29</v>
      </c>
      <c r="G929" t="n">
        <v>9016</v>
      </c>
      <c r="H929" t="n">
        <v>6770</v>
      </c>
      <c r="I929" t="n">
        <v>124102</v>
      </c>
      <c r="J929" t="n">
        <v>81936.30000000003</v>
      </c>
      <c r="K929" t="n">
        <v>5476</v>
      </c>
      <c r="L929" t="n">
        <v>77076</v>
      </c>
      <c r="M929" t="n">
        <v>67865</v>
      </c>
      <c r="N929" t="n">
        <v>30399</v>
      </c>
      <c r="O929" t="n">
        <v>23940</v>
      </c>
      <c r="P929" t="n">
        <v>471</v>
      </c>
    </row>
    <row r="930">
      <c r="A930" t="inlineStr">
        <is>
          <t>G4</t>
        </is>
      </c>
      <c r="B930" t="n">
        <v>2024</v>
      </c>
      <c r="C930" t="n">
        <v>9</v>
      </c>
      <c r="D930" t="n">
        <v>6889</v>
      </c>
      <c r="E930" t="n">
        <v>157</v>
      </c>
      <c r="F930" t="n">
        <v>11</v>
      </c>
      <c r="G930" t="n">
        <v>6721</v>
      </c>
      <c r="H930" t="n">
        <v>5577</v>
      </c>
      <c r="I930" t="n">
        <v>18347</v>
      </c>
      <c r="J930" t="n">
        <v>60114.69999999999</v>
      </c>
      <c r="K930" t="n">
        <v>3680</v>
      </c>
      <c r="L930" t="n">
        <v>31285</v>
      </c>
      <c r="M930" t="n">
        <v>38805</v>
      </c>
      <c r="N930" t="n">
        <v>10217</v>
      </c>
      <c r="O930" t="n">
        <v>8915</v>
      </c>
      <c r="P930" t="n">
        <v>80</v>
      </c>
    </row>
    <row r="931">
      <c r="A931" t="inlineStr">
        <is>
          <t>G4</t>
        </is>
      </c>
      <c r="B931" t="n">
        <v>2024</v>
      </c>
      <c r="C931" t="n">
        <v>10</v>
      </c>
      <c r="D931" t="n">
        <v>9195</v>
      </c>
      <c r="E931" t="n">
        <v>588</v>
      </c>
      <c r="F931" t="n">
        <v>19</v>
      </c>
      <c r="G931" t="n">
        <v>8588</v>
      </c>
      <c r="H931" t="n">
        <v>7284</v>
      </c>
      <c r="I931" t="n">
        <v>24771</v>
      </c>
      <c r="J931" t="n">
        <v>79171.50000000031</v>
      </c>
      <c r="K931" t="n">
        <v>4916</v>
      </c>
      <c r="L931" t="n">
        <v>40187</v>
      </c>
      <c r="M931" t="n">
        <v>47807</v>
      </c>
      <c r="N931" t="n">
        <v>14977</v>
      </c>
      <c r="O931" t="n">
        <v>9601</v>
      </c>
      <c r="P931" t="n">
        <v>117</v>
      </c>
    </row>
    <row r="932">
      <c r="A932" t="inlineStr">
        <is>
          <t>G4</t>
        </is>
      </c>
      <c r="B932" t="n">
        <v>2024</v>
      </c>
      <c r="C932" t="n">
        <v>11</v>
      </c>
      <c r="D932" t="n">
        <v>8757</v>
      </c>
      <c r="E932" t="n">
        <v>5</v>
      </c>
      <c r="F932" t="n">
        <v>10</v>
      </c>
      <c r="G932" t="n">
        <v>8742</v>
      </c>
      <c r="H932" t="n">
        <v>7363</v>
      </c>
      <c r="I932" t="n">
        <v>6455</v>
      </c>
      <c r="J932" t="n">
        <v>78765.3000000004</v>
      </c>
      <c r="K932" t="n">
        <v>4514</v>
      </c>
      <c r="L932" t="n">
        <v>38257</v>
      </c>
      <c r="M932" t="n">
        <v>38169</v>
      </c>
      <c r="N932" t="n">
        <v>16138</v>
      </c>
      <c r="O932" t="n">
        <v>9077</v>
      </c>
      <c r="P932" t="n">
        <v>201</v>
      </c>
    </row>
    <row r="933">
      <c r="A933" t="inlineStr">
        <is>
          <t>G4</t>
        </is>
      </c>
      <c r="B933" t="n">
        <v>2024</v>
      </c>
      <c r="C933" t="n">
        <v>12</v>
      </c>
      <c r="D933" t="n">
        <v>11084</v>
      </c>
      <c r="E933" t="n">
        <v>154</v>
      </c>
      <c r="F933" t="n">
        <v>72</v>
      </c>
      <c r="G933" t="n">
        <v>10858</v>
      </c>
      <c r="H933" t="n">
        <v>7955</v>
      </c>
      <c r="I933" t="n">
        <v>195745</v>
      </c>
      <c r="J933" t="n">
        <v>122328.1999999999</v>
      </c>
      <c r="K933" t="n">
        <v>6096</v>
      </c>
      <c r="L933" t="n">
        <v>108961</v>
      </c>
      <c r="M933" t="n">
        <v>95254</v>
      </c>
      <c r="N933" t="n">
        <v>48701</v>
      </c>
      <c r="O933" t="n">
        <v>40771</v>
      </c>
      <c r="P933" t="n">
        <v>335</v>
      </c>
    </row>
    <row r="934">
      <c r="A934" t="inlineStr">
        <is>
          <t>G4</t>
        </is>
      </c>
      <c r="B934" t="n">
        <v>2025</v>
      </c>
      <c r="C934" t="n">
        <v>1</v>
      </c>
      <c r="D934" t="n">
        <v>9345</v>
      </c>
      <c r="E934" t="n">
        <v>119</v>
      </c>
      <c r="F934" t="n">
        <v>20</v>
      </c>
      <c r="G934" t="n">
        <v>9206</v>
      </c>
      <c r="H934" t="n">
        <v>7023</v>
      </c>
      <c r="I934" t="n">
        <v>87847</v>
      </c>
      <c r="J934" t="n">
        <v>124594.0000000001</v>
      </c>
      <c r="K934" t="n">
        <v>5249</v>
      </c>
      <c r="L934" t="n">
        <v>70966</v>
      </c>
      <c r="M934" t="n">
        <v>55149</v>
      </c>
      <c r="N934" t="n">
        <v>32543</v>
      </c>
      <c r="O934" t="n">
        <v>34625</v>
      </c>
      <c r="P934" t="n">
        <v>486</v>
      </c>
    </row>
    <row r="935">
      <c r="A935" t="inlineStr">
        <is>
          <t>G4</t>
        </is>
      </c>
      <c r="B935" t="n">
        <v>2025</v>
      </c>
      <c r="C935" t="n">
        <v>2</v>
      </c>
      <c r="D935" t="n">
        <v>9371</v>
      </c>
      <c r="E935" t="n">
        <v>88</v>
      </c>
      <c r="F935" t="n">
        <v>34</v>
      </c>
      <c r="G935" t="n">
        <v>9249</v>
      </c>
      <c r="H935" t="n">
        <v>6933</v>
      </c>
      <c r="I935" t="n">
        <v>122396</v>
      </c>
      <c r="J935" t="n">
        <v>115152.6000000002</v>
      </c>
      <c r="K935" t="n">
        <v>5219</v>
      </c>
      <c r="L935" t="n">
        <v>80367</v>
      </c>
      <c r="M935" t="n">
        <v>57126</v>
      </c>
      <c r="N935" t="n">
        <v>55203</v>
      </c>
      <c r="O935" t="n">
        <v>24856</v>
      </c>
      <c r="P935" t="n">
        <v>693</v>
      </c>
    </row>
    <row r="936">
      <c r="A936" t="inlineStr">
        <is>
          <t>G4</t>
        </is>
      </c>
      <c r="B936" t="n">
        <v>2025</v>
      </c>
      <c r="C936" t="n">
        <v>3</v>
      </c>
      <c r="D936" t="n">
        <v>13355</v>
      </c>
      <c r="E936" t="n">
        <v>79</v>
      </c>
      <c r="F936" t="n">
        <v>29</v>
      </c>
      <c r="G936" t="n">
        <v>13247</v>
      </c>
      <c r="H936" t="n">
        <v>10293</v>
      </c>
      <c r="I936" t="n">
        <v>124537</v>
      </c>
      <c r="J936" t="n">
        <v>146361.9999999999</v>
      </c>
      <c r="K936" t="n">
        <v>7457</v>
      </c>
      <c r="L936" t="n">
        <v>98912</v>
      </c>
      <c r="M936" t="n">
        <v>71862</v>
      </c>
      <c r="N936" t="n">
        <v>66804</v>
      </c>
      <c r="O936" t="n">
        <v>15985</v>
      </c>
      <c r="P936" t="n">
        <v>1315</v>
      </c>
    </row>
    <row r="937">
      <c r="A937" t="inlineStr">
        <is>
          <t>G4</t>
        </is>
      </c>
      <c r="B937" t="n">
        <v>2025</v>
      </c>
      <c r="C937" t="n">
        <v>4</v>
      </c>
      <c r="D937" t="n">
        <v>10926</v>
      </c>
      <c r="E937" t="n">
        <v>10</v>
      </c>
      <c r="F937" t="n">
        <v>22</v>
      </c>
      <c r="G937" t="n">
        <v>10894</v>
      </c>
      <c r="H937" t="n">
        <v>8623</v>
      </c>
      <c r="I937" t="n">
        <v>71464</v>
      </c>
      <c r="J937" t="n">
        <v>105438.7</v>
      </c>
      <c r="K937" t="n">
        <v>6067</v>
      </c>
      <c r="L937" t="n">
        <v>70851</v>
      </c>
      <c r="M937" t="n">
        <v>57905</v>
      </c>
      <c r="N937" t="n">
        <v>27288</v>
      </c>
      <c r="O937" t="n">
        <v>11355</v>
      </c>
      <c r="P937" t="n">
        <v>4134</v>
      </c>
    </row>
    <row r="938">
      <c r="A938" t="inlineStr">
        <is>
          <t>G4</t>
        </is>
      </c>
      <c r="B938" t="n">
        <v>2025</v>
      </c>
      <c r="C938" t="n">
        <v>5</v>
      </c>
      <c r="D938" t="n">
        <v>11079</v>
      </c>
      <c r="E938" t="n">
        <v>17</v>
      </c>
      <c r="F938" t="n">
        <v>22</v>
      </c>
      <c r="G938" t="n">
        <v>11040</v>
      </c>
      <c r="H938" t="n">
        <v>8407</v>
      </c>
      <c r="I938" t="n">
        <v>134526</v>
      </c>
      <c r="J938" t="n">
        <v>95099.49999999974</v>
      </c>
      <c r="K938" t="n">
        <v>5873</v>
      </c>
      <c r="L938" t="n">
        <v>88356</v>
      </c>
      <c r="M938" t="n">
        <v>70033</v>
      </c>
      <c r="N938" t="n">
        <v>33867</v>
      </c>
      <c r="O938" t="n">
        <v>31660</v>
      </c>
      <c r="P938" t="n">
        <v>83</v>
      </c>
    </row>
    <row r="939">
      <c r="A939" t="inlineStr">
        <is>
          <t>G4</t>
        </is>
      </c>
      <c r="B939" t="n">
        <v>2025</v>
      </c>
      <c r="C939" t="n">
        <v>6</v>
      </c>
      <c r="D939" t="n">
        <v>13783</v>
      </c>
      <c r="E939" t="n">
        <v>57</v>
      </c>
      <c r="F939" t="n">
        <v>50</v>
      </c>
      <c r="G939" t="n">
        <v>13676</v>
      </c>
      <c r="H939" t="n">
        <v>9493</v>
      </c>
      <c r="I939" t="n">
        <v>267918</v>
      </c>
      <c r="J939" t="n">
        <v>113982.6999999996</v>
      </c>
      <c r="K939" t="n">
        <v>8026</v>
      </c>
      <c r="L939" t="n">
        <v>156115</v>
      </c>
      <c r="M939" t="n">
        <v>91628</v>
      </c>
      <c r="N939" t="n">
        <v>54066</v>
      </c>
      <c r="O939" t="n">
        <v>44180</v>
      </c>
      <c r="P939" t="n">
        <v>1428</v>
      </c>
    </row>
    <row r="940">
      <c r="A940" t="inlineStr">
        <is>
          <t>G4</t>
        </is>
      </c>
      <c r="B940" t="n">
        <v>2025</v>
      </c>
      <c r="C940" t="n">
        <v>7</v>
      </c>
      <c r="D940" t="n">
        <v>13978</v>
      </c>
      <c r="E940" t="n">
        <v>62</v>
      </c>
      <c r="F940" t="n">
        <v>61</v>
      </c>
      <c r="G940" t="n">
        <v>13855</v>
      </c>
      <c r="H940" t="n">
        <v>9684</v>
      </c>
      <c r="I940" t="n">
        <v>296046</v>
      </c>
      <c r="J940" t="n">
        <v>116795.2</v>
      </c>
      <c r="K940" t="n">
        <v>8313</v>
      </c>
      <c r="L940" t="n">
        <v>155504</v>
      </c>
      <c r="M940" t="n">
        <v>116832</v>
      </c>
      <c r="N940" t="n">
        <v>63192</v>
      </c>
      <c r="O940" t="n">
        <v>45446</v>
      </c>
      <c r="P940" t="n">
        <v>519</v>
      </c>
    </row>
    <row r="941">
      <c r="A941" t="inlineStr">
        <is>
          <t>G4</t>
        </is>
      </c>
      <c r="B941" t="n">
        <v>2025</v>
      </c>
      <c r="C941" t="n">
        <v>8</v>
      </c>
      <c r="D941" t="n">
        <v>10499</v>
      </c>
      <c r="E941" t="n">
        <v>7</v>
      </c>
      <c r="F941" t="n">
        <v>31</v>
      </c>
      <c r="G941" t="n">
        <v>10461</v>
      </c>
      <c r="H941" t="n">
        <v>7948</v>
      </c>
      <c r="I941" t="n">
        <v>165154</v>
      </c>
      <c r="J941" t="n">
        <v>93489.39999999981</v>
      </c>
      <c r="K941" t="n">
        <v>6218</v>
      </c>
      <c r="L941" t="n">
        <v>90932</v>
      </c>
      <c r="M941" t="n">
        <v>92914</v>
      </c>
      <c r="N941" t="n">
        <v>31047</v>
      </c>
      <c r="O941" t="n">
        <v>35863</v>
      </c>
      <c r="P941" t="n">
        <v>668</v>
      </c>
    </row>
    <row r="942">
      <c r="A942" t="inlineStr">
        <is>
          <t>G4</t>
        </is>
      </c>
      <c r="B942" t="n">
        <v>2025</v>
      </c>
      <c r="C942" t="n">
        <v>9</v>
      </c>
      <c r="D942" t="n">
        <v>6925</v>
      </c>
      <c r="E942" t="n">
        <v>1</v>
      </c>
      <c r="F942" t="n">
        <v>10</v>
      </c>
      <c r="G942" t="n">
        <v>6914</v>
      </c>
      <c r="H942" t="n">
        <v>5737</v>
      </c>
      <c r="I942" t="n">
        <v>24330</v>
      </c>
      <c r="J942" t="n">
        <v>53777.70000000011</v>
      </c>
      <c r="K942" t="n">
        <v>3579</v>
      </c>
      <c r="L942" t="n">
        <v>33872</v>
      </c>
      <c r="M942" t="n">
        <v>30961</v>
      </c>
      <c r="N942" t="n">
        <v>14404</v>
      </c>
      <c r="O942" t="n">
        <v>11838</v>
      </c>
      <c r="P942" t="n">
        <v>275</v>
      </c>
    </row>
    <row r="943">
      <c r="A943" t="inlineStr">
        <is>
          <t>G4</t>
        </is>
      </c>
      <c r="B943" t="n">
        <v>2025</v>
      </c>
      <c r="C943" t="n">
        <v>10</v>
      </c>
      <c r="D943" t="n">
        <v>10470</v>
      </c>
      <c r="E943" t="n">
        <v>5</v>
      </c>
      <c r="F943" t="n">
        <v>27</v>
      </c>
      <c r="G943" t="n">
        <v>10438</v>
      </c>
      <c r="H943" t="n">
        <v>8130</v>
      </c>
      <c r="I943" t="n">
        <v>93870</v>
      </c>
      <c r="J943" t="n">
        <v>75636.60000000044</v>
      </c>
      <c r="K943" t="n">
        <v>5227</v>
      </c>
      <c r="L943" t="n">
        <v>75823</v>
      </c>
      <c r="M943" t="n">
        <v>57875</v>
      </c>
      <c r="N943" t="n">
        <v>28522</v>
      </c>
      <c r="O943" t="n">
        <v>13155</v>
      </c>
      <c r="P943" t="n">
        <v>207</v>
      </c>
    </row>
    <row r="944">
      <c r="A944" t="inlineStr">
        <is>
          <t>G4</t>
        </is>
      </c>
      <c r="B944" t="n">
        <v>2025</v>
      </c>
      <c r="C944" t="n">
        <v>11</v>
      </c>
      <c r="D944" t="n">
        <v>9652</v>
      </c>
      <c r="E944" t="n">
        <v>78</v>
      </c>
      <c r="F944" t="n">
        <v>34</v>
      </c>
      <c r="G944" t="n">
        <v>9540</v>
      </c>
      <c r="H944" t="n">
        <v>7344</v>
      </c>
      <c r="I944" t="n">
        <v>94769</v>
      </c>
      <c r="J944" t="n">
        <v>80624.40000000034</v>
      </c>
      <c r="K944" t="n">
        <v>4971</v>
      </c>
      <c r="L944" t="n">
        <v>71427</v>
      </c>
      <c r="M944" t="n">
        <v>39690</v>
      </c>
      <c r="N944" t="n">
        <v>39829</v>
      </c>
      <c r="O944" t="n">
        <v>21018</v>
      </c>
      <c r="P944" t="n">
        <v>272</v>
      </c>
    </row>
    <row r="945">
      <c r="A945" t="inlineStr">
        <is>
          <t>G4</t>
        </is>
      </c>
      <c r="B945" t="n">
        <v>2025</v>
      </c>
      <c r="C945" t="n">
        <v>12</v>
      </c>
      <c r="D945" t="n">
        <v>11516</v>
      </c>
      <c r="E945" t="n">
        <v>92</v>
      </c>
      <c r="F945" t="n">
        <v>52</v>
      </c>
      <c r="G945" t="n">
        <v>11372</v>
      </c>
      <c r="H945" t="n">
        <v>7849</v>
      </c>
      <c r="I945" t="n">
        <v>207173</v>
      </c>
      <c r="J945" t="n">
        <v>112965.1999999999</v>
      </c>
      <c r="K945" t="n">
        <v>6445</v>
      </c>
      <c r="L945" t="n">
        <v>124693</v>
      </c>
      <c r="M945" t="n">
        <v>74437</v>
      </c>
      <c r="N945" t="n">
        <v>52296</v>
      </c>
      <c r="O945" t="n">
        <v>34939</v>
      </c>
      <c r="P945" t="n">
        <v>853</v>
      </c>
    </row>
    <row r="946">
      <c r="A946" t="inlineStr">
        <is>
          <t>G4</t>
        </is>
      </c>
      <c r="B946" t="n">
        <v>2026</v>
      </c>
      <c r="C946" t="n">
        <v>1</v>
      </c>
      <c r="D946" t="n">
        <v>8963</v>
      </c>
      <c r="E946" t="n">
        <v>218</v>
      </c>
      <c r="F946" t="n">
        <v>29</v>
      </c>
      <c r="G946" t="n">
        <v>8716</v>
      </c>
      <c r="H946" t="n">
        <v>6620</v>
      </c>
      <c r="I946" t="n">
        <v>88631</v>
      </c>
      <c r="J946" t="n">
        <v>110374.0999999998</v>
      </c>
      <c r="K946" t="n">
        <v>5055</v>
      </c>
      <c r="L946" t="n">
        <v>70577</v>
      </c>
      <c r="M946" t="n">
        <v>56617</v>
      </c>
      <c r="N946" t="n">
        <v>30932</v>
      </c>
      <c r="O946" t="n">
        <v>24009</v>
      </c>
      <c r="P946" t="n">
        <v>601</v>
      </c>
    </row>
    <row r="947">
      <c r="A947" t="inlineStr">
        <is>
          <t>G4</t>
        </is>
      </c>
      <c r="B947" t="n">
        <v>2026</v>
      </c>
      <c r="C947" t="n">
        <v>2</v>
      </c>
      <c r="D947" t="n">
        <v>9087</v>
      </c>
      <c r="E947" t="n">
        <v>62</v>
      </c>
      <c r="F947" t="n">
        <v>25</v>
      </c>
      <c r="G947" t="n">
        <v>9000</v>
      </c>
      <c r="H947" t="n">
        <v>7019</v>
      </c>
      <c r="I947" t="n">
        <v>81283</v>
      </c>
      <c r="J947" t="n">
        <v>109842.5999999999</v>
      </c>
      <c r="K947" t="n">
        <v>5047</v>
      </c>
      <c r="L947" t="n">
        <v>59924</v>
      </c>
      <c r="M947" t="n">
        <v>54922</v>
      </c>
      <c r="N947" t="n">
        <v>32178</v>
      </c>
      <c r="O947" t="n">
        <v>25095</v>
      </c>
      <c r="P947" t="n">
        <v>148</v>
      </c>
    </row>
    <row r="948">
      <c r="A948" t="inlineStr">
        <is>
          <t>G4</t>
        </is>
      </c>
      <c r="B948" t="n">
        <v>2026</v>
      </c>
      <c r="C948" t="n">
        <v>3</v>
      </c>
      <c r="D948" t="n">
        <v>12522</v>
      </c>
      <c r="E948" t="n">
        <v>199</v>
      </c>
      <c r="F948" t="n">
        <v>54</v>
      </c>
      <c r="G948" t="n">
        <v>12269</v>
      </c>
      <c r="H948" t="n">
        <v>8871</v>
      </c>
      <c r="I948" t="n">
        <v>234603</v>
      </c>
      <c r="J948" t="n">
        <v>133935.7999999998</v>
      </c>
      <c r="K948" t="n">
        <v>6996</v>
      </c>
      <c r="L948" t="n">
        <v>122969</v>
      </c>
      <c r="M948" t="n">
        <v>83108</v>
      </c>
      <c r="N948" t="n">
        <v>80316</v>
      </c>
      <c r="O948" t="n">
        <v>39112</v>
      </c>
      <c r="P948" t="n">
        <v>1201</v>
      </c>
    </row>
    <row r="949">
      <c r="A949" t="inlineStr">
        <is>
          <t>G4</t>
        </is>
      </c>
      <c r="B949" t="n">
        <v>2026</v>
      </c>
      <c r="C949" t="n">
        <v>4</v>
      </c>
      <c r="D949" t="n">
        <v>10318</v>
      </c>
      <c r="E949" t="n">
        <v>14</v>
      </c>
      <c r="F949" t="n">
        <v>16</v>
      </c>
      <c r="G949" t="n">
        <v>10288</v>
      </c>
      <c r="H949" t="n">
        <v>7799</v>
      </c>
      <c r="I949" t="n">
        <v>106928</v>
      </c>
      <c r="J949" t="n">
        <v>95800.59999999976</v>
      </c>
      <c r="K949" t="n">
        <v>5576</v>
      </c>
      <c r="L949" t="n">
        <v>72711</v>
      </c>
      <c r="M949" t="n">
        <v>60426</v>
      </c>
      <c r="N949" t="n">
        <v>36302</v>
      </c>
      <c r="O949" t="n">
        <v>12086</v>
      </c>
      <c r="P949" t="n">
        <v>144</v>
      </c>
    </row>
    <row r="950">
      <c r="A950" t="inlineStr">
        <is>
          <t>G4</t>
        </is>
      </c>
      <c r="B950" t="n">
        <v>2026</v>
      </c>
      <c r="C950" t="n">
        <v>5</v>
      </c>
      <c r="D950" t="n">
        <v>10570</v>
      </c>
      <c r="E950" t="n">
        <v>16</v>
      </c>
      <c r="F950" t="n">
        <v>21</v>
      </c>
      <c r="G950" t="n">
        <v>10533</v>
      </c>
      <c r="H950" t="n">
        <v>7683</v>
      </c>
      <c r="I950" t="n">
        <v>183745</v>
      </c>
      <c r="J950" t="n">
        <v>92040.69999999975</v>
      </c>
      <c r="K950" t="n">
        <v>5548</v>
      </c>
      <c r="L950" t="n">
        <v>94141</v>
      </c>
      <c r="M950" t="n">
        <v>89524</v>
      </c>
      <c r="N950" t="n">
        <v>44603</v>
      </c>
      <c r="O950" t="n">
        <v>21641</v>
      </c>
      <c r="P950" t="n">
        <v>782</v>
      </c>
    </row>
    <row r="951">
      <c r="A951" t="inlineStr">
        <is>
          <t>G4</t>
        </is>
      </c>
      <c r="B951" t="n">
        <v>2026</v>
      </c>
      <c r="C951" t="n">
        <v>6</v>
      </c>
      <c r="D951" t="n">
        <v>12663</v>
      </c>
      <c r="E951" t="n">
        <v>69</v>
      </c>
      <c r="F951" t="n">
        <v>43</v>
      </c>
      <c r="G951" t="n">
        <v>12551</v>
      </c>
      <c r="H951" t="n">
        <v>8634</v>
      </c>
      <c r="I951" t="n">
        <v>315967</v>
      </c>
      <c r="J951" t="n">
        <v>106098.5999999998</v>
      </c>
      <c r="K951" t="n">
        <v>7023</v>
      </c>
      <c r="L951" t="n">
        <v>152789</v>
      </c>
      <c r="M951" t="n">
        <v>132972</v>
      </c>
      <c r="N951" t="n">
        <v>57776</v>
      </c>
      <c r="O951" t="n">
        <v>38874</v>
      </c>
      <c r="P951" t="n">
        <v>624</v>
      </c>
    </row>
    <row r="952">
      <c r="A952" t="inlineStr">
        <is>
          <t>G4</t>
        </is>
      </c>
      <c r="B952" t="n">
        <v>2026</v>
      </c>
      <c r="C952" t="n">
        <v>7</v>
      </c>
      <c r="D952" t="n">
        <v>13314</v>
      </c>
      <c r="E952" t="n">
        <v>73</v>
      </c>
      <c r="F952" t="n">
        <v>57</v>
      </c>
      <c r="G952" t="n">
        <v>13184</v>
      </c>
      <c r="H952" t="n">
        <v>9127</v>
      </c>
      <c r="I952" t="n">
        <v>308651</v>
      </c>
      <c r="J952" t="n">
        <v>111917.9000000003</v>
      </c>
      <c r="K952" t="n">
        <v>7330</v>
      </c>
      <c r="L952" t="n">
        <v>154897</v>
      </c>
      <c r="M952" t="n">
        <v>124347</v>
      </c>
      <c r="N952" t="n">
        <v>60880</v>
      </c>
      <c r="O952" t="n">
        <v>44025</v>
      </c>
      <c r="P952" t="n">
        <v>1323</v>
      </c>
    </row>
    <row r="953">
      <c r="A953" t="inlineStr">
        <is>
          <t>HA</t>
        </is>
      </c>
      <c r="B953" t="n">
        <v>2015</v>
      </c>
      <c r="C953" t="n">
        <v>1</v>
      </c>
      <c r="D953" t="n">
        <v>6440</v>
      </c>
      <c r="E953" t="n">
        <v>26</v>
      </c>
      <c r="F953" t="n">
        <v>6</v>
      </c>
      <c r="G953" t="n">
        <v>6408</v>
      </c>
      <c r="H953" t="n">
        <v>5507</v>
      </c>
      <c r="I953" t="n">
        <v>22509</v>
      </c>
      <c r="J953" t="n">
        <v>33987.29999999999</v>
      </c>
      <c r="K953" t="n">
        <v>6440</v>
      </c>
      <c r="L953" t="n">
        <v>15175</v>
      </c>
      <c r="M953" t="n">
        <v>17102</v>
      </c>
      <c r="N953" t="n">
        <v>1710</v>
      </c>
      <c r="O953" t="n">
        <v>1415</v>
      </c>
      <c r="P953" t="n">
        <v>162</v>
      </c>
    </row>
    <row r="954">
      <c r="A954" t="inlineStr">
        <is>
          <t>HA</t>
        </is>
      </c>
      <c r="B954" t="n">
        <v>2015</v>
      </c>
      <c r="C954" t="n">
        <v>2</v>
      </c>
      <c r="D954" t="n">
        <v>5779</v>
      </c>
      <c r="E954" t="n">
        <v>3</v>
      </c>
      <c r="F954" t="n">
        <v>3</v>
      </c>
      <c r="G954" t="n">
        <v>5773</v>
      </c>
      <c r="H954" t="n">
        <v>4752</v>
      </c>
      <c r="I954" t="n">
        <v>34811</v>
      </c>
      <c r="J954" t="n">
        <v>29761.19999999994</v>
      </c>
      <c r="K954" t="n">
        <v>5779</v>
      </c>
      <c r="L954" t="n">
        <v>15355</v>
      </c>
      <c r="M954" t="n">
        <v>21060</v>
      </c>
      <c r="N954" t="n">
        <v>735</v>
      </c>
      <c r="O954" t="n">
        <v>2474</v>
      </c>
      <c r="P954" t="n">
        <v>25</v>
      </c>
    </row>
    <row r="955">
      <c r="A955" t="inlineStr">
        <is>
          <t>HA</t>
        </is>
      </c>
      <c r="B955" t="n">
        <v>2015</v>
      </c>
      <c r="C955" t="n">
        <v>3</v>
      </c>
      <c r="D955" t="n">
        <v>6313</v>
      </c>
      <c r="E955" t="n">
        <v>13</v>
      </c>
      <c r="F955" t="n">
        <v>6</v>
      </c>
      <c r="G955" t="n">
        <v>6294</v>
      </c>
      <c r="H955" t="n">
        <v>5514</v>
      </c>
      <c r="I955" t="n">
        <v>21830</v>
      </c>
      <c r="J955" t="n">
        <v>31335.30000000003</v>
      </c>
      <c r="K955" t="n">
        <v>6313</v>
      </c>
      <c r="L955" t="n">
        <v>9403</v>
      </c>
      <c r="M955" t="n">
        <v>18002</v>
      </c>
      <c r="N955" t="n">
        <v>276</v>
      </c>
      <c r="O955" t="n">
        <v>1798</v>
      </c>
      <c r="P955" t="n">
        <v>7</v>
      </c>
    </row>
    <row r="956">
      <c r="A956" t="inlineStr">
        <is>
          <t>HA</t>
        </is>
      </c>
      <c r="B956" t="n">
        <v>2015</v>
      </c>
      <c r="C956" t="n">
        <v>4</v>
      </c>
      <c r="D956" t="n">
        <v>6093</v>
      </c>
      <c r="E956" t="n">
        <v>11</v>
      </c>
      <c r="F956" t="n">
        <v>3</v>
      </c>
      <c r="G956" t="n">
        <v>6079</v>
      </c>
      <c r="H956" t="n">
        <v>5648</v>
      </c>
      <c r="I956" t="n">
        <v>67</v>
      </c>
      <c r="J956" t="n">
        <v>27423.09999999996</v>
      </c>
      <c r="K956" t="n">
        <v>6093</v>
      </c>
      <c r="L956" t="n">
        <v>3492</v>
      </c>
      <c r="M956" t="n">
        <v>10949</v>
      </c>
      <c r="N956" t="n">
        <v>108</v>
      </c>
      <c r="O956" t="n">
        <v>424</v>
      </c>
      <c r="P956" t="n">
        <v>0</v>
      </c>
    </row>
    <row r="957">
      <c r="A957" t="inlineStr">
        <is>
          <t>HA</t>
        </is>
      </c>
      <c r="B957" t="n">
        <v>2015</v>
      </c>
      <c r="C957" t="n">
        <v>5</v>
      </c>
      <c r="D957" t="n">
        <v>6434</v>
      </c>
      <c r="E957" t="n">
        <v>7</v>
      </c>
      <c r="F957" t="n">
        <v>9</v>
      </c>
      <c r="G957" t="n">
        <v>6418</v>
      </c>
      <c r="H957" t="n">
        <v>5846</v>
      </c>
      <c r="I957" t="n">
        <v>5304</v>
      </c>
      <c r="J957" t="n">
        <v>27419.20000000003</v>
      </c>
      <c r="K957" t="n">
        <v>6434</v>
      </c>
      <c r="L957" t="n">
        <v>7634</v>
      </c>
      <c r="M957" t="n">
        <v>12997</v>
      </c>
      <c r="N957" t="n">
        <v>670</v>
      </c>
      <c r="O957" t="n">
        <v>305</v>
      </c>
      <c r="P957" t="n">
        <v>0</v>
      </c>
    </row>
    <row r="958">
      <c r="A958" t="inlineStr">
        <is>
          <t>HA</t>
        </is>
      </c>
      <c r="B958" t="n">
        <v>2015</v>
      </c>
      <c r="C958" t="n">
        <v>6</v>
      </c>
      <c r="D958" t="n">
        <v>6677</v>
      </c>
      <c r="E958" t="n">
        <v>10</v>
      </c>
      <c r="F958" t="n">
        <v>4</v>
      </c>
      <c r="G958" t="n">
        <v>6663</v>
      </c>
      <c r="H958" t="n">
        <v>6046</v>
      </c>
      <c r="I958" t="n">
        <v>5882</v>
      </c>
      <c r="J958" t="n">
        <v>27470.39999999999</v>
      </c>
      <c r="K958" t="n">
        <v>6677</v>
      </c>
      <c r="L958" t="n">
        <v>5002</v>
      </c>
      <c r="M958" t="n">
        <v>16569</v>
      </c>
      <c r="N958" t="n">
        <v>193</v>
      </c>
      <c r="O958" t="n">
        <v>65</v>
      </c>
      <c r="P958" t="n">
        <v>24</v>
      </c>
    </row>
    <row r="959">
      <c r="A959" t="inlineStr">
        <is>
          <t>HA</t>
        </is>
      </c>
      <c r="B959" t="n">
        <v>2015</v>
      </c>
      <c r="C959" t="n">
        <v>7</v>
      </c>
      <c r="D959" t="n">
        <v>6955</v>
      </c>
      <c r="E959" t="n">
        <v>11</v>
      </c>
      <c r="F959" t="n">
        <v>8</v>
      </c>
      <c r="G959" t="n">
        <v>6936</v>
      </c>
      <c r="H959" t="n">
        <v>6161</v>
      </c>
      <c r="I959" t="n">
        <v>13883</v>
      </c>
      <c r="J959" t="n">
        <v>32882.30000000002</v>
      </c>
      <c r="K959" t="n">
        <v>6955</v>
      </c>
      <c r="L959" t="n">
        <v>10723</v>
      </c>
      <c r="M959" t="n">
        <v>18482</v>
      </c>
      <c r="N959" t="n">
        <v>407</v>
      </c>
      <c r="O959" t="n">
        <v>478</v>
      </c>
      <c r="P959" t="n">
        <v>37</v>
      </c>
    </row>
    <row r="960">
      <c r="A960" t="inlineStr">
        <is>
          <t>HA</t>
        </is>
      </c>
      <c r="B960" t="n">
        <v>2015</v>
      </c>
      <c r="C960" t="n">
        <v>8</v>
      </c>
      <c r="D960" t="n">
        <v>6901</v>
      </c>
      <c r="E960" t="n">
        <v>44</v>
      </c>
      <c r="F960" t="n">
        <v>7</v>
      </c>
      <c r="G960" t="n">
        <v>6850</v>
      </c>
      <c r="H960" t="n">
        <v>5626</v>
      </c>
      <c r="I960" t="n">
        <v>51019</v>
      </c>
      <c r="J960" t="n">
        <v>32398.70000000001</v>
      </c>
      <c r="K960" t="n">
        <v>6901</v>
      </c>
      <c r="L960" t="n">
        <v>29455</v>
      </c>
      <c r="M960" t="n">
        <v>27691</v>
      </c>
      <c r="N960" t="n">
        <v>583</v>
      </c>
      <c r="O960" t="n">
        <v>1057</v>
      </c>
      <c r="P960" t="n">
        <v>44</v>
      </c>
    </row>
    <row r="961">
      <c r="A961" t="inlineStr">
        <is>
          <t>HA</t>
        </is>
      </c>
      <c r="B961" t="n">
        <v>2015</v>
      </c>
      <c r="C961" t="n">
        <v>9</v>
      </c>
      <c r="D961" t="n">
        <v>6154</v>
      </c>
      <c r="E961" t="n">
        <v>24</v>
      </c>
      <c r="F961" t="n">
        <v>3</v>
      </c>
      <c r="G961" t="n">
        <v>6127</v>
      </c>
      <c r="H961" t="n">
        <v>5180</v>
      </c>
      <c r="I961" t="n">
        <v>22651</v>
      </c>
      <c r="J961" t="n">
        <v>34060.59999999998</v>
      </c>
      <c r="K961" t="n">
        <v>6154</v>
      </c>
      <c r="L961" t="n">
        <v>16337</v>
      </c>
      <c r="M961" t="n">
        <v>17520</v>
      </c>
      <c r="N961" t="n">
        <v>358</v>
      </c>
      <c r="O961" t="n">
        <v>2730</v>
      </c>
      <c r="P961" t="n">
        <v>32</v>
      </c>
    </row>
    <row r="962">
      <c r="A962" t="inlineStr">
        <is>
          <t>HA</t>
        </is>
      </c>
      <c r="B962" t="n">
        <v>2015</v>
      </c>
      <c r="C962" t="n">
        <v>10</v>
      </c>
      <c r="D962" t="n">
        <v>6242</v>
      </c>
      <c r="E962" t="n">
        <v>12</v>
      </c>
      <c r="F962" t="n">
        <v>4</v>
      </c>
      <c r="G962" t="n">
        <v>6226</v>
      </c>
      <c r="H962" t="n">
        <v>5664</v>
      </c>
      <c r="I962" t="n">
        <v>2908</v>
      </c>
      <c r="J962" t="n">
        <v>37209.19999999998</v>
      </c>
      <c r="K962" t="n">
        <v>6242</v>
      </c>
      <c r="L962" t="n">
        <v>6417</v>
      </c>
      <c r="M962" t="n">
        <v>13539</v>
      </c>
      <c r="N962" t="n">
        <v>1044</v>
      </c>
      <c r="O962" t="n">
        <v>274</v>
      </c>
      <c r="P962" t="n">
        <v>35</v>
      </c>
    </row>
    <row r="963">
      <c r="A963" t="inlineStr">
        <is>
          <t>HA</t>
        </is>
      </c>
      <c r="B963" t="n">
        <v>2015</v>
      </c>
      <c r="C963" t="n">
        <v>11</v>
      </c>
      <c r="D963" t="n">
        <v>6024</v>
      </c>
      <c r="E963" t="n">
        <v>5</v>
      </c>
      <c r="F963" t="n">
        <v>7</v>
      </c>
      <c r="G963" t="n">
        <v>6012</v>
      </c>
      <c r="H963" t="n">
        <v>5658</v>
      </c>
      <c r="I963" t="n">
        <v>-16352</v>
      </c>
      <c r="J963" t="n">
        <v>45661.50000000001</v>
      </c>
      <c r="K963" t="n">
        <v>6024</v>
      </c>
      <c r="L963" t="n">
        <v>3339</v>
      </c>
      <c r="M963" t="n">
        <v>8579</v>
      </c>
      <c r="N963" t="n">
        <v>34</v>
      </c>
      <c r="O963" t="n">
        <v>237</v>
      </c>
      <c r="P963" t="n">
        <v>0</v>
      </c>
    </row>
    <row r="964">
      <c r="A964" t="inlineStr">
        <is>
          <t>HA</t>
        </is>
      </c>
      <c r="B964" t="n">
        <v>2015</v>
      </c>
      <c r="C964" t="n">
        <v>12</v>
      </c>
      <c r="D964" t="n">
        <v>6260</v>
      </c>
      <c r="E964" t="n">
        <v>5</v>
      </c>
      <c r="F964" t="n">
        <v>0</v>
      </c>
      <c r="G964" t="n">
        <v>6255</v>
      </c>
      <c r="H964" t="n">
        <v>5821</v>
      </c>
      <c r="I964" t="n">
        <v>-10674</v>
      </c>
      <c r="J964" t="n">
        <v>52549.20000000009</v>
      </c>
      <c r="K964" t="n">
        <v>6260</v>
      </c>
      <c r="L964" t="n">
        <v>4367</v>
      </c>
      <c r="M964" t="n">
        <v>13932</v>
      </c>
      <c r="N964" t="n">
        <v>123</v>
      </c>
      <c r="O964" t="n">
        <v>172</v>
      </c>
      <c r="P964" t="n">
        <v>35</v>
      </c>
    </row>
    <row r="965">
      <c r="A965" t="inlineStr">
        <is>
          <t>HA</t>
        </is>
      </c>
      <c r="B965" t="n">
        <v>2016</v>
      </c>
      <c r="C965" t="n">
        <v>1</v>
      </c>
      <c r="D965" t="n">
        <v>6279</v>
      </c>
      <c r="E965" t="n">
        <v>4</v>
      </c>
      <c r="F965" t="n">
        <v>5</v>
      </c>
      <c r="G965" t="n">
        <v>6270</v>
      </c>
      <c r="H965" t="n">
        <v>5760</v>
      </c>
      <c r="I965" t="n">
        <v>-10214</v>
      </c>
      <c r="J965" t="n">
        <v>49873.89999999999</v>
      </c>
      <c r="K965" t="n">
        <v>6279</v>
      </c>
      <c r="L965" t="n">
        <v>3689</v>
      </c>
      <c r="M965" t="n">
        <v>13652</v>
      </c>
      <c r="N965" t="n">
        <v>271</v>
      </c>
      <c r="O965" t="n">
        <v>871</v>
      </c>
      <c r="P965" t="n">
        <v>65</v>
      </c>
    </row>
    <row r="966">
      <c r="A966" t="inlineStr">
        <is>
          <t>HA</t>
        </is>
      </c>
      <c r="B966" t="n">
        <v>2016</v>
      </c>
      <c r="C966" t="n">
        <v>2</v>
      </c>
      <c r="D966" t="n">
        <v>5851</v>
      </c>
      <c r="E966" t="n">
        <v>3</v>
      </c>
      <c r="F966" t="n">
        <v>9</v>
      </c>
      <c r="G966" t="n">
        <v>5839</v>
      </c>
      <c r="H966" t="n">
        <v>5375</v>
      </c>
      <c r="I966" t="n">
        <v>-7553</v>
      </c>
      <c r="J966" t="n">
        <v>50223.4000000001</v>
      </c>
      <c r="K966" t="n">
        <v>5851</v>
      </c>
      <c r="L966" t="n">
        <v>5446</v>
      </c>
      <c r="M966" t="n">
        <v>9695</v>
      </c>
      <c r="N966" t="n">
        <v>336</v>
      </c>
      <c r="O966" t="n">
        <v>620</v>
      </c>
      <c r="P966" t="n">
        <v>34</v>
      </c>
    </row>
    <row r="967">
      <c r="A967" t="inlineStr">
        <is>
          <t>HA</t>
        </is>
      </c>
      <c r="B967" t="n">
        <v>2016</v>
      </c>
      <c r="C967" t="n">
        <v>3</v>
      </c>
      <c r="D967" t="n">
        <v>6355</v>
      </c>
      <c r="E967" t="n">
        <v>9</v>
      </c>
      <c r="F967" t="n">
        <v>5</v>
      </c>
      <c r="G967" t="n">
        <v>6341</v>
      </c>
      <c r="H967" t="n">
        <v>5707</v>
      </c>
      <c r="I967" t="n">
        <v>-1666</v>
      </c>
      <c r="J967" t="n">
        <v>51321.30000000009</v>
      </c>
      <c r="K967" t="n">
        <v>6354</v>
      </c>
      <c r="L967" t="n">
        <v>8440</v>
      </c>
      <c r="M967" t="n">
        <v>10632</v>
      </c>
      <c r="N967" t="n">
        <v>309</v>
      </c>
      <c r="O967" t="n">
        <v>1388</v>
      </c>
      <c r="P967" t="n">
        <v>140</v>
      </c>
    </row>
    <row r="968">
      <c r="A968" t="inlineStr">
        <is>
          <t>HA</t>
        </is>
      </c>
      <c r="B968" t="n">
        <v>2016</v>
      </c>
      <c r="C968" t="n">
        <v>4</v>
      </c>
      <c r="D968" t="n">
        <v>6239</v>
      </c>
      <c r="E968" t="n">
        <v>6</v>
      </c>
      <c r="F968" t="n">
        <v>5</v>
      </c>
      <c r="G968" t="n">
        <v>6228</v>
      </c>
      <c r="H968" t="n">
        <v>5869</v>
      </c>
      <c r="I968" t="n">
        <v>-12347</v>
      </c>
      <c r="J968" t="n">
        <v>44777.6</v>
      </c>
      <c r="K968" t="n">
        <v>6239</v>
      </c>
      <c r="L968" t="n">
        <v>3678</v>
      </c>
      <c r="M968" t="n">
        <v>7796</v>
      </c>
      <c r="N968" t="n">
        <v>2300</v>
      </c>
      <c r="O968" t="n">
        <v>220</v>
      </c>
      <c r="P968" t="n">
        <v>58</v>
      </c>
    </row>
    <row r="969">
      <c r="A969" t="inlineStr">
        <is>
          <t>HA</t>
        </is>
      </c>
      <c r="B969" t="n">
        <v>2016</v>
      </c>
      <c r="C969" t="n">
        <v>5</v>
      </c>
      <c r="D969" t="n">
        <v>6432</v>
      </c>
      <c r="E969" t="n">
        <v>17</v>
      </c>
      <c r="F969" t="n">
        <v>7</v>
      </c>
      <c r="G969" t="n">
        <v>6408</v>
      </c>
      <c r="H969" t="n">
        <v>5926</v>
      </c>
      <c r="I969" t="n">
        <v>-3266</v>
      </c>
      <c r="J969" t="n">
        <v>46484.20000000003</v>
      </c>
      <c r="K969" t="n">
        <v>6432</v>
      </c>
      <c r="L969" t="n">
        <v>6296</v>
      </c>
      <c r="M969" t="n">
        <v>11214</v>
      </c>
      <c r="N969" t="n">
        <v>653</v>
      </c>
      <c r="O969" t="n">
        <v>1242</v>
      </c>
      <c r="P969" t="n">
        <v>0</v>
      </c>
    </row>
    <row r="970">
      <c r="A970" t="inlineStr">
        <is>
          <t>HA</t>
        </is>
      </c>
      <c r="B970" t="n">
        <v>2016</v>
      </c>
      <c r="C970" t="n">
        <v>6</v>
      </c>
      <c r="D970" t="n">
        <v>6731</v>
      </c>
      <c r="E970" t="n">
        <v>11</v>
      </c>
      <c r="F970" t="n">
        <v>6</v>
      </c>
      <c r="G970" t="n">
        <v>6714</v>
      </c>
      <c r="H970" t="n">
        <v>6133</v>
      </c>
      <c r="I970" t="n">
        <v>1289</v>
      </c>
      <c r="J970" t="n">
        <v>46933.99999999995</v>
      </c>
      <c r="K970" t="n">
        <v>6731</v>
      </c>
      <c r="L970" t="n">
        <v>7052</v>
      </c>
      <c r="M970" t="n">
        <v>16255</v>
      </c>
      <c r="N970" t="n">
        <v>545</v>
      </c>
      <c r="O970" t="n">
        <v>201</v>
      </c>
      <c r="P970" t="n">
        <v>29</v>
      </c>
    </row>
    <row r="971">
      <c r="A971" t="inlineStr">
        <is>
          <t>HA</t>
        </is>
      </c>
      <c r="B971" t="n">
        <v>2016</v>
      </c>
      <c r="C971" t="n">
        <v>7</v>
      </c>
      <c r="D971" t="n">
        <v>7022</v>
      </c>
      <c r="E971" t="n">
        <v>16</v>
      </c>
      <c r="F971" t="n">
        <v>16</v>
      </c>
      <c r="G971" t="n">
        <v>6990</v>
      </c>
      <c r="H971" t="n">
        <v>6232</v>
      </c>
      <c r="I971" t="n">
        <v>16060</v>
      </c>
      <c r="J971" t="n">
        <v>49442.49999999988</v>
      </c>
      <c r="K971" t="n">
        <v>7022</v>
      </c>
      <c r="L971" t="n">
        <v>14586</v>
      </c>
      <c r="M971" t="n">
        <v>20948</v>
      </c>
      <c r="N971" t="n">
        <v>745</v>
      </c>
      <c r="O971" t="n">
        <v>762</v>
      </c>
      <c r="P971" t="n">
        <v>10</v>
      </c>
    </row>
    <row r="972">
      <c r="A972" t="inlineStr">
        <is>
          <t>HA</t>
        </is>
      </c>
      <c r="B972" t="n">
        <v>2016</v>
      </c>
      <c r="C972" t="n">
        <v>8</v>
      </c>
      <c r="D972" t="n">
        <v>7049</v>
      </c>
      <c r="E972" t="n">
        <v>17</v>
      </c>
      <c r="F972" t="n">
        <v>4</v>
      </c>
      <c r="G972" t="n">
        <v>7028</v>
      </c>
      <c r="H972" t="n">
        <v>6528</v>
      </c>
      <c r="I972" t="n">
        <v>-8148</v>
      </c>
      <c r="J972" t="n">
        <v>51119.49999999991</v>
      </c>
      <c r="K972" t="n">
        <v>7049</v>
      </c>
      <c r="L972" t="n">
        <v>6669</v>
      </c>
      <c r="M972" t="n">
        <v>11712</v>
      </c>
      <c r="N972" t="n">
        <v>487</v>
      </c>
      <c r="O972" t="n">
        <v>75</v>
      </c>
      <c r="P972" t="n">
        <v>22</v>
      </c>
    </row>
    <row r="973">
      <c r="A973" t="inlineStr">
        <is>
          <t>HA</t>
        </is>
      </c>
      <c r="B973" t="n">
        <v>2016</v>
      </c>
      <c r="C973" t="n">
        <v>9</v>
      </c>
      <c r="D973" t="n">
        <v>6178</v>
      </c>
      <c r="E973" t="n">
        <v>9</v>
      </c>
      <c r="F973" t="n">
        <v>4</v>
      </c>
      <c r="G973" t="n">
        <v>6165</v>
      </c>
      <c r="H973" t="n">
        <v>5639</v>
      </c>
      <c r="I973" t="n">
        <v>-4462</v>
      </c>
      <c r="J973" t="n">
        <v>44480.8</v>
      </c>
      <c r="K973" t="n">
        <v>6178</v>
      </c>
      <c r="L973" t="n">
        <v>6093</v>
      </c>
      <c r="M973" t="n">
        <v>11270</v>
      </c>
      <c r="N973" t="n">
        <v>1242</v>
      </c>
      <c r="O973" t="n">
        <v>187</v>
      </c>
      <c r="P973" t="n">
        <v>162</v>
      </c>
    </row>
    <row r="974">
      <c r="A974" t="inlineStr">
        <is>
          <t>HA</t>
        </is>
      </c>
      <c r="B974" t="n">
        <v>2016</v>
      </c>
      <c r="C974" t="n">
        <v>10</v>
      </c>
      <c r="D974" t="n">
        <v>6232</v>
      </c>
      <c r="E974" t="n">
        <v>6</v>
      </c>
      <c r="F974" t="n">
        <v>7</v>
      </c>
      <c r="G974" t="n">
        <v>6219</v>
      </c>
      <c r="H974" t="n">
        <v>5809</v>
      </c>
      <c r="I974" t="n">
        <v>-4609</v>
      </c>
      <c r="J974" t="n">
        <v>45794.4000000001</v>
      </c>
      <c r="K974" t="n">
        <v>6232</v>
      </c>
      <c r="L974" t="n">
        <v>6135</v>
      </c>
      <c r="M974" t="n">
        <v>13566</v>
      </c>
      <c r="N974" t="n">
        <v>198</v>
      </c>
      <c r="O974" t="n">
        <v>38</v>
      </c>
      <c r="P974" t="n">
        <v>38</v>
      </c>
    </row>
    <row r="975">
      <c r="A975" t="inlineStr">
        <is>
          <t>HA</t>
        </is>
      </c>
      <c r="B975" t="n">
        <v>2016</v>
      </c>
      <c r="C975" t="n">
        <v>11</v>
      </c>
      <c r="D975" t="n">
        <v>6074</v>
      </c>
      <c r="E975" t="n">
        <v>11</v>
      </c>
      <c r="F975" t="n">
        <v>6</v>
      </c>
      <c r="G975" t="n">
        <v>6057</v>
      </c>
      <c r="H975" t="n">
        <v>5559</v>
      </c>
      <c r="I975" t="n">
        <v>-2359</v>
      </c>
      <c r="J975" t="n">
        <v>42269.80000000006</v>
      </c>
      <c r="K975" t="n">
        <v>6074</v>
      </c>
      <c r="L975" t="n">
        <v>5258</v>
      </c>
      <c r="M975" t="n">
        <v>13622</v>
      </c>
      <c r="N975" t="n">
        <v>172</v>
      </c>
      <c r="O975" t="n">
        <v>412</v>
      </c>
      <c r="P975" t="n">
        <v>10</v>
      </c>
    </row>
    <row r="976">
      <c r="A976" t="inlineStr">
        <is>
          <t>HA</t>
        </is>
      </c>
      <c r="B976" t="n">
        <v>2016</v>
      </c>
      <c r="C976" t="n">
        <v>12</v>
      </c>
      <c r="D976" t="n">
        <v>6347</v>
      </c>
      <c r="E976" t="n">
        <v>9</v>
      </c>
      <c r="F976" t="n">
        <v>10</v>
      </c>
      <c r="G976" t="n">
        <v>6328</v>
      </c>
      <c r="H976" t="n">
        <v>5402</v>
      </c>
      <c r="I976" t="n">
        <v>31714</v>
      </c>
      <c r="J976" t="n">
        <v>48540.80000000002</v>
      </c>
      <c r="K976" t="n">
        <v>6347</v>
      </c>
      <c r="L976" t="n">
        <v>12101</v>
      </c>
      <c r="M976" t="n">
        <v>29055</v>
      </c>
      <c r="N976" t="n">
        <v>380</v>
      </c>
      <c r="O976" t="n">
        <v>4617</v>
      </c>
      <c r="P976" t="n">
        <v>232</v>
      </c>
    </row>
    <row r="977">
      <c r="A977" t="inlineStr">
        <is>
          <t>HA</t>
        </is>
      </c>
      <c r="B977" t="n">
        <v>2017</v>
      </c>
      <c r="C977" t="n">
        <v>1</v>
      </c>
      <c r="D977" t="n">
        <v>6276</v>
      </c>
      <c r="E977" t="n">
        <v>18</v>
      </c>
      <c r="F977" t="n">
        <v>7</v>
      </c>
      <c r="G977" t="n">
        <v>6251</v>
      </c>
      <c r="H977" t="n">
        <v>5376</v>
      </c>
      <c r="I977" t="n">
        <v>22611</v>
      </c>
      <c r="J977" t="n">
        <v>46779.10000000005</v>
      </c>
      <c r="K977" t="n">
        <v>6273</v>
      </c>
      <c r="L977" t="n">
        <v>12349</v>
      </c>
      <c r="M977" t="n">
        <v>26199</v>
      </c>
      <c r="N977" t="n">
        <v>220</v>
      </c>
      <c r="O977" t="n">
        <v>785</v>
      </c>
      <c r="P977" t="n">
        <v>107</v>
      </c>
    </row>
    <row r="978">
      <c r="A978" t="inlineStr">
        <is>
          <t>HA</t>
        </is>
      </c>
      <c r="B978" t="n">
        <v>2017</v>
      </c>
      <c r="C978" t="n">
        <v>2</v>
      </c>
      <c r="D978" t="n">
        <v>5789</v>
      </c>
      <c r="E978" t="n">
        <v>13</v>
      </c>
      <c r="F978" t="n">
        <v>5</v>
      </c>
      <c r="G978" t="n">
        <v>5771</v>
      </c>
      <c r="H978" t="n">
        <v>4528</v>
      </c>
      <c r="I978" t="n">
        <v>54481</v>
      </c>
      <c r="J978" t="n">
        <v>44317.80000000005</v>
      </c>
      <c r="K978" t="n">
        <v>5785</v>
      </c>
      <c r="L978" t="n">
        <v>33168</v>
      </c>
      <c r="M978" t="n">
        <v>22753</v>
      </c>
      <c r="N978" t="n">
        <v>2137</v>
      </c>
      <c r="O978" t="n">
        <v>6271</v>
      </c>
      <c r="P978" t="n">
        <v>41</v>
      </c>
    </row>
    <row r="979">
      <c r="A979" t="inlineStr">
        <is>
          <t>HA</t>
        </is>
      </c>
      <c r="B979" t="n">
        <v>2017</v>
      </c>
      <c r="C979" t="n">
        <v>3</v>
      </c>
      <c r="D979" t="n">
        <v>6596</v>
      </c>
      <c r="E979" t="n">
        <v>23</v>
      </c>
      <c r="F979" t="n">
        <v>7</v>
      </c>
      <c r="G979" t="n">
        <v>6566</v>
      </c>
      <c r="H979" t="n">
        <v>5589</v>
      </c>
      <c r="I979" t="n">
        <v>24544</v>
      </c>
      <c r="J979" t="n">
        <v>47292.7</v>
      </c>
      <c r="K979" t="n">
        <v>6592</v>
      </c>
      <c r="L979" t="n">
        <v>15520</v>
      </c>
      <c r="M979" t="n">
        <v>20137</v>
      </c>
      <c r="N979" t="n">
        <v>530</v>
      </c>
      <c r="O979" t="n">
        <v>2423</v>
      </c>
      <c r="P979" t="n">
        <v>114</v>
      </c>
    </row>
    <row r="980">
      <c r="A980" t="inlineStr">
        <is>
          <t>HA</t>
        </is>
      </c>
      <c r="B980" t="n">
        <v>2017</v>
      </c>
      <c r="C980" t="n">
        <v>4</v>
      </c>
      <c r="D980" t="n">
        <v>6470</v>
      </c>
      <c r="E980" t="n">
        <v>13</v>
      </c>
      <c r="F980" t="n">
        <v>3</v>
      </c>
      <c r="G980" t="n">
        <v>6454</v>
      </c>
      <c r="H980" t="n">
        <v>5746</v>
      </c>
      <c r="I980" t="n">
        <v>7860</v>
      </c>
      <c r="J980" t="n">
        <v>41493.90000000002</v>
      </c>
      <c r="K980" t="n">
        <v>6465</v>
      </c>
      <c r="L980" t="n">
        <v>9126</v>
      </c>
      <c r="M980" t="n">
        <v>16550</v>
      </c>
      <c r="N980" t="n">
        <v>247</v>
      </c>
      <c r="O980" t="n">
        <v>662</v>
      </c>
      <c r="P980" t="n">
        <v>0</v>
      </c>
    </row>
    <row r="981">
      <c r="A981" t="inlineStr">
        <is>
          <t>HA</t>
        </is>
      </c>
      <c r="B981" t="n">
        <v>2017</v>
      </c>
      <c r="C981" t="n">
        <v>5</v>
      </c>
      <c r="D981" t="n">
        <v>6790</v>
      </c>
      <c r="E981" t="n">
        <v>12</v>
      </c>
      <c r="F981" t="n">
        <v>3</v>
      </c>
      <c r="G981" t="n">
        <v>6775</v>
      </c>
      <c r="H981" t="n">
        <v>6089</v>
      </c>
      <c r="I981" t="n">
        <v>10547</v>
      </c>
      <c r="J981" t="n">
        <v>44990.10000000005</v>
      </c>
      <c r="K981" t="n">
        <v>6788</v>
      </c>
      <c r="L981" t="n">
        <v>8536</v>
      </c>
      <c r="M981" t="n">
        <v>19396</v>
      </c>
      <c r="N981" t="n">
        <v>1119</v>
      </c>
      <c r="O981" t="n">
        <v>92</v>
      </c>
      <c r="P981" t="n">
        <v>24</v>
      </c>
    </row>
    <row r="982">
      <c r="A982" t="inlineStr">
        <is>
          <t>HA</t>
        </is>
      </c>
      <c r="B982" t="n">
        <v>2017</v>
      </c>
      <c r="C982" t="n">
        <v>6</v>
      </c>
      <c r="D982" t="n">
        <v>7076</v>
      </c>
      <c r="E982" t="n">
        <v>13</v>
      </c>
      <c r="F982" t="n">
        <v>6</v>
      </c>
      <c r="G982" t="n">
        <v>7057</v>
      </c>
      <c r="H982" t="n">
        <v>6394</v>
      </c>
      <c r="I982" t="n">
        <v>7911</v>
      </c>
      <c r="J982" t="n">
        <v>51128.39999999995</v>
      </c>
      <c r="K982" t="n">
        <v>7076</v>
      </c>
      <c r="L982" t="n">
        <v>7284</v>
      </c>
      <c r="M982" t="n">
        <v>19394</v>
      </c>
      <c r="N982" t="n">
        <v>757</v>
      </c>
      <c r="O982" t="n">
        <v>15</v>
      </c>
      <c r="P982" t="n">
        <v>47</v>
      </c>
    </row>
    <row r="983">
      <c r="A983" t="inlineStr">
        <is>
          <t>HA</t>
        </is>
      </c>
      <c r="B983" t="n">
        <v>2017</v>
      </c>
      <c r="C983" t="n">
        <v>7</v>
      </c>
      <c r="D983" t="n">
        <v>7308</v>
      </c>
      <c r="E983" t="n">
        <v>21</v>
      </c>
      <c r="F983" t="n">
        <v>6</v>
      </c>
      <c r="G983" t="n">
        <v>7281</v>
      </c>
      <c r="H983" t="n">
        <v>6743</v>
      </c>
      <c r="I983" t="n">
        <v>-1965</v>
      </c>
      <c r="J983" t="n">
        <v>52883.99999999995</v>
      </c>
      <c r="K983" t="n">
        <v>7308</v>
      </c>
      <c r="L983" t="n">
        <v>6983</v>
      </c>
      <c r="M983" t="n">
        <v>12212</v>
      </c>
      <c r="N983" t="n">
        <v>595</v>
      </c>
      <c r="O983" t="n">
        <v>102</v>
      </c>
      <c r="P983" t="n">
        <v>189</v>
      </c>
    </row>
    <row r="984">
      <c r="A984" t="inlineStr">
        <is>
          <t>HA</t>
        </is>
      </c>
      <c r="B984" t="n">
        <v>2017</v>
      </c>
      <c r="C984" t="n">
        <v>8</v>
      </c>
      <c r="D984" t="n">
        <v>7280</v>
      </c>
      <c r="E984" t="n">
        <v>21</v>
      </c>
      <c r="F984" t="n">
        <v>11</v>
      </c>
      <c r="G984" t="n">
        <v>7248</v>
      </c>
      <c r="H984" t="n">
        <v>6769</v>
      </c>
      <c r="I984" t="n">
        <v>-5311</v>
      </c>
      <c r="J984" t="n">
        <v>51827.39999999995</v>
      </c>
      <c r="K984" t="n">
        <v>7280</v>
      </c>
      <c r="L984" t="n">
        <v>6452</v>
      </c>
      <c r="M984" t="n">
        <v>13647</v>
      </c>
      <c r="N984" t="n">
        <v>416</v>
      </c>
      <c r="O984" t="n">
        <v>269</v>
      </c>
      <c r="P984" t="n">
        <v>8</v>
      </c>
    </row>
    <row r="985">
      <c r="A985" t="inlineStr">
        <is>
          <t>HA</t>
        </is>
      </c>
      <c r="B985" t="n">
        <v>2017</v>
      </c>
      <c r="C985" t="n">
        <v>9</v>
      </c>
      <c r="D985" t="n">
        <v>6571</v>
      </c>
      <c r="E985" t="n">
        <v>23</v>
      </c>
      <c r="F985" t="n">
        <v>2</v>
      </c>
      <c r="G985" t="n">
        <v>6546</v>
      </c>
      <c r="H985" t="n">
        <v>6176</v>
      </c>
      <c r="I985" t="n">
        <v>-17068</v>
      </c>
      <c r="J985" t="n">
        <v>50830.19999999995</v>
      </c>
      <c r="K985" t="n">
        <v>6571</v>
      </c>
      <c r="L985" t="n">
        <v>3513</v>
      </c>
      <c r="M985" t="n">
        <v>11516</v>
      </c>
      <c r="N985" t="n">
        <v>169</v>
      </c>
      <c r="O985" t="n">
        <v>484</v>
      </c>
      <c r="P985" t="n">
        <v>33</v>
      </c>
    </row>
    <row r="986">
      <c r="A986" t="inlineStr">
        <is>
          <t>HA</t>
        </is>
      </c>
      <c r="B986" t="n">
        <v>2017</v>
      </c>
      <c r="C986" t="n">
        <v>10</v>
      </c>
      <c r="D986" t="n">
        <v>6744</v>
      </c>
      <c r="E986" t="n">
        <v>25</v>
      </c>
      <c r="F986" t="n">
        <v>9</v>
      </c>
      <c r="G986" t="n">
        <v>6710</v>
      </c>
      <c r="H986" t="n">
        <v>6039</v>
      </c>
      <c r="I986" t="n">
        <v>4771</v>
      </c>
      <c r="J986" t="n">
        <v>53911.10000000006</v>
      </c>
      <c r="K986" t="n">
        <v>6744</v>
      </c>
      <c r="L986" t="n">
        <v>9834</v>
      </c>
      <c r="M986" t="n">
        <v>14255</v>
      </c>
      <c r="N986" t="n">
        <v>198</v>
      </c>
      <c r="O986" t="n">
        <v>1546</v>
      </c>
      <c r="P986" t="n">
        <v>60</v>
      </c>
    </row>
    <row r="987">
      <c r="A987" t="inlineStr">
        <is>
          <t>HA</t>
        </is>
      </c>
      <c r="B987" t="n">
        <v>2017</v>
      </c>
      <c r="C987" t="n">
        <v>11</v>
      </c>
      <c r="D987" t="n">
        <v>6500</v>
      </c>
      <c r="E987" t="n">
        <v>25</v>
      </c>
      <c r="F987" t="n">
        <v>8</v>
      </c>
      <c r="G987" t="n">
        <v>6467</v>
      </c>
      <c r="H987" t="n">
        <v>5805</v>
      </c>
      <c r="I987" t="n">
        <v>2330</v>
      </c>
      <c r="J987" t="n">
        <v>52956.20000000021</v>
      </c>
      <c r="K987" t="n">
        <v>6499</v>
      </c>
      <c r="L987" t="n">
        <v>8054</v>
      </c>
      <c r="M987" t="n">
        <v>15268</v>
      </c>
      <c r="N987" t="n">
        <v>167</v>
      </c>
      <c r="O987" t="n">
        <v>170</v>
      </c>
      <c r="P987" t="n">
        <v>22</v>
      </c>
    </row>
    <row r="988">
      <c r="A988" t="inlineStr">
        <is>
          <t>HA</t>
        </is>
      </c>
      <c r="B988" t="n">
        <v>2017</v>
      </c>
      <c r="C988" t="n">
        <v>12</v>
      </c>
      <c r="D988" t="n">
        <v>6772</v>
      </c>
      <c r="E988" t="n">
        <v>23</v>
      </c>
      <c r="F988" t="n">
        <v>14</v>
      </c>
      <c r="G988" t="n">
        <v>6735</v>
      </c>
      <c r="H988" t="n">
        <v>5474</v>
      </c>
      <c r="I988" t="n">
        <v>41483</v>
      </c>
      <c r="J988" t="n">
        <v>61648.60000000011</v>
      </c>
      <c r="K988" t="n">
        <v>6772</v>
      </c>
      <c r="L988" t="n">
        <v>24483</v>
      </c>
      <c r="M988" t="n">
        <v>27209</v>
      </c>
      <c r="N988" t="n">
        <v>1174</v>
      </c>
      <c r="O988" t="n">
        <v>2519</v>
      </c>
      <c r="P988" t="n">
        <v>25</v>
      </c>
    </row>
    <row r="989">
      <c r="A989" t="inlineStr">
        <is>
          <t>HA</t>
        </is>
      </c>
      <c r="B989" t="n">
        <v>2018</v>
      </c>
      <c r="C989" t="n">
        <v>1</v>
      </c>
      <c r="D989" t="n">
        <v>6653</v>
      </c>
      <c r="E989" t="n">
        <v>11</v>
      </c>
      <c r="F989" t="n">
        <v>11</v>
      </c>
      <c r="G989" t="n">
        <v>6631</v>
      </c>
      <c r="H989" t="n">
        <v>5879</v>
      </c>
      <c r="I989" t="n">
        <v>8024</v>
      </c>
      <c r="J989" t="n">
        <v>65163.40000000013</v>
      </c>
      <c r="K989" t="n">
        <v>6653</v>
      </c>
      <c r="L989" t="n">
        <v>8404</v>
      </c>
      <c r="M989" t="n">
        <v>19956</v>
      </c>
      <c r="N989" t="n">
        <v>659</v>
      </c>
      <c r="O989" t="n">
        <v>3251</v>
      </c>
      <c r="P989" t="n">
        <v>377</v>
      </c>
    </row>
    <row r="990">
      <c r="A990" t="inlineStr">
        <is>
          <t>HA</t>
        </is>
      </c>
      <c r="B990" t="n">
        <v>2018</v>
      </c>
      <c r="C990" t="n">
        <v>2</v>
      </c>
      <c r="D990" t="n">
        <v>6028</v>
      </c>
      <c r="E990" t="n">
        <v>20</v>
      </c>
      <c r="F990" t="n">
        <v>4</v>
      </c>
      <c r="G990" t="n">
        <v>6004</v>
      </c>
      <c r="H990" t="n">
        <v>4835</v>
      </c>
      <c r="I990" t="n">
        <v>37135</v>
      </c>
      <c r="J990" t="n">
        <v>60086.50000000001</v>
      </c>
      <c r="K990" t="n">
        <v>6028</v>
      </c>
      <c r="L990" t="n">
        <v>21427</v>
      </c>
      <c r="M990" t="n">
        <v>24258</v>
      </c>
      <c r="N990" t="n">
        <v>243</v>
      </c>
      <c r="O990" t="n">
        <v>4163</v>
      </c>
      <c r="P990" t="n">
        <v>10</v>
      </c>
    </row>
    <row r="991">
      <c r="A991" t="inlineStr">
        <is>
          <t>HA</t>
        </is>
      </c>
      <c r="B991" t="n">
        <v>2018</v>
      </c>
      <c r="C991" t="n">
        <v>3</v>
      </c>
      <c r="D991" t="n">
        <v>6919</v>
      </c>
      <c r="E991" t="n">
        <v>37</v>
      </c>
      <c r="F991" t="n">
        <v>10</v>
      </c>
      <c r="G991" t="n">
        <v>6872</v>
      </c>
      <c r="H991" t="n">
        <v>5903</v>
      </c>
      <c r="I991" t="n">
        <v>20944</v>
      </c>
      <c r="J991" t="n">
        <v>65380.79999999992</v>
      </c>
      <c r="K991" t="n">
        <v>6918</v>
      </c>
      <c r="L991" t="n">
        <v>13734</v>
      </c>
      <c r="M991" t="n">
        <v>22632</v>
      </c>
      <c r="N991" t="n">
        <v>1024</v>
      </c>
      <c r="O991" t="n">
        <v>1284</v>
      </c>
      <c r="P991" t="n">
        <v>112</v>
      </c>
    </row>
    <row r="992">
      <c r="A992" t="inlineStr">
        <is>
          <t>HA</t>
        </is>
      </c>
      <c r="B992" t="n">
        <v>2018</v>
      </c>
      <c r="C992" t="n">
        <v>4</v>
      </c>
      <c r="D992" t="n">
        <v>6774</v>
      </c>
      <c r="E992" t="n">
        <v>10</v>
      </c>
      <c r="F992" t="n">
        <v>8</v>
      </c>
      <c r="G992" t="n">
        <v>6756</v>
      </c>
      <c r="H992" t="n">
        <v>5941</v>
      </c>
      <c r="I992" t="n">
        <v>16415</v>
      </c>
      <c r="J992" t="n">
        <v>59857.70000000013</v>
      </c>
      <c r="K992" t="n">
        <v>6773</v>
      </c>
      <c r="L992" t="n">
        <v>11155</v>
      </c>
      <c r="M992" t="n">
        <v>22641</v>
      </c>
      <c r="N992" t="n">
        <v>1558</v>
      </c>
      <c r="O992" t="n">
        <v>2072</v>
      </c>
      <c r="P992" t="n">
        <v>77</v>
      </c>
    </row>
    <row r="993">
      <c r="A993" t="inlineStr">
        <is>
          <t>HA</t>
        </is>
      </c>
      <c r="B993" t="n">
        <v>2018</v>
      </c>
      <c r="C993" t="n">
        <v>5</v>
      </c>
      <c r="D993" t="n">
        <v>7098</v>
      </c>
      <c r="E993" t="n">
        <v>8</v>
      </c>
      <c r="F993" t="n">
        <v>5</v>
      </c>
      <c r="G993" t="n">
        <v>7085</v>
      </c>
      <c r="H993" t="n">
        <v>6447</v>
      </c>
      <c r="I993" t="n">
        <v>3240</v>
      </c>
      <c r="J993" t="n">
        <v>58685.50000000006</v>
      </c>
      <c r="K993" t="n">
        <v>7080</v>
      </c>
      <c r="L993" t="n">
        <v>7556</v>
      </c>
      <c r="M993" t="n">
        <v>17596</v>
      </c>
      <c r="N993" t="n">
        <v>600</v>
      </c>
      <c r="O993" t="n">
        <v>963</v>
      </c>
      <c r="P993" t="n">
        <v>16</v>
      </c>
    </row>
    <row r="994">
      <c r="A994" t="inlineStr">
        <is>
          <t>HA</t>
        </is>
      </c>
      <c r="B994" t="n">
        <v>2018</v>
      </c>
      <c r="C994" t="n">
        <v>6</v>
      </c>
      <c r="D994" t="n">
        <v>7327</v>
      </c>
      <c r="E994" t="n">
        <v>25</v>
      </c>
      <c r="F994" t="n">
        <v>7</v>
      </c>
      <c r="G994" t="n">
        <v>7295</v>
      </c>
      <c r="H994" t="n">
        <v>6648</v>
      </c>
      <c r="I994" t="n">
        <v>2171</v>
      </c>
      <c r="J994" t="n">
        <v>61710.20000000003</v>
      </c>
      <c r="K994" t="n">
        <v>7301</v>
      </c>
      <c r="L994" t="n">
        <v>7797</v>
      </c>
      <c r="M994" t="n">
        <v>20706</v>
      </c>
      <c r="N994" t="n">
        <v>454</v>
      </c>
      <c r="O994" t="n">
        <v>390</v>
      </c>
      <c r="P994" t="n">
        <v>81</v>
      </c>
    </row>
    <row r="995">
      <c r="A995" t="inlineStr">
        <is>
          <t>HA</t>
        </is>
      </c>
      <c r="B995" t="n">
        <v>2018</v>
      </c>
      <c r="C995" t="n">
        <v>7</v>
      </c>
      <c r="D995" t="n">
        <v>7417</v>
      </c>
      <c r="E995" t="n">
        <v>10</v>
      </c>
      <c r="F995" t="n">
        <v>5</v>
      </c>
      <c r="G995" t="n">
        <v>7402</v>
      </c>
      <c r="H995" t="n">
        <v>6868</v>
      </c>
      <c r="I995" t="n">
        <v>-6418</v>
      </c>
      <c r="J995" t="n">
        <v>63760.39999999992</v>
      </c>
      <c r="K995" t="n">
        <v>7409</v>
      </c>
      <c r="L995" t="n">
        <v>4605</v>
      </c>
      <c r="M995" t="n">
        <v>16887</v>
      </c>
      <c r="N995" t="n">
        <v>442</v>
      </c>
      <c r="O995" t="n">
        <v>103</v>
      </c>
      <c r="P995" t="n">
        <v>132</v>
      </c>
    </row>
    <row r="996">
      <c r="A996" t="inlineStr">
        <is>
          <t>HA</t>
        </is>
      </c>
      <c r="B996" t="n">
        <v>2018</v>
      </c>
      <c r="C996" t="n">
        <v>9</v>
      </c>
      <c r="D996" t="n">
        <v>6937</v>
      </c>
      <c r="E996" t="n">
        <v>49</v>
      </c>
      <c r="F996" t="n">
        <v>7</v>
      </c>
      <c r="G996" t="n">
        <v>6881</v>
      </c>
      <c r="H996" t="n">
        <v>6319</v>
      </c>
      <c r="I996" t="n">
        <v>-6466</v>
      </c>
      <c r="J996" t="n">
        <v>58485.50000000014</v>
      </c>
      <c r="K996" t="n">
        <v>6935</v>
      </c>
      <c r="L996" t="n">
        <v>5946</v>
      </c>
      <c r="M996" t="n">
        <v>21869</v>
      </c>
      <c r="N996" t="n">
        <v>268</v>
      </c>
      <c r="O996" t="n">
        <v>230</v>
      </c>
      <c r="P996" t="n">
        <v>70</v>
      </c>
    </row>
    <row r="997">
      <c r="A997" t="inlineStr">
        <is>
          <t>HA</t>
        </is>
      </c>
      <c r="B997" t="n">
        <v>2018</v>
      </c>
      <c r="C997" t="n">
        <v>10</v>
      </c>
      <c r="D997" t="n">
        <v>7186</v>
      </c>
      <c r="E997" t="n">
        <v>13</v>
      </c>
      <c r="F997" t="n">
        <v>9</v>
      </c>
      <c r="G997" t="n">
        <v>7164</v>
      </c>
      <c r="H997" t="n">
        <v>6540</v>
      </c>
      <c r="I997" t="n">
        <v>-4319</v>
      </c>
      <c r="J997" t="n">
        <v>63522.90000000015</v>
      </c>
      <c r="K997" t="n">
        <v>7184</v>
      </c>
      <c r="L997" t="n">
        <v>6583</v>
      </c>
      <c r="M997" t="n">
        <v>19987</v>
      </c>
      <c r="N997" t="n">
        <v>1178</v>
      </c>
      <c r="O997" t="n">
        <v>759</v>
      </c>
      <c r="P997" t="n">
        <v>303</v>
      </c>
    </row>
    <row r="998">
      <c r="A998" t="inlineStr">
        <is>
          <t>HA</t>
        </is>
      </c>
      <c r="B998" t="n">
        <v>2018</v>
      </c>
      <c r="C998" t="n">
        <v>11</v>
      </c>
      <c r="D998" t="n">
        <v>6930</v>
      </c>
      <c r="E998" t="n">
        <v>22</v>
      </c>
      <c r="F998" t="n">
        <v>12</v>
      </c>
      <c r="G998" t="n">
        <v>6896</v>
      </c>
      <c r="H998" t="n">
        <v>6343</v>
      </c>
      <c r="I998" t="n">
        <v>-9737</v>
      </c>
      <c r="J998" t="n">
        <v>63328.29999999993</v>
      </c>
      <c r="K998" t="n">
        <v>6928</v>
      </c>
      <c r="L998" t="n">
        <v>4869</v>
      </c>
      <c r="M998" t="n">
        <v>16184</v>
      </c>
      <c r="N998" t="n">
        <v>606</v>
      </c>
      <c r="O998" t="n">
        <v>709</v>
      </c>
      <c r="P998" t="n">
        <v>51</v>
      </c>
    </row>
    <row r="999">
      <c r="A999" t="inlineStr">
        <is>
          <t>HA</t>
        </is>
      </c>
      <c r="B999" t="n">
        <v>2018</v>
      </c>
      <c r="C999" t="n">
        <v>12</v>
      </c>
      <c r="D999" t="n">
        <v>7214</v>
      </c>
      <c r="E999" t="n">
        <v>6</v>
      </c>
      <c r="F999" t="n">
        <v>5</v>
      </c>
      <c r="G999" t="n">
        <v>7203</v>
      </c>
      <c r="H999" t="n">
        <v>6376</v>
      </c>
      <c r="I999" t="n">
        <v>4575</v>
      </c>
      <c r="J999" t="n">
        <v>71892.10000000002</v>
      </c>
      <c r="K999" t="n">
        <v>7200</v>
      </c>
      <c r="L999" t="n">
        <v>9566</v>
      </c>
      <c r="M999" t="n">
        <v>22221</v>
      </c>
      <c r="N999" t="n">
        <v>649</v>
      </c>
      <c r="O999" t="n">
        <v>505</v>
      </c>
      <c r="P999" t="n">
        <v>49</v>
      </c>
    </row>
    <row r="1000">
      <c r="A1000" t="inlineStr">
        <is>
          <t>HA</t>
        </is>
      </c>
      <c r="B1000" t="n">
        <v>2019</v>
      </c>
      <c r="C1000" t="n">
        <v>1</v>
      </c>
      <c r="D1000" t="n">
        <v>6798</v>
      </c>
      <c r="E1000" t="n">
        <v>7</v>
      </c>
      <c r="F1000" t="n">
        <v>6</v>
      </c>
      <c r="G1000" t="n">
        <v>6785</v>
      </c>
      <c r="H1000" t="n">
        <v>5934</v>
      </c>
      <c r="I1000" t="n">
        <v>4305</v>
      </c>
      <c r="J1000" t="n">
        <v>70164.70000000004</v>
      </c>
      <c r="K1000" t="n">
        <v>6795</v>
      </c>
      <c r="L1000" t="n">
        <v>10115</v>
      </c>
      <c r="M1000" t="n">
        <v>19692</v>
      </c>
      <c r="N1000" t="n">
        <v>449</v>
      </c>
      <c r="O1000" t="n">
        <v>1489</v>
      </c>
      <c r="P1000" t="n">
        <v>1245</v>
      </c>
    </row>
    <row r="1001">
      <c r="A1001" t="inlineStr">
        <is>
          <t>HA</t>
        </is>
      </c>
      <c r="B1001" t="n">
        <v>2019</v>
      </c>
      <c r="C1001" t="n">
        <v>2</v>
      </c>
      <c r="D1001" t="n">
        <v>6033</v>
      </c>
      <c r="E1001" t="n">
        <v>13</v>
      </c>
      <c r="F1001" t="n">
        <v>6</v>
      </c>
      <c r="G1001" t="n">
        <v>6014</v>
      </c>
      <c r="H1001" t="n">
        <v>4952</v>
      </c>
      <c r="I1001" t="n">
        <v>35287</v>
      </c>
      <c r="J1001" t="n">
        <v>63434.50000000004</v>
      </c>
      <c r="K1001" t="n">
        <v>6032</v>
      </c>
      <c r="L1001" t="n">
        <v>16359</v>
      </c>
      <c r="M1001" t="n">
        <v>29924</v>
      </c>
      <c r="N1001" t="n">
        <v>293</v>
      </c>
      <c r="O1001" t="n">
        <v>4448</v>
      </c>
      <c r="P1001" t="n">
        <v>33</v>
      </c>
    </row>
    <row r="1002">
      <c r="A1002" t="inlineStr">
        <is>
          <t>HA</t>
        </is>
      </c>
      <c r="B1002" t="n">
        <v>2019</v>
      </c>
      <c r="C1002" t="n">
        <v>3</v>
      </c>
      <c r="D1002" t="n">
        <v>6858</v>
      </c>
      <c r="E1002" t="n">
        <v>8</v>
      </c>
      <c r="F1002" t="n">
        <v>4</v>
      </c>
      <c r="G1002" t="n">
        <v>6846</v>
      </c>
      <c r="H1002" t="n">
        <v>5988</v>
      </c>
      <c r="I1002" t="n">
        <v>2728</v>
      </c>
      <c r="J1002" t="n">
        <v>70724.69999999998</v>
      </c>
      <c r="K1002" t="n">
        <v>6858</v>
      </c>
      <c r="L1002" t="n">
        <v>7744</v>
      </c>
      <c r="M1002" t="n">
        <v>17885</v>
      </c>
      <c r="N1002" t="n">
        <v>260</v>
      </c>
      <c r="O1002" t="n">
        <v>859</v>
      </c>
      <c r="P1002" t="n">
        <v>124</v>
      </c>
    </row>
    <row r="1003">
      <c r="A1003" t="inlineStr">
        <is>
          <t>HA</t>
        </is>
      </c>
      <c r="B1003" t="n">
        <v>2019</v>
      </c>
      <c r="C1003" t="n">
        <v>4</v>
      </c>
      <c r="D1003" t="n">
        <v>6900</v>
      </c>
      <c r="E1003" t="n">
        <v>7</v>
      </c>
      <c r="F1003" t="n">
        <v>4</v>
      </c>
      <c r="G1003" t="n">
        <v>6889</v>
      </c>
      <c r="H1003" t="n">
        <v>6169</v>
      </c>
      <c r="I1003" t="n">
        <v>-5925</v>
      </c>
      <c r="J1003" t="n">
        <v>69375.90000000017</v>
      </c>
      <c r="K1003" t="n">
        <v>6896</v>
      </c>
      <c r="L1003" t="n">
        <v>6231</v>
      </c>
      <c r="M1003" t="n">
        <v>19760</v>
      </c>
      <c r="N1003" t="n">
        <v>118</v>
      </c>
      <c r="O1003" t="n">
        <v>635</v>
      </c>
      <c r="P1003" t="n">
        <v>67</v>
      </c>
    </row>
    <row r="1004">
      <c r="A1004" t="inlineStr">
        <is>
          <t>HA</t>
        </is>
      </c>
      <c r="B1004" t="n">
        <v>2019</v>
      </c>
      <c r="C1004" t="n">
        <v>5</v>
      </c>
      <c r="D1004" t="n">
        <v>7219</v>
      </c>
      <c r="E1004" t="n">
        <v>2</v>
      </c>
      <c r="F1004" t="n">
        <v>2</v>
      </c>
      <c r="G1004" t="n">
        <v>7215</v>
      </c>
      <c r="H1004" t="n">
        <v>6498</v>
      </c>
      <c r="I1004" t="n">
        <v>-7080</v>
      </c>
      <c r="J1004" t="n">
        <v>68231.20000000001</v>
      </c>
      <c r="K1004" t="n">
        <v>7196</v>
      </c>
      <c r="L1004" t="n">
        <v>5447</v>
      </c>
      <c r="M1004" t="n">
        <v>16977</v>
      </c>
      <c r="N1004" t="n">
        <v>444</v>
      </c>
      <c r="O1004" t="n">
        <v>826</v>
      </c>
      <c r="P1004" t="n">
        <v>278</v>
      </c>
    </row>
    <row r="1005">
      <c r="A1005" t="inlineStr">
        <is>
          <t>HA</t>
        </is>
      </c>
      <c r="B1005" t="n">
        <v>2019</v>
      </c>
      <c r="C1005" t="n">
        <v>6</v>
      </c>
      <c r="D1005" t="n">
        <v>7198</v>
      </c>
      <c r="E1005" t="n">
        <v>25</v>
      </c>
      <c r="F1005" t="n">
        <v>10</v>
      </c>
      <c r="G1005" t="n">
        <v>7163</v>
      </c>
      <c r="H1005" t="n">
        <v>6458</v>
      </c>
      <c r="I1005" t="n">
        <v>10230</v>
      </c>
      <c r="J1005" t="n">
        <v>66981.39999999995</v>
      </c>
      <c r="K1005" t="n">
        <v>7198</v>
      </c>
      <c r="L1005" t="n">
        <v>13656</v>
      </c>
      <c r="M1005" t="n">
        <v>22039</v>
      </c>
      <c r="N1005" t="n">
        <v>282</v>
      </c>
      <c r="O1005" t="n">
        <v>632</v>
      </c>
      <c r="P1005" t="n">
        <v>2257</v>
      </c>
    </row>
    <row r="1006">
      <c r="A1006" t="inlineStr">
        <is>
          <t>HA</t>
        </is>
      </c>
      <c r="B1006" t="n">
        <v>2019</v>
      </c>
      <c r="C1006" t="n">
        <v>7</v>
      </c>
      <c r="D1006" t="n">
        <v>7334</v>
      </c>
      <c r="E1006" t="n">
        <v>5</v>
      </c>
      <c r="F1006" t="n">
        <v>6</v>
      </c>
      <c r="G1006" t="n">
        <v>7323</v>
      </c>
      <c r="H1006" t="n">
        <v>6562</v>
      </c>
      <c r="I1006" t="n">
        <v>7303</v>
      </c>
      <c r="J1006" t="n">
        <v>67546.29999999994</v>
      </c>
      <c r="K1006" t="n">
        <v>7334</v>
      </c>
      <c r="L1006" t="n">
        <v>7948</v>
      </c>
      <c r="M1006" t="n">
        <v>23756</v>
      </c>
      <c r="N1006" t="n">
        <v>680</v>
      </c>
      <c r="O1006" t="n">
        <v>1006</v>
      </c>
      <c r="P1006" t="n">
        <v>152</v>
      </c>
    </row>
    <row r="1007">
      <c r="A1007" t="inlineStr">
        <is>
          <t>HA</t>
        </is>
      </c>
      <c r="B1007" t="n">
        <v>2019</v>
      </c>
      <c r="C1007" t="n">
        <v>8</v>
      </c>
      <c r="D1007" t="n">
        <v>7364</v>
      </c>
      <c r="E1007" t="n">
        <v>16</v>
      </c>
      <c r="F1007" t="n">
        <v>2</v>
      </c>
      <c r="G1007" t="n">
        <v>7346</v>
      </c>
      <c r="H1007" t="n">
        <v>6657</v>
      </c>
      <c r="I1007" t="n">
        <v>236</v>
      </c>
      <c r="J1007" t="n">
        <v>67497.69999999995</v>
      </c>
      <c r="K1007" t="n">
        <v>7363</v>
      </c>
      <c r="L1007" t="n">
        <v>6070</v>
      </c>
      <c r="M1007" t="n">
        <v>21361</v>
      </c>
      <c r="N1007" t="n">
        <v>549</v>
      </c>
      <c r="O1007" t="n">
        <v>254</v>
      </c>
      <c r="P1007" t="n">
        <v>56</v>
      </c>
    </row>
    <row r="1008">
      <c r="A1008" t="inlineStr">
        <is>
          <t>HA</t>
        </is>
      </c>
      <c r="B1008" t="n">
        <v>2019</v>
      </c>
      <c r="C1008" t="n">
        <v>9</v>
      </c>
      <c r="D1008" t="n">
        <v>6876</v>
      </c>
      <c r="E1008" t="n">
        <v>18</v>
      </c>
      <c r="F1008" t="n">
        <v>5</v>
      </c>
      <c r="G1008" t="n">
        <v>6853</v>
      </c>
      <c r="H1008" t="n">
        <v>6240</v>
      </c>
      <c r="I1008" t="n">
        <v>-8497</v>
      </c>
      <c r="J1008" t="n">
        <v>62594.40000000018</v>
      </c>
      <c r="K1008" t="n">
        <v>6874</v>
      </c>
      <c r="L1008" t="n">
        <v>5776</v>
      </c>
      <c r="M1008" t="n">
        <v>18389</v>
      </c>
      <c r="N1008" t="n">
        <v>233</v>
      </c>
      <c r="O1008" t="n">
        <v>95</v>
      </c>
      <c r="P1008" t="n">
        <v>12</v>
      </c>
    </row>
    <row r="1009">
      <c r="A1009" t="inlineStr">
        <is>
          <t>HA</t>
        </is>
      </c>
      <c r="B1009" t="n">
        <v>2019</v>
      </c>
      <c r="C1009" t="n">
        <v>10</v>
      </c>
      <c r="D1009" t="n">
        <v>7121</v>
      </c>
      <c r="E1009" t="n">
        <v>16</v>
      </c>
      <c r="F1009" t="n">
        <v>5</v>
      </c>
      <c r="G1009" t="n">
        <v>7100</v>
      </c>
      <c r="H1009" t="n">
        <v>5976</v>
      </c>
      <c r="I1009" t="n">
        <v>25800</v>
      </c>
      <c r="J1009" t="n">
        <v>68502.50000000019</v>
      </c>
      <c r="K1009" t="n">
        <v>7117</v>
      </c>
      <c r="L1009" t="n">
        <v>20581</v>
      </c>
      <c r="M1009" t="n">
        <v>23010</v>
      </c>
      <c r="N1009" t="n">
        <v>1608</v>
      </c>
      <c r="O1009" t="n">
        <v>1290</v>
      </c>
      <c r="P1009" t="n">
        <v>636</v>
      </c>
    </row>
    <row r="1010">
      <c r="A1010" t="inlineStr">
        <is>
          <t>HA</t>
        </is>
      </c>
      <c r="B1010" t="n">
        <v>2019</v>
      </c>
      <c r="C1010" t="n">
        <v>11</v>
      </c>
      <c r="D1010" t="n">
        <v>6914</v>
      </c>
      <c r="E1010" t="n">
        <v>12</v>
      </c>
      <c r="F1010" t="n">
        <v>14</v>
      </c>
      <c r="G1010" t="n">
        <v>6888</v>
      </c>
      <c r="H1010" t="n">
        <v>6224</v>
      </c>
      <c r="I1010" t="n">
        <v>-10023</v>
      </c>
      <c r="J1010" t="n">
        <v>72715.30000000016</v>
      </c>
      <c r="K1010" t="n">
        <v>6911</v>
      </c>
      <c r="L1010" t="n">
        <v>6000</v>
      </c>
      <c r="M1010" t="n">
        <v>14280</v>
      </c>
      <c r="N1010" t="n">
        <v>312</v>
      </c>
      <c r="O1010" t="n">
        <v>2097</v>
      </c>
      <c r="P1010" t="n">
        <v>422</v>
      </c>
    </row>
    <row r="1011">
      <c r="A1011" t="inlineStr">
        <is>
          <t>HA</t>
        </is>
      </c>
      <c r="B1011" t="n">
        <v>2019</v>
      </c>
      <c r="C1011" t="n">
        <v>12</v>
      </c>
      <c r="D1011" t="n">
        <v>7276</v>
      </c>
      <c r="E1011" t="n">
        <v>8</v>
      </c>
      <c r="F1011" t="n">
        <v>1</v>
      </c>
      <c r="G1011" t="n">
        <v>7267</v>
      </c>
      <c r="H1011" t="n">
        <v>6454</v>
      </c>
      <c r="I1011" t="n">
        <v>-385</v>
      </c>
      <c r="J1011" t="n">
        <v>82658.10000000033</v>
      </c>
      <c r="K1011" t="n">
        <v>7273</v>
      </c>
      <c r="L1011" t="n">
        <v>6678</v>
      </c>
      <c r="M1011" t="n">
        <v>20721</v>
      </c>
      <c r="N1011" t="n">
        <v>369</v>
      </c>
      <c r="O1011" t="n">
        <v>452</v>
      </c>
      <c r="P1011" t="n">
        <v>159</v>
      </c>
    </row>
    <row r="1012">
      <c r="A1012" t="inlineStr">
        <is>
          <t>HA</t>
        </is>
      </c>
      <c r="B1012" t="n">
        <v>2020</v>
      </c>
      <c r="C1012" t="n">
        <v>1</v>
      </c>
      <c r="D1012" t="n">
        <v>7035</v>
      </c>
      <c r="E1012" t="n">
        <v>17</v>
      </c>
      <c r="F1012" t="n">
        <v>3</v>
      </c>
      <c r="G1012" t="n">
        <v>7015</v>
      </c>
      <c r="H1012" t="n">
        <v>6327</v>
      </c>
      <c r="I1012" t="n">
        <v>-7420</v>
      </c>
      <c r="J1012" t="n">
        <v>84384.60000000009</v>
      </c>
      <c r="K1012" t="n">
        <v>7034</v>
      </c>
      <c r="L1012" t="n">
        <v>6003</v>
      </c>
      <c r="M1012" t="n">
        <v>17683</v>
      </c>
      <c r="N1012" t="n">
        <v>221</v>
      </c>
      <c r="O1012" t="n">
        <v>529</v>
      </c>
      <c r="P1012" t="n">
        <v>22</v>
      </c>
    </row>
    <row r="1013">
      <c r="A1013" t="inlineStr">
        <is>
          <t>HA</t>
        </is>
      </c>
      <c r="B1013" t="n">
        <v>2020</v>
      </c>
      <c r="C1013" t="n">
        <v>2</v>
      </c>
      <c r="D1013" t="n">
        <v>6509</v>
      </c>
      <c r="E1013" t="n">
        <v>32</v>
      </c>
      <c r="F1013" t="n">
        <v>2</v>
      </c>
      <c r="G1013" t="n">
        <v>6475</v>
      </c>
      <c r="H1013" t="n">
        <v>5905</v>
      </c>
      <c r="I1013" t="n">
        <v>-21943</v>
      </c>
      <c r="J1013" t="n">
        <v>79188.3000000001</v>
      </c>
      <c r="K1013" t="n">
        <v>6509</v>
      </c>
      <c r="L1013" t="n">
        <v>6356</v>
      </c>
      <c r="M1013" t="n">
        <v>16040</v>
      </c>
      <c r="N1013" t="n">
        <v>264</v>
      </c>
      <c r="O1013" t="n">
        <v>713</v>
      </c>
      <c r="P1013" t="n">
        <v>283</v>
      </c>
    </row>
    <row r="1014">
      <c r="A1014" t="inlineStr">
        <is>
          <t>HA</t>
        </is>
      </c>
      <c r="B1014" t="n">
        <v>2020</v>
      </c>
      <c r="C1014" t="n">
        <v>3</v>
      </c>
      <c r="D1014" t="n">
        <v>6773</v>
      </c>
      <c r="E1014" t="n">
        <v>618</v>
      </c>
      <c r="F1014" t="n">
        <v>22</v>
      </c>
      <c r="G1014" t="n">
        <v>6133</v>
      </c>
      <c r="H1014" t="n">
        <v>5569</v>
      </c>
      <c r="I1014" t="n">
        <v>-12067</v>
      </c>
      <c r="J1014" t="n">
        <v>81519.20000000003</v>
      </c>
      <c r="K1014" t="n">
        <v>6732</v>
      </c>
      <c r="L1014" t="n">
        <v>14071</v>
      </c>
      <c r="M1014" t="n">
        <v>17891</v>
      </c>
      <c r="N1014" t="n">
        <v>733</v>
      </c>
      <c r="O1014" t="n">
        <v>1927</v>
      </c>
      <c r="P1014" t="n">
        <v>30</v>
      </c>
    </row>
    <row r="1015">
      <c r="A1015" t="inlineStr">
        <is>
          <t>HA</t>
        </is>
      </c>
      <c r="B1015" t="n">
        <v>2020</v>
      </c>
      <c r="C1015" t="n">
        <v>4</v>
      </c>
      <c r="D1015" t="n">
        <v>1408</v>
      </c>
      <c r="E1015" t="n">
        <v>288</v>
      </c>
      <c r="F1015" t="n">
        <v>0</v>
      </c>
      <c r="G1015" t="n">
        <v>1120</v>
      </c>
      <c r="H1015" t="n">
        <v>1100</v>
      </c>
      <c r="I1015" t="n">
        <v>-14796</v>
      </c>
      <c r="J1015" t="n">
        <v>11665.5</v>
      </c>
      <c r="K1015" t="n">
        <v>1408</v>
      </c>
      <c r="L1015" t="n">
        <v>225</v>
      </c>
      <c r="M1015" t="n">
        <v>778</v>
      </c>
      <c r="N1015" t="n">
        <v>0</v>
      </c>
      <c r="O1015" t="n">
        <v>0</v>
      </c>
      <c r="P1015" t="n">
        <v>0</v>
      </c>
    </row>
    <row r="1016">
      <c r="A1016" t="inlineStr">
        <is>
          <t>HA</t>
        </is>
      </c>
      <c r="B1016" t="n">
        <v>2020</v>
      </c>
      <c r="C1016" t="n">
        <v>5</v>
      </c>
      <c r="D1016" t="n">
        <v>1283</v>
      </c>
      <c r="E1016" t="n">
        <v>2</v>
      </c>
      <c r="F1016" t="n">
        <v>1</v>
      </c>
      <c r="G1016" t="n">
        <v>1280</v>
      </c>
      <c r="H1016" t="n">
        <v>1232</v>
      </c>
      <c r="I1016" t="n">
        <v>-14024</v>
      </c>
      <c r="J1016" t="n">
        <v>11439</v>
      </c>
      <c r="K1016" t="n">
        <v>1283</v>
      </c>
      <c r="L1016" t="n">
        <v>248</v>
      </c>
      <c r="M1016" t="n">
        <v>1784</v>
      </c>
      <c r="N1016" t="n">
        <v>0</v>
      </c>
      <c r="O1016" t="n">
        <v>0</v>
      </c>
      <c r="P1016" t="n">
        <v>0</v>
      </c>
    </row>
    <row r="1017">
      <c r="A1017" t="inlineStr">
        <is>
          <t>HA</t>
        </is>
      </c>
      <c r="B1017" t="n">
        <v>2020</v>
      </c>
      <c r="C1017" t="n">
        <v>6</v>
      </c>
      <c r="D1017" t="n">
        <v>1652</v>
      </c>
      <c r="E1017" t="n">
        <v>1</v>
      </c>
      <c r="F1017" t="n">
        <v>0</v>
      </c>
      <c r="G1017" t="n">
        <v>1651</v>
      </c>
      <c r="H1017" t="n">
        <v>1568</v>
      </c>
      <c r="I1017" t="n">
        <v>-5294</v>
      </c>
      <c r="J1017" t="n">
        <v>10996</v>
      </c>
      <c r="K1017" t="n">
        <v>1652</v>
      </c>
      <c r="L1017" t="n">
        <v>767</v>
      </c>
      <c r="M1017" t="n">
        <v>1986</v>
      </c>
      <c r="N1017" t="n">
        <v>0</v>
      </c>
      <c r="O1017" t="n">
        <v>0</v>
      </c>
      <c r="P1017" t="n">
        <v>70</v>
      </c>
    </row>
    <row r="1018">
      <c r="A1018" t="inlineStr">
        <is>
          <t>HA</t>
        </is>
      </c>
      <c r="B1018" t="n">
        <v>2020</v>
      </c>
      <c r="C1018" t="n">
        <v>7</v>
      </c>
      <c r="D1018" t="n">
        <v>2870</v>
      </c>
      <c r="E1018" t="n">
        <v>119</v>
      </c>
      <c r="F1018" t="n">
        <v>0</v>
      </c>
      <c r="G1018" t="n">
        <v>2751</v>
      </c>
      <c r="H1018" t="n">
        <v>2624</v>
      </c>
      <c r="I1018" t="n">
        <v>-7017</v>
      </c>
      <c r="J1018" t="n">
        <v>12127.8</v>
      </c>
      <c r="K1018" t="n">
        <v>2819</v>
      </c>
      <c r="L1018" t="n">
        <v>1852</v>
      </c>
      <c r="M1018" t="n">
        <v>3800</v>
      </c>
      <c r="N1018" t="n">
        <v>9</v>
      </c>
      <c r="O1018" t="n">
        <v>0</v>
      </c>
      <c r="P1018" t="n">
        <v>6</v>
      </c>
    </row>
    <row r="1019">
      <c r="A1019" t="inlineStr">
        <is>
          <t>HA</t>
        </is>
      </c>
      <c r="B1019" t="n">
        <v>2020</v>
      </c>
      <c r="C1019" t="n">
        <v>8</v>
      </c>
      <c r="D1019" t="n">
        <v>2520</v>
      </c>
      <c r="E1019" t="n">
        <v>260</v>
      </c>
      <c r="F1019" t="n">
        <v>1</v>
      </c>
      <c r="G1019" t="n">
        <v>2259</v>
      </c>
      <c r="H1019" t="n">
        <v>2207</v>
      </c>
      <c r="I1019" t="n">
        <v>-12157</v>
      </c>
      <c r="J1019" t="n">
        <v>14590.80000000001</v>
      </c>
      <c r="K1019" t="n">
        <v>2466</v>
      </c>
      <c r="L1019" t="n">
        <v>147</v>
      </c>
      <c r="M1019" t="n">
        <v>1912</v>
      </c>
      <c r="N1019" t="n">
        <v>0</v>
      </c>
      <c r="O1019" t="n">
        <v>0</v>
      </c>
      <c r="P1019" t="n">
        <v>11</v>
      </c>
    </row>
    <row r="1020">
      <c r="A1020" t="inlineStr">
        <is>
          <t>HA</t>
        </is>
      </c>
      <c r="B1020" t="n">
        <v>2020</v>
      </c>
      <c r="C1020" t="n">
        <v>9</v>
      </c>
      <c r="D1020" t="n">
        <v>1512</v>
      </c>
      <c r="E1020" t="n">
        <v>3</v>
      </c>
      <c r="F1020" t="n">
        <v>1</v>
      </c>
      <c r="G1020" t="n">
        <v>1508</v>
      </c>
      <c r="H1020" t="n">
        <v>1450</v>
      </c>
      <c r="I1020" t="n">
        <v>-6712</v>
      </c>
      <c r="J1020" t="n">
        <v>10191.4</v>
      </c>
      <c r="K1020" t="n">
        <v>1512</v>
      </c>
      <c r="L1020" t="n">
        <v>285</v>
      </c>
      <c r="M1020" t="n">
        <v>2183</v>
      </c>
      <c r="N1020" t="n">
        <v>0</v>
      </c>
      <c r="O1020" t="n">
        <v>0</v>
      </c>
      <c r="P1020" t="n">
        <v>0</v>
      </c>
    </row>
    <row r="1021">
      <c r="A1021" t="inlineStr">
        <is>
          <t>HA</t>
        </is>
      </c>
      <c r="B1021" t="n">
        <v>2020</v>
      </c>
      <c r="C1021" t="n">
        <v>10</v>
      </c>
      <c r="D1021" t="n">
        <v>2799</v>
      </c>
      <c r="E1021" t="n">
        <v>734</v>
      </c>
      <c r="F1021" t="n">
        <v>0</v>
      </c>
      <c r="G1021" t="n">
        <v>2065</v>
      </c>
      <c r="H1021" t="n">
        <v>1974</v>
      </c>
      <c r="I1021" t="n">
        <v>-9077</v>
      </c>
      <c r="J1021" t="n">
        <v>21143.79999999998</v>
      </c>
      <c r="K1021" t="n">
        <v>2799</v>
      </c>
      <c r="L1021" t="n">
        <v>436</v>
      </c>
      <c r="M1021" t="n">
        <v>2041</v>
      </c>
      <c r="N1021" t="n">
        <v>0</v>
      </c>
      <c r="O1021" t="n">
        <v>60</v>
      </c>
      <c r="P1021" t="n">
        <v>0</v>
      </c>
    </row>
    <row r="1022">
      <c r="A1022" t="inlineStr">
        <is>
          <t>HA</t>
        </is>
      </c>
      <c r="B1022" t="n">
        <v>2020</v>
      </c>
      <c r="C1022" t="n">
        <v>11</v>
      </c>
      <c r="D1022" t="n">
        <v>2914</v>
      </c>
      <c r="E1022" t="n">
        <v>14</v>
      </c>
      <c r="F1022" t="n">
        <v>0</v>
      </c>
      <c r="G1022" t="n">
        <v>2900</v>
      </c>
      <c r="H1022" t="n">
        <v>2735</v>
      </c>
      <c r="I1022" t="n">
        <v>-7466</v>
      </c>
      <c r="J1022" t="n">
        <v>24967.7</v>
      </c>
      <c r="K1022" t="n">
        <v>2914</v>
      </c>
      <c r="L1022" t="n">
        <v>531</v>
      </c>
      <c r="M1022" t="n">
        <v>6838</v>
      </c>
      <c r="N1022" t="n">
        <v>2</v>
      </c>
      <c r="O1022" t="n">
        <v>27</v>
      </c>
      <c r="P1022" t="n">
        <v>26</v>
      </c>
    </row>
    <row r="1023">
      <c r="A1023" t="inlineStr">
        <is>
          <t>HA</t>
        </is>
      </c>
      <c r="B1023" t="n">
        <v>2020</v>
      </c>
      <c r="C1023" t="n">
        <v>12</v>
      </c>
      <c r="D1023" t="n">
        <v>3139</v>
      </c>
      <c r="E1023" t="n">
        <v>56</v>
      </c>
      <c r="F1023" t="n">
        <v>4</v>
      </c>
      <c r="G1023" t="n">
        <v>3079</v>
      </c>
      <c r="H1023" t="n">
        <v>2860</v>
      </c>
      <c r="I1023" t="n">
        <v>-8559</v>
      </c>
      <c r="J1023" t="n">
        <v>33653.60000000001</v>
      </c>
      <c r="K1023" t="n">
        <v>3139</v>
      </c>
      <c r="L1023" t="n">
        <v>1035</v>
      </c>
      <c r="M1023" t="n">
        <v>8282</v>
      </c>
      <c r="N1023" t="n">
        <v>43</v>
      </c>
      <c r="O1023" t="n">
        <v>1504</v>
      </c>
      <c r="P1023" t="n">
        <v>0</v>
      </c>
    </row>
    <row r="1024">
      <c r="A1024" t="inlineStr">
        <is>
          <t>HA</t>
        </is>
      </c>
      <c r="B1024" t="n">
        <v>2021</v>
      </c>
      <c r="C1024" t="n">
        <v>1</v>
      </c>
      <c r="D1024" t="n">
        <v>3199</v>
      </c>
      <c r="E1024" t="n">
        <v>7</v>
      </c>
      <c r="F1024" t="n">
        <v>1</v>
      </c>
      <c r="G1024" t="n">
        <v>3191</v>
      </c>
      <c r="H1024" t="n">
        <v>3030</v>
      </c>
      <c r="I1024" t="n">
        <v>-21216</v>
      </c>
      <c r="J1024" t="n">
        <v>44492.10000000003</v>
      </c>
      <c r="K1024" t="n">
        <v>3199</v>
      </c>
      <c r="L1024" t="n">
        <v>465</v>
      </c>
      <c r="M1024" t="n">
        <v>4707</v>
      </c>
      <c r="N1024" t="n">
        <v>107</v>
      </c>
      <c r="O1024" t="n">
        <v>241</v>
      </c>
      <c r="P1024" t="n">
        <v>15</v>
      </c>
    </row>
    <row r="1025">
      <c r="A1025" t="inlineStr">
        <is>
          <t>HA</t>
        </is>
      </c>
      <c r="B1025" t="n">
        <v>2021</v>
      </c>
      <c r="C1025" t="n">
        <v>2</v>
      </c>
      <c r="D1025" t="n">
        <v>2707</v>
      </c>
      <c r="E1025" t="n">
        <v>4</v>
      </c>
      <c r="F1025" t="n">
        <v>1</v>
      </c>
      <c r="G1025" t="n">
        <v>2702</v>
      </c>
      <c r="H1025" t="n">
        <v>2572</v>
      </c>
      <c r="I1025" t="n">
        <v>-13452</v>
      </c>
      <c r="J1025" t="n">
        <v>38883.40000000005</v>
      </c>
      <c r="K1025" t="n">
        <v>2707</v>
      </c>
      <c r="L1025" t="n">
        <v>858</v>
      </c>
      <c r="M1025" t="n">
        <v>4330</v>
      </c>
      <c r="N1025" t="n">
        <v>0</v>
      </c>
      <c r="O1025" t="n">
        <v>3108</v>
      </c>
      <c r="P1025" t="n">
        <v>0</v>
      </c>
    </row>
    <row r="1026">
      <c r="A1026" t="inlineStr">
        <is>
          <t>HA</t>
        </is>
      </c>
      <c r="B1026" t="n">
        <v>2021</v>
      </c>
      <c r="C1026" t="n">
        <v>3</v>
      </c>
      <c r="D1026" t="n">
        <v>3268</v>
      </c>
      <c r="E1026" t="n">
        <v>7</v>
      </c>
      <c r="F1026" t="n">
        <v>1</v>
      </c>
      <c r="G1026" t="n">
        <v>3260</v>
      </c>
      <c r="H1026" t="n">
        <v>2883</v>
      </c>
      <c r="I1026" t="n">
        <v>-4175</v>
      </c>
      <c r="J1026" t="n">
        <v>48296.99999999996</v>
      </c>
      <c r="K1026" t="n">
        <v>3262</v>
      </c>
      <c r="L1026" t="n">
        <v>2713</v>
      </c>
      <c r="M1026" t="n">
        <v>10889</v>
      </c>
      <c r="N1026" t="n">
        <v>121</v>
      </c>
      <c r="O1026" t="n">
        <v>456</v>
      </c>
      <c r="P1026" t="n">
        <v>74</v>
      </c>
    </row>
    <row r="1027">
      <c r="A1027" t="inlineStr">
        <is>
          <t>HA</t>
        </is>
      </c>
      <c r="B1027" t="n">
        <v>2021</v>
      </c>
      <c r="C1027" t="n">
        <v>4</v>
      </c>
      <c r="D1027" t="n">
        <v>4032</v>
      </c>
      <c r="E1027" t="n">
        <v>4</v>
      </c>
      <c r="F1027" t="n">
        <v>2</v>
      </c>
      <c r="G1027" t="n">
        <v>4026</v>
      </c>
      <c r="H1027" t="n">
        <v>3686</v>
      </c>
      <c r="I1027" t="n">
        <v>-9312</v>
      </c>
      <c r="J1027" t="n">
        <v>55284.49999999991</v>
      </c>
      <c r="K1027" t="n">
        <v>4024</v>
      </c>
      <c r="L1027" t="n">
        <v>2707</v>
      </c>
      <c r="M1027" t="n">
        <v>10523</v>
      </c>
      <c r="N1027" t="n">
        <v>369</v>
      </c>
      <c r="O1027" t="n">
        <v>68</v>
      </c>
      <c r="P1027" t="n">
        <v>356</v>
      </c>
    </row>
    <row r="1028">
      <c r="A1028" t="inlineStr">
        <is>
          <t>HA</t>
        </is>
      </c>
      <c r="B1028" t="n">
        <v>2021</v>
      </c>
      <c r="C1028" t="n">
        <v>5</v>
      </c>
      <c r="D1028" t="n">
        <v>4580</v>
      </c>
      <c r="E1028" t="n">
        <v>2</v>
      </c>
      <c r="F1028" t="n">
        <v>3</v>
      </c>
      <c r="G1028" t="n">
        <v>4575</v>
      </c>
      <c r="H1028" t="n">
        <v>4260</v>
      </c>
      <c r="I1028" t="n">
        <v>-6415</v>
      </c>
      <c r="J1028" t="n">
        <v>57458.69999999996</v>
      </c>
      <c r="K1028" t="n">
        <v>4561</v>
      </c>
      <c r="L1028" t="n">
        <v>2063</v>
      </c>
      <c r="M1028" t="n">
        <v>13641</v>
      </c>
      <c r="N1028" t="n">
        <v>17</v>
      </c>
      <c r="O1028" t="n">
        <v>43</v>
      </c>
      <c r="P1028" t="n">
        <v>65</v>
      </c>
    </row>
    <row r="1029">
      <c r="A1029" t="inlineStr">
        <is>
          <t>HA</t>
        </is>
      </c>
      <c r="B1029" t="n">
        <v>2021</v>
      </c>
      <c r="C1029" t="n">
        <v>6</v>
      </c>
      <c r="D1029" t="n">
        <v>5980</v>
      </c>
      <c r="E1029" t="n">
        <v>2</v>
      </c>
      <c r="F1029" t="n">
        <v>4</v>
      </c>
      <c r="G1029" t="n">
        <v>5974</v>
      </c>
      <c r="H1029" t="n">
        <v>5245</v>
      </c>
      <c r="I1029" t="n">
        <v>1754</v>
      </c>
      <c r="J1029" t="n">
        <v>65536.89999999995</v>
      </c>
      <c r="K1029" t="n">
        <v>5980</v>
      </c>
      <c r="L1029" t="n">
        <v>7226</v>
      </c>
      <c r="M1029" t="n">
        <v>18281</v>
      </c>
      <c r="N1029" t="n">
        <v>232</v>
      </c>
      <c r="O1029" t="n">
        <v>59</v>
      </c>
      <c r="P1029" t="n">
        <v>193</v>
      </c>
    </row>
    <row r="1030">
      <c r="A1030" t="inlineStr">
        <is>
          <t>HA</t>
        </is>
      </c>
      <c r="B1030" t="n">
        <v>2021</v>
      </c>
      <c r="C1030" t="n">
        <v>7</v>
      </c>
      <c r="D1030" t="n">
        <v>6214</v>
      </c>
      <c r="E1030" t="n">
        <v>13</v>
      </c>
      <c r="F1030" t="n">
        <v>3</v>
      </c>
      <c r="G1030" t="n">
        <v>6198</v>
      </c>
      <c r="H1030" t="n">
        <v>5480</v>
      </c>
      <c r="I1030" t="n">
        <v>5604</v>
      </c>
      <c r="J1030" t="n">
        <v>64485.10000000001</v>
      </c>
      <c r="K1030" t="n">
        <v>6214</v>
      </c>
      <c r="L1030" t="n">
        <v>7183</v>
      </c>
      <c r="M1030" t="n">
        <v>18966</v>
      </c>
      <c r="N1030" t="n">
        <v>183</v>
      </c>
      <c r="O1030" t="n">
        <v>270</v>
      </c>
      <c r="P1030" t="n">
        <v>189</v>
      </c>
    </row>
    <row r="1031">
      <c r="A1031" t="inlineStr">
        <is>
          <t>HA</t>
        </is>
      </c>
      <c r="B1031" t="n">
        <v>2021</v>
      </c>
      <c r="C1031" t="n">
        <v>8</v>
      </c>
      <c r="D1031" t="n">
        <v>6518</v>
      </c>
      <c r="E1031" t="n">
        <v>53</v>
      </c>
      <c r="F1031" t="n">
        <v>2</v>
      </c>
      <c r="G1031" t="n">
        <v>6463</v>
      </c>
      <c r="H1031" t="n">
        <v>5897</v>
      </c>
      <c r="I1031" t="n">
        <v>-12553</v>
      </c>
      <c r="J1031" t="n">
        <v>66498.09999999993</v>
      </c>
      <c r="K1031" t="n">
        <v>6518</v>
      </c>
      <c r="L1031" t="n">
        <v>5572</v>
      </c>
      <c r="M1031" t="n">
        <v>16407</v>
      </c>
      <c r="N1031" t="n">
        <v>294</v>
      </c>
      <c r="O1031" t="n">
        <v>17</v>
      </c>
      <c r="P1031" t="n">
        <v>174</v>
      </c>
    </row>
    <row r="1032">
      <c r="A1032" t="inlineStr">
        <is>
          <t>HA</t>
        </is>
      </c>
      <c r="B1032" t="n">
        <v>2021</v>
      </c>
      <c r="C1032" t="n">
        <v>9</v>
      </c>
      <c r="D1032" t="n">
        <v>6233</v>
      </c>
      <c r="E1032" t="n">
        <v>36</v>
      </c>
      <c r="F1032" t="n">
        <v>3</v>
      </c>
      <c r="G1032" t="n">
        <v>6194</v>
      </c>
      <c r="H1032" t="n">
        <v>5860</v>
      </c>
      <c r="I1032" t="n">
        <v>-28496</v>
      </c>
      <c r="J1032" t="n">
        <v>62689.90000000029</v>
      </c>
      <c r="K1032" t="n">
        <v>6225</v>
      </c>
      <c r="L1032" t="n">
        <v>1949</v>
      </c>
      <c r="M1032" t="n">
        <v>10841</v>
      </c>
      <c r="N1032" t="n">
        <v>98</v>
      </c>
      <c r="O1032" t="n">
        <v>38</v>
      </c>
      <c r="P1032" t="n">
        <v>9</v>
      </c>
    </row>
    <row r="1033">
      <c r="A1033" t="inlineStr">
        <is>
          <t>HA</t>
        </is>
      </c>
      <c r="B1033" t="n">
        <v>2021</v>
      </c>
      <c r="C1033" t="n">
        <v>10</v>
      </c>
      <c r="D1033" t="n">
        <v>5856</v>
      </c>
      <c r="E1033" t="n">
        <v>9</v>
      </c>
      <c r="F1033" t="n">
        <v>5</v>
      </c>
      <c r="G1033" t="n">
        <v>5842</v>
      </c>
      <c r="H1033" t="n">
        <v>5509</v>
      </c>
      <c r="I1033" t="n">
        <v>-21268</v>
      </c>
      <c r="J1033" t="n">
        <v>62124.10000000006</v>
      </c>
      <c r="K1033" t="n">
        <v>5847</v>
      </c>
      <c r="L1033" t="n">
        <v>2042</v>
      </c>
      <c r="M1033" t="n">
        <v>10686</v>
      </c>
      <c r="N1033" t="n">
        <v>40</v>
      </c>
      <c r="O1033" t="n">
        <v>735</v>
      </c>
      <c r="P1033" t="n">
        <v>52</v>
      </c>
    </row>
    <row r="1034">
      <c r="A1034" t="inlineStr">
        <is>
          <t>HA</t>
        </is>
      </c>
      <c r="B1034" t="n">
        <v>2021</v>
      </c>
      <c r="C1034" t="n">
        <v>11</v>
      </c>
      <c r="D1034" t="n">
        <v>5749</v>
      </c>
      <c r="E1034" t="n">
        <v>4</v>
      </c>
      <c r="F1034" t="n">
        <v>7</v>
      </c>
      <c r="G1034" t="n">
        <v>5738</v>
      </c>
      <c r="H1034" t="n">
        <v>5354</v>
      </c>
      <c r="I1034" t="n">
        <v>-10587</v>
      </c>
      <c r="J1034" t="n">
        <v>69426.80000000018</v>
      </c>
      <c r="K1034" t="n">
        <v>5737</v>
      </c>
      <c r="L1034" t="n">
        <v>2976</v>
      </c>
      <c r="M1034" t="n">
        <v>18024</v>
      </c>
      <c r="N1034" t="n">
        <v>101</v>
      </c>
      <c r="O1034" t="n">
        <v>817</v>
      </c>
      <c r="P1034" t="n">
        <v>45</v>
      </c>
    </row>
    <row r="1035">
      <c r="A1035" t="inlineStr">
        <is>
          <t>HA</t>
        </is>
      </c>
      <c r="B1035" t="n">
        <v>2021</v>
      </c>
      <c r="C1035" t="n">
        <v>12</v>
      </c>
      <c r="D1035" t="n">
        <v>6206</v>
      </c>
      <c r="E1035" t="n">
        <v>123</v>
      </c>
      <c r="F1035" t="n">
        <v>9</v>
      </c>
      <c r="G1035" t="n">
        <v>6074</v>
      </c>
      <c r="H1035" t="n">
        <v>4800</v>
      </c>
      <c r="I1035" t="n">
        <v>46090</v>
      </c>
      <c r="J1035" t="n">
        <v>80717.89999999994</v>
      </c>
      <c r="K1035" t="n">
        <v>6192</v>
      </c>
      <c r="L1035" t="n">
        <v>22809</v>
      </c>
      <c r="M1035" t="n">
        <v>39262</v>
      </c>
      <c r="N1035" t="n">
        <v>548</v>
      </c>
      <c r="O1035" t="n">
        <v>4437</v>
      </c>
      <c r="P1035" t="n">
        <v>106</v>
      </c>
    </row>
    <row r="1036">
      <c r="A1036" t="inlineStr">
        <is>
          <t>HA</t>
        </is>
      </c>
      <c r="B1036" t="n">
        <v>2022</v>
      </c>
      <c r="C1036" t="n">
        <v>1</v>
      </c>
      <c r="D1036" t="n">
        <v>5868</v>
      </c>
      <c r="E1036" t="n">
        <v>217</v>
      </c>
      <c r="F1036" t="n">
        <v>11</v>
      </c>
      <c r="G1036" t="n">
        <v>5640</v>
      </c>
      <c r="H1036" t="n">
        <v>4571</v>
      </c>
      <c r="I1036" t="n">
        <v>38827</v>
      </c>
      <c r="J1036" t="n">
        <v>76232.89999999969</v>
      </c>
      <c r="K1036" t="n">
        <v>5814</v>
      </c>
      <c r="L1036" t="n">
        <v>28574</v>
      </c>
      <c r="M1036" t="n">
        <v>32110</v>
      </c>
      <c r="N1036" t="n">
        <v>94</v>
      </c>
      <c r="O1036" t="n">
        <v>3925</v>
      </c>
      <c r="P1036" t="n">
        <v>205</v>
      </c>
    </row>
    <row r="1037">
      <c r="A1037" t="inlineStr">
        <is>
          <t>HA</t>
        </is>
      </c>
      <c r="B1037" t="n">
        <v>2022</v>
      </c>
      <c r="C1037" t="n">
        <v>2</v>
      </c>
      <c r="D1037" t="n">
        <v>4984</v>
      </c>
      <c r="E1037" t="n">
        <v>11</v>
      </c>
      <c r="F1037" t="n">
        <v>4</v>
      </c>
      <c r="G1037" t="n">
        <v>4969</v>
      </c>
      <c r="H1037" t="n">
        <v>4343</v>
      </c>
      <c r="I1037" t="n">
        <v>5532</v>
      </c>
      <c r="J1037" t="n">
        <v>62845.70000000016</v>
      </c>
      <c r="K1037" t="n">
        <v>4970</v>
      </c>
      <c r="L1037" t="n">
        <v>6642</v>
      </c>
      <c r="M1037" t="n">
        <v>19581</v>
      </c>
      <c r="N1037" t="n">
        <v>33</v>
      </c>
      <c r="O1037" t="n">
        <v>2185</v>
      </c>
      <c r="P1037" t="n">
        <v>296</v>
      </c>
    </row>
    <row r="1038">
      <c r="A1038" t="inlineStr">
        <is>
          <t>HA</t>
        </is>
      </c>
      <c r="B1038" t="n">
        <v>2022</v>
      </c>
      <c r="C1038" t="n">
        <v>3</v>
      </c>
      <c r="D1038" t="n">
        <v>6009</v>
      </c>
      <c r="E1038" t="n">
        <v>24</v>
      </c>
      <c r="F1038" t="n">
        <v>5</v>
      </c>
      <c r="G1038" t="n">
        <v>5980</v>
      </c>
      <c r="H1038" t="n">
        <v>5085</v>
      </c>
      <c r="I1038" t="n">
        <v>16142</v>
      </c>
      <c r="J1038" t="n">
        <v>72089.09999999989</v>
      </c>
      <c r="K1038" t="n">
        <v>5995</v>
      </c>
      <c r="L1038" t="n">
        <v>9564</v>
      </c>
      <c r="M1038" t="n">
        <v>21339</v>
      </c>
      <c r="N1038" t="n">
        <v>1253</v>
      </c>
      <c r="O1038" t="n">
        <v>733</v>
      </c>
      <c r="P1038" t="n">
        <v>121</v>
      </c>
    </row>
    <row r="1039">
      <c r="A1039" t="inlineStr">
        <is>
          <t>HA</t>
        </is>
      </c>
      <c r="B1039" t="n">
        <v>2022</v>
      </c>
      <c r="C1039" t="n">
        <v>4</v>
      </c>
      <c r="D1039" t="n">
        <v>6019</v>
      </c>
      <c r="E1039" t="n">
        <v>82</v>
      </c>
      <c r="F1039" t="n">
        <v>2</v>
      </c>
      <c r="G1039" t="n">
        <v>5935</v>
      </c>
      <c r="H1039" t="n">
        <v>4862</v>
      </c>
      <c r="I1039" t="n">
        <v>29260</v>
      </c>
      <c r="J1039" t="n">
        <v>68938.39999999991</v>
      </c>
      <c r="K1039" t="n">
        <v>6015</v>
      </c>
      <c r="L1039" t="n">
        <v>13709</v>
      </c>
      <c r="M1039" t="n">
        <v>27320</v>
      </c>
      <c r="N1039" t="n">
        <v>330</v>
      </c>
      <c r="O1039" t="n">
        <v>186</v>
      </c>
      <c r="P1039" t="n">
        <v>205</v>
      </c>
    </row>
    <row r="1040">
      <c r="A1040" t="inlineStr">
        <is>
          <t>HA</t>
        </is>
      </c>
      <c r="B1040" t="n">
        <v>2022</v>
      </c>
      <c r="C1040" t="n">
        <v>5</v>
      </c>
      <c r="D1040" t="n">
        <v>6292</v>
      </c>
      <c r="E1040" t="n">
        <v>4</v>
      </c>
      <c r="F1040" t="n">
        <v>5</v>
      </c>
      <c r="G1040" t="n">
        <v>6283</v>
      </c>
      <c r="H1040" t="n">
        <v>5410</v>
      </c>
      <c r="I1040" t="n">
        <v>12496</v>
      </c>
      <c r="J1040" t="n">
        <v>69470.80000000005</v>
      </c>
      <c r="K1040" t="n">
        <v>6283</v>
      </c>
      <c r="L1040" t="n">
        <v>9639</v>
      </c>
      <c r="M1040" t="n">
        <v>17748</v>
      </c>
      <c r="N1040" t="n">
        <v>329</v>
      </c>
      <c r="O1040" t="n">
        <v>344</v>
      </c>
      <c r="P1040" t="n">
        <v>129</v>
      </c>
    </row>
    <row r="1041">
      <c r="A1041" t="inlineStr">
        <is>
          <t>HA</t>
        </is>
      </c>
      <c r="B1041" t="n">
        <v>2022</v>
      </c>
      <c r="C1041" t="n">
        <v>6</v>
      </c>
      <c r="D1041" t="n">
        <v>6286</v>
      </c>
      <c r="E1041" t="n">
        <v>7</v>
      </c>
      <c r="F1041" t="n">
        <v>6</v>
      </c>
      <c r="G1041" t="n">
        <v>6273</v>
      </c>
      <c r="H1041" t="n">
        <v>4855</v>
      </c>
      <c r="I1041" t="n">
        <v>40588</v>
      </c>
      <c r="J1041" t="n">
        <v>69188.80000000002</v>
      </c>
      <c r="K1041" t="n">
        <v>6281</v>
      </c>
      <c r="L1041" t="n">
        <v>15306</v>
      </c>
      <c r="M1041" t="n">
        <v>32875</v>
      </c>
      <c r="N1041" t="n">
        <v>1357</v>
      </c>
      <c r="O1041" t="n">
        <v>175</v>
      </c>
      <c r="P1041" t="n">
        <v>782</v>
      </c>
    </row>
    <row r="1042">
      <c r="A1042" t="inlineStr">
        <is>
          <t>HA</t>
        </is>
      </c>
      <c r="B1042" t="n">
        <v>2022</v>
      </c>
      <c r="C1042" t="n">
        <v>7</v>
      </c>
      <c r="D1042" t="n">
        <v>6754</v>
      </c>
      <c r="E1042" t="n">
        <v>6</v>
      </c>
      <c r="F1042" t="n">
        <v>7</v>
      </c>
      <c r="G1042" t="n">
        <v>6741</v>
      </c>
      <c r="H1042" t="n">
        <v>5450</v>
      </c>
      <c r="I1042" t="n">
        <v>44908</v>
      </c>
      <c r="J1042" t="n">
        <v>69524.10000000011</v>
      </c>
      <c r="K1042" t="n">
        <v>6754</v>
      </c>
      <c r="L1042" t="n">
        <v>16864</v>
      </c>
      <c r="M1042" t="n">
        <v>34539</v>
      </c>
      <c r="N1042" t="n">
        <v>374</v>
      </c>
      <c r="O1042" t="n">
        <v>1709</v>
      </c>
      <c r="P1042" t="n">
        <v>623</v>
      </c>
    </row>
    <row r="1043">
      <c r="A1043" t="inlineStr">
        <is>
          <t>HA</t>
        </is>
      </c>
      <c r="B1043" t="n">
        <v>2022</v>
      </c>
      <c r="C1043" t="n">
        <v>8</v>
      </c>
      <c r="D1043" t="n">
        <v>6514</v>
      </c>
      <c r="E1043" t="n">
        <v>9</v>
      </c>
      <c r="F1043" t="n">
        <v>6</v>
      </c>
      <c r="G1043" t="n">
        <v>6499</v>
      </c>
      <c r="H1043" t="n">
        <v>4790</v>
      </c>
      <c r="I1043" t="n">
        <v>55241</v>
      </c>
      <c r="J1043" t="n">
        <v>62181</v>
      </c>
      <c r="K1043" t="n">
        <v>6514</v>
      </c>
      <c r="L1043" t="n">
        <v>25080</v>
      </c>
      <c r="M1043" t="n">
        <v>35092</v>
      </c>
      <c r="N1043" t="n">
        <v>1517</v>
      </c>
      <c r="O1043" t="n">
        <v>19</v>
      </c>
      <c r="P1043" t="n">
        <v>284</v>
      </c>
    </row>
    <row r="1044">
      <c r="A1044" t="inlineStr">
        <is>
          <t>HA</t>
        </is>
      </c>
      <c r="B1044" t="n">
        <v>2022</v>
      </c>
      <c r="C1044" t="n">
        <v>9</v>
      </c>
      <c r="D1044" t="n">
        <v>6062</v>
      </c>
      <c r="E1044" t="n">
        <v>10</v>
      </c>
      <c r="F1044" t="n">
        <v>5</v>
      </c>
      <c r="G1044" t="n">
        <v>6047</v>
      </c>
      <c r="H1044" t="n">
        <v>5022</v>
      </c>
      <c r="I1044" t="n">
        <v>22746</v>
      </c>
      <c r="J1044" t="n">
        <v>59790.30000000011</v>
      </c>
      <c r="K1044" t="n">
        <v>6057</v>
      </c>
      <c r="L1044" t="n">
        <v>12999</v>
      </c>
      <c r="M1044" t="n">
        <v>20832</v>
      </c>
      <c r="N1044" t="n">
        <v>299</v>
      </c>
      <c r="O1044" t="n">
        <v>190</v>
      </c>
      <c r="P1044" t="n">
        <v>106</v>
      </c>
    </row>
    <row r="1045">
      <c r="A1045" t="inlineStr">
        <is>
          <t>HA</t>
        </is>
      </c>
      <c r="B1045" t="n">
        <v>2022</v>
      </c>
      <c r="C1045" t="n">
        <v>10</v>
      </c>
      <c r="D1045" t="n">
        <v>6258</v>
      </c>
      <c r="E1045" t="n">
        <v>30</v>
      </c>
      <c r="F1045" t="n">
        <v>5</v>
      </c>
      <c r="G1045" t="n">
        <v>6223</v>
      </c>
      <c r="H1045" t="n">
        <v>3640</v>
      </c>
      <c r="I1045" t="n">
        <v>116329</v>
      </c>
      <c r="J1045" t="n">
        <v>66294.90000000017</v>
      </c>
      <c r="K1045" t="n">
        <v>6258</v>
      </c>
      <c r="L1045" t="n">
        <v>55621</v>
      </c>
      <c r="M1045" t="n">
        <v>54787</v>
      </c>
      <c r="N1045" t="n">
        <v>5737</v>
      </c>
      <c r="O1045" t="n">
        <v>1746</v>
      </c>
      <c r="P1045" t="n">
        <v>233</v>
      </c>
    </row>
    <row r="1046">
      <c r="A1046" t="inlineStr">
        <is>
          <t>HA</t>
        </is>
      </c>
      <c r="B1046" t="n">
        <v>2022</v>
      </c>
      <c r="C1046" t="n">
        <v>11</v>
      </c>
      <c r="D1046" t="n">
        <v>6177</v>
      </c>
      <c r="E1046" t="n">
        <v>49</v>
      </c>
      <c r="F1046" t="n">
        <v>8</v>
      </c>
      <c r="G1046" t="n">
        <v>6120</v>
      </c>
      <c r="H1046" t="n">
        <v>4081</v>
      </c>
      <c r="I1046" t="n">
        <v>84725</v>
      </c>
      <c r="J1046" t="n">
        <v>64733.80000000014</v>
      </c>
      <c r="K1046" t="n">
        <v>6176</v>
      </c>
      <c r="L1046" t="n">
        <v>38070</v>
      </c>
      <c r="M1046" t="n">
        <v>46245</v>
      </c>
      <c r="N1046" t="n">
        <v>4610</v>
      </c>
      <c r="O1046" t="n">
        <v>879</v>
      </c>
      <c r="P1046" t="n">
        <v>75</v>
      </c>
    </row>
    <row r="1047">
      <c r="A1047" t="inlineStr">
        <is>
          <t>HA</t>
        </is>
      </c>
      <c r="B1047" t="n">
        <v>2022</v>
      </c>
      <c r="C1047" t="n">
        <v>12</v>
      </c>
      <c r="D1047" t="n">
        <v>6642</v>
      </c>
      <c r="E1047" t="n">
        <v>231</v>
      </c>
      <c r="F1047" t="n">
        <v>19</v>
      </c>
      <c r="G1047" t="n">
        <v>6392</v>
      </c>
      <c r="H1047" t="n">
        <v>3862</v>
      </c>
      <c r="I1047" t="n">
        <v>170822</v>
      </c>
      <c r="J1047" t="n">
        <v>77101.10000000021</v>
      </c>
      <c r="K1047" t="n">
        <v>6620</v>
      </c>
      <c r="L1047" t="n">
        <v>80434</v>
      </c>
      <c r="M1047" t="n">
        <v>67558</v>
      </c>
      <c r="N1047" t="n">
        <v>5475</v>
      </c>
      <c r="O1047" t="n">
        <v>21144</v>
      </c>
      <c r="P1047" t="n">
        <v>163</v>
      </c>
    </row>
    <row r="1048">
      <c r="A1048" t="inlineStr">
        <is>
          <t>HA</t>
        </is>
      </c>
      <c r="B1048" t="n">
        <v>2023</v>
      </c>
      <c r="C1048" t="n">
        <v>1</v>
      </c>
      <c r="D1048" t="n">
        <v>6697</v>
      </c>
      <c r="E1048" t="n">
        <v>72</v>
      </c>
      <c r="F1048" t="n">
        <v>9</v>
      </c>
      <c r="G1048" t="n">
        <v>6616</v>
      </c>
      <c r="H1048" t="n">
        <v>5143</v>
      </c>
      <c r="I1048" t="n">
        <v>60411</v>
      </c>
      <c r="J1048" t="n">
        <v>83543.30000000012</v>
      </c>
      <c r="K1048" t="n">
        <v>6669</v>
      </c>
      <c r="L1048" t="n">
        <v>23636</v>
      </c>
      <c r="M1048" t="n">
        <v>44384</v>
      </c>
      <c r="N1048" t="n">
        <v>2310</v>
      </c>
      <c r="O1048" t="n">
        <v>2578</v>
      </c>
      <c r="P1048" t="n">
        <v>62</v>
      </c>
    </row>
    <row r="1049">
      <c r="A1049" t="inlineStr">
        <is>
          <t>HA</t>
        </is>
      </c>
      <c r="B1049" t="n">
        <v>2023</v>
      </c>
      <c r="C1049" t="n">
        <v>2</v>
      </c>
      <c r="D1049" t="n">
        <v>5997</v>
      </c>
      <c r="E1049" t="n">
        <v>46</v>
      </c>
      <c r="F1049" t="n">
        <v>7</v>
      </c>
      <c r="G1049" t="n">
        <v>5944</v>
      </c>
      <c r="H1049" t="n">
        <v>4406</v>
      </c>
      <c r="I1049" t="n">
        <v>69389</v>
      </c>
      <c r="J1049" t="n">
        <v>70222.90000000007</v>
      </c>
      <c r="K1049" t="n">
        <v>5986</v>
      </c>
      <c r="L1049" t="n">
        <v>27212</v>
      </c>
      <c r="M1049" t="n">
        <v>39888</v>
      </c>
      <c r="N1049" t="n">
        <v>1743</v>
      </c>
      <c r="O1049" t="n">
        <v>7322</v>
      </c>
      <c r="P1049" t="n">
        <v>147</v>
      </c>
    </row>
    <row r="1050">
      <c r="A1050" t="inlineStr">
        <is>
          <t>HA</t>
        </is>
      </c>
      <c r="B1050" t="n">
        <v>2023</v>
      </c>
      <c r="C1050" t="n">
        <v>3</v>
      </c>
      <c r="D1050" t="n">
        <v>6814</v>
      </c>
      <c r="E1050" t="n">
        <v>45</v>
      </c>
      <c r="F1050" t="n">
        <v>7</v>
      </c>
      <c r="G1050" t="n">
        <v>6762</v>
      </c>
      <c r="H1050" t="n">
        <v>4052</v>
      </c>
      <c r="I1050" t="n">
        <v>115393</v>
      </c>
      <c r="J1050" t="n">
        <v>78578.20000000003</v>
      </c>
      <c r="K1050" t="n">
        <v>6745</v>
      </c>
      <c r="L1050" t="n">
        <v>51059</v>
      </c>
      <c r="M1050" t="n">
        <v>53577</v>
      </c>
      <c r="N1050" t="n">
        <v>6447</v>
      </c>
      <c r="O1050" t="n">
        <v>4811</v>
      </c>
      <c r="P1050" t="n">
        <v>513</v>
      </c>
    </row>
    <row r="1051">
      <c r="A1051" t="inlineStr">
        <is>
          <t>HA</t>
        </is>
      </c>
      <c r="B1051" t="n">
        <v>2023</v>
      </c>
      <c r="C1051" t="n">
        <v>4</v>
      </c>
      <c r="D1051" t="n">
        <v>6668</v>
      </c>
      <c r="E1051" t="n">
        <v>111</v>
      </c>
      <c r="F1051" t="n">
        <v>7</v>
      </c>
      <c r="G1051" t="n">
        <v>6550</v>
      </c>
      <c r="H1051" t="n">
        <v>3777</v>
      </c>
      <c r="I1051" t="n">
        <v>125180</v>
      </c>
      <c r="J1051" t="n">
        <v>74419.90000000004</v>
      </c>
      <c r="K1051" t="n">
        <v>6567</v>
      </c>
      <c r="L1051" t="n">
        <v>59415</v>
      </c>
      <c r="M1051" t="n">
        <v>51329</v>
      </c>
      <c r="N1051" t="n">
        <v>17138</v>
      </c>
      <c r="O1051" t="n">
        <v>421</v>
      </c>
      <c r="P1051" t="n">
        <v>208</v>
      </c>
    </row>
    <row r="1052">
      <c r="A1052" t="inlineStr">
        <is>
          <t>HA</t>
        </is>
      </c>
      <c r="B1052" t="n">
        <v>2023</v>
      </c>
      <c r="C1052" t="n">
        <v>5</v>
      </c>
      <c r="D1052" t="n">
        <v>6894</v>
      </c>
      <c r="E1052" t="n">
        <v>179</v>
      </c>
      <c r="F1052" t="n">
        <v>3</v>
      </c>
      <c r="G1052" t="n">
        <v>6712</v>
      </c>
      <c r="H1052" t="n">
        <v>4228</v>
      </c>
      <c r="I1052" t="n">
        <v>144123</v>
      </c>
      <c r="J1052" t="n">
        <v>76193.50000000001</v>
      </c>
      <c r="K1052" t="n">
        <v>6779</v>
      </c>
      <c r="L1052" t="n">
        <v>73231</v>
      </c>
      <c r="M1052" t="n">
        <v>63887</v>
      </c>
      <c r="N1052" t="n">
        <v>11755</v>
      </c>
      <c r="O1052" t="n">
        <v>242</v>
      </c>
      <c r="P1052" t="n">
        <v>631</v>
      </c>
    </row>
    <row r="1053">
      <c r="A1053" t="inlineStr">
        <is>
          <t>HA</t>
        </is>
      </c>
      <c r="B1053" t="n">
        <v>2023</v>
      </c>
      <c r="C1053" t="n">
        <v>6</v>
      </c>
      <c r="D1053" t="n">
        <v>6832</v>
      </c>
      <c r="E1053" t="n">
        <v>88</v>
      </c>
      <c r="F1053" t="n">
        <v>2</v>
      </c>
      <c r="G1053" t="n">
        <v>6742</v>
      </c>
      <c r="H1053" t="n">
        <v>5289</v>
      </c>
      <c r="I1053" t="n">
        <v>43489</v>
      </c>
      <c r="J1053" t="n">
        <v>72682.39999999999</v>
      </c>
      <c r="K1053" t="n">
        <v>6704</v>
      </c>
      <c r="L1053" t="n">
        <v>21688</v>
      </c>
      <c r="M1053" t="n">
        <v>34414</v>
      </c>
      <c r="N1053" t="n">
        <v>400</v>
      </c>
      <c r="O1053" t="n">
        <v>14</v>
      </c>
      <c r="P1053" t="n">
        <v>551</v>
      </c>
    </row>
    <row r="1054">
      <c r="A1054" t="inlineStr">
        <is>
          <t>HA</t>
        </is>
      </c>
      <c r="B1054" t="n">
        <v>2023</v>
      </c>
      <c r="C1054" t="n">
        <v>7</v>
      </c>
      <c r="D1054" t="n">
        <v>7085</v>
      </c>
      <c r="E1054" t="n">
        <v>55</v>
      </c>
      <c r="F1054" t="n">
        <v>8</v>
      </c>
      <c r="G1054" t="n">
        <v>7022</v>
      </c>
      <c r="H1054" t="n">
        <v>5846</v>
      </c>
      <c r="I1054" t="n">
        <v>50395</v>
      </c>
      <c r="J1054" t="n">
        <v>67032.59999999993</v>
      </c>
      <c r="K1054" t="n">
        <v>6952</v>
      </c>
      <c r="L1054" t="n">
        <v>19018</v>
      </c>
      <c r="M1054" t="n">
        <v>46369</v>
      </c>
      <c r="N1054" t="n">
        <v>608</v>
      </c>
      <c r="O1054" t="n">
        <v>325</v>
      </c>
      <c r="P1054" t="n">
        <v>236</v>
      </c>
    </row>
    <row r="1055">
      <c r="A1055" t="inlineStr">
        <is>
          <t>HA</t>
        </is>
      </c>
      <c r="B1055" t="n">
        <v>2023</v>
      </c>
      <c r="C1055" t="n">
        <v>8</v>
      </c>
      <c r="D1055" t="n">
        <v>7024</v>
      </c>
      <c r="E1055" t="n">
        <v>109</v>
      </c>
      <c r="F1055" t="n">
        <v>10</v>
      </c>
      <c r="G1055" t="n">
        <v>6905</v>
      </c>
      <c r="H1055" t="n">
        <v>5766</v>
      </c>
      <c r="I1055" t="n">
        <v>43683</v>
      </c>
      <c r="J1055" t="n">
        <v>63779.29999999991</v>
      </c>
      <c r="K1055" t="n">
        <v>6892</v>
      </c>
      <c r="L1055" t="n">
        <v>17504</v>
      </c>
      <c r="M1055" t="n">
        <v>35277</v>
      </c>
      <c r="N1055" t="n">
        <v>1564</v>
      </c>
      <c r="O1055" t="n">
        <v>786</v>
      </c>
      <c r="P1055" t="n">
        <v>209</v>
      </c>
    </row>
    <row r="1056">
      <c r="A1056" t="inlineStr">
        <is>
          <t>HA</t>
        </is>
      </c>
      <c r="B1056" t="n">
        <v>2023</v>
      </c>
      <c r="C1056" t="n">
        <v>9</v>
      </c>
      <c r="D1056" t="n">
        <v>6718</v>
      </c>
      <c r="E1056" t="n">
        <v>69</v>
      </c>
      <c r="F1056" t="n">
        <v>3</v>
      </c>
      <c r="G1056" t="n">
        <v>6646</v>
      </c>
      <c r="H1056" t="n">
        <v>5940</v>
      </c>
      <c r="I1056" t="n">
        <v>14156</v>
      </c>
      <c r="J1056" t="n">
        <v>64965.40000000021</v>
      </c>
      <c r="K1056" t="n">
        <v>6608</v>
      </c>
      <c r="L1056" t="n">
        <v>7662</v>
      </c>
      <c r="M1056" t="n">
        <v>24603</v>
      </c>
      <c r="N1056" t="n">
        <v>215</v>
      </c>
      <c r="O1056" t="n">
        <v>42</v>
      </c>
      <c r="P1056" t="n">
        <v>113</v>
      </c>
    </row>
    <row r="1057">
      <c r="A1057" t="inlineStr">
        <is>
          <t>HA</t>
        </is>
      </c>
      <c r="B1057" t="n">
        <v>2023</v>
      </c>
      <c r="C1057" t="n">
        <v>10</v>
      </c>
      <c r="D1057" t="n">
        <v>6915</v>
      </c>
      <c r="E1057" t="n">
        <v>115</v>
      </c>
      <c r="F1057" t="n">
        <v>4</v>
      </c>
      <c r="G1057" t="n">
        <v>6796</v>
      </c>
      <c r="H1057" t="n">
        <v>5275</v>
      </c>
      <c r="I1057" t="n">
        <v>59892</v>
      </c>
      <c r="J1057" t="n">
        <v>70516.90000000014</v>
      </c>
      <c r="K1057" t="n">
        <v>6832</v>
      </c>
      <c r="L1057" t="n">
        <v>24296</v>
      </c>
      <c r="M1057" t="n">
        <v>36549</v>
      </c>
      <c r="N1057" t="n">
        <v>3066</v>
      </c>
      <c r="O1057" t="n">
        <v>2857</v>
      </c>
      <c r="P1057" t="n">
        <v>395</v>
      </c>
    </row>
    <row r="1058">
      <c r="A1058" t="inlineStr">
        <is>
          <t>HA</t>
        </is>
      </c>
      <c r="B1058" t="n">
        <v>2023</v>
      </c>
      <c r="C1058" t="n">
        <v>11</v>
      </c>
      <c r="D1058" t="n">
        <v>6621</v>
      </c>
      <c r="E1058" t="n">
        <v>64</v>
      </c>
      <c r="F1058" t="n">
        <v>7</v>
      </c>
      <c r="G1058" t="n">
        <v>6550</v>
      </c>
      <c r="H1058" t="n">
        <v>5570</v>
      </c>
      <c r="I1058" t="n">
        <v>25936</v>
      </c>
      <c r="J1058" t="n">
        <v>70916.70000000022</v>
      </c>
      <c r="K1058" t="n">
        <v>6519</v>
      </c>
      <c r="L1058" t="n">
        <v>12346</v>
      </c>
      <c r="M1058" t="n">
        <v>24644</v>
      </c>
      <c r="N1058" t="n">
        <v>1402</v>
      </c>
      <c r="O1058" t="n">
        <v>1338</v>
      </c>
      <c r="P1058" t="n">
        <v>225</v>
      </c>
    </row>
    <row r="1059">
      <c r="A1059" t="inlineStr">
        <is>
          <t>HA</t>
        </is>
      </c>
      <c r="B1059" t="n">
        <v>2023</v>
      </c>
      <c r="C1059" t="n">
        <v>12</v>
      </c>
      <c r="D1059" t="n">
        <v>6702</v>
      </c>
      <c r="E1059" t="n">
        <v>100</v>
      </c>
      <c r="F1059" t="n">
        <v>5</v>
      </c>
      <c r="G1059" t="n">
        <v>6597</v>
      </c>
      <c r="H1059" t="n">
        <v>5592</v>
      </c>
      <c r="I1059" t="n">
        <v>27905</v>
      </c>
      <c r="J1059" t="n">
        <v>78179.90000000011</v>
      </c>
      <c r="K1059" t="n">
        <v>6602</v>
      </c>
      <c r="L1059" t="n">
        <v>14715</v>
      </c>
      <c r="M1059" t="n">
        <v>26562</v>
      </c>
      <c r="N1059" t="n">
        <v>1305</v>
      </c>
      <c r="O1059" t="n">
        <v>358</v>
      </c>
      <c r="P1059" t="n">
        <v>44</v>
      </c>
    </row>
    <row r="1060">
      <c r="A1060" t="inlineStr">
        <is>
          <t>HA</t>
        </is>
      </c>
      <c r="B1060" t="n">
        <v>2024</v>
      </c>
      <c r="C1060" t="n">
        <v>1</v>
      </c>
      <c r="D1060" t="n">
        <v>6576</v>
      </c>
      <c r="E1060" t="n">
        <v>96</v>
      </c>
      <c r="F1060" t="n">
        <v>5</v>
      </c>
      <c r="G1060" t="n">
        <v>6475</v>
      </c>
      <c r="H1060" t="n">
        <v>4737</v>
      </c>
      <c r="I1060" t="n">
        <v>69054</v>
      </c>
      <c r="J1060" t="n">
        <v>77097.90000000015</v>
      </c>
      <c r="K1060" t="n">
        <v>6483</v>
      </c>
      <c r="L1060" t="n">
        <v>30954</v>
      </c>
      <c r="M1060" t="n">
        <v>34552</v>
      </c>
      <c r="N1060" t="n">
        <v>4837</v>
      </c>
      <c r="O1060" t="n">
        <v>7057</v>
      </c>
      <c r="P1060" t="n">
        <v>233</v>
      </c>
    </row>
    <row r="1061">
      <c r="A1061" t="inlineStr">
        <is>
          <t>HA</t>
        </is>
      </c>
      <c r="B1061" t="n">
        <v>2024</v>
      </c>
      <c r="C1061" t="n">
        <v>2</v>
      </c>
      <c r="D1061" t="n">
        <v>6067</v>
      </c>
      <c r="E1061" t="n">
        <v>68</v>
      </c>
      <c r="F1061" t="n">
        <v>7</v>
      </c>
      <c r="G1061" t="n">
        <v>5992</v>
      </c>
      <c r="H1061" t="n">
        <v>4851</v>
      </c>
      <c r="I1061" t="n">
        <v>47624</v>
      </c>
      <c r="J1061" t="n">
        <v>66742.7000000001</v>
      </c>
      <c r="K1061" t="n">
        <v>5959</v>
      </c>
      <c r="L1061" t="n">
        <v>20156</v>
      </c>
      <c r="M1061" t="n">
        <v>36054</v>
      </c>
      <c r="N1061" t="n">
        <v>3662</v>
      </c>
      <c r="O1061" t="n">
        <v>777</v>
      </c>
      <c r="P1061" t="n">
        <v>57</v>
      </c>
    </row>
    <row r="1062">
      <c r="A1062" t="inlineStr">
        <is>
          <t>HA</t>
        </is>
      </c>
      <c r="B1062" t="n">
        <v>2024</v>
      </c>
      <c r="C1062" t="n">
        <v>3</v>
      </c>
      <c r="D1062" t="n">
        <v>6455</v>
      </c>
      <c r="E1062" t="n">
        <v>36</v>
      </c>
      <c r="F1062" t="n">
        <v>5</v>
      </c>
      <c r="G1062" t="n">
        <v>6414</v>
      </c>
      <c r="H1062" t="n">
        <v>5629</v>
      </c>
      <c r="I1062" t="n">
        <v>11578</v>
      </c>
      <c r="J1062" t="n">
        <v>80561.19999999998</v>
      </c>
      <c r="K1062" t="n">
        <v>6401</v>
      </c>
      <c r="L1062" t="n">
        <v>9443</v>
      </c>
      <c r="M1062" t="n">
        <v>20549</v>
      </c>
      <c r="N1062" t="n">
        <v>502</v>
      </c>
      <c r="O1062" t="n">
        <v>665</v>
      </c>
      <c r="P1062" t="n">
        <v>151</v>
      </c>
    </row>
    <row r="1063">
      <c r="A1063" t="inlineStr">
        <is>
          <t>HA</t>
        </is>
      </c>
      <c r="B1063" t="n">
        <v>2024</v>
      </c>
      <c r="C1063" t="n">
        <v>4</v>
      </c>
      <c r="D1063" t="n">
        <v>6375</v>
      </c>
      <c r="E1063" t="n">
        <v>82</v>
      </c>
      <c r="F1063" t="n">
        <v>8</v>
      </c>
      <c r="G1063" t="n">
        <v>6285</v>
      </c>
      <c r="H1063" t="n">
        <v>5358</v>
      </c>
      <c r="I1063" t="n">
        <v>27626</v>
      </c>
      <c r="J1063" t="n">
        <v>78052.90000000004</v>
      </c>
      <c r="K1063" t="n">
        <v>6298</v>
      </c>
      <c r="L1063" t="n">
        <v>20650</v>
      </c>
      <c r="M1063" t="n">
        <v>26320</v>
      </c>
      <c r="N1063" t="n">
        <v>566</v>
      </c>
      <c r="O1063" t="n">
        <v>886</v>
      </c>
      <c r="P1063" t="n">
        <v>187</v>
      </c>
    </row>
    <row r="1064">
      <c r="A1064" t="inlineStr">
        <is>
          <t>HA</t>
        </is>
      </c>
      <c r="B1064" t="n">
        <v>2024</v>
      </c>
      <c r="C1064" t="n">
        <v>5</v>
      </c>
      <c r="D1064" t="n">
        <v>6652</v>
      </c>
      <c r="E1064" t="n">
        <v>168</v>
      </c>
      <c r="F1064" t="n">
        <v>6</v>
      </c>
      <c r="G1064" t="n">
        <v>6478</v>
      </c>
      <c r="H1064" t="n">
        <v>5107</v>
      </c>
      <c r="I1064" t="n">
        <v>49746</v>
      </c>
      <c r="J1064" t="n">
        <v>72520.70000000011</v>
      </c>
      <c r="K1064" t="n">
        <v>6541</v>
      </c>
      <c r="L1064" t="n">
        <v>26214</v>
      </c>
      <c r="M1064" t="n">
        <v>31096</v>
      </c>
      <c r="N1064" t="n">
        <v>2519</v>
      </c>
      <c r="O1064" t="n">
        <v>773</v>
      </c>
      <c r="P1064" t="n">
        <v>426</v>
      </c>
    </row>
    <row r="1065">
      <c r="A1065" t="inlineStr">
        <is>
          <t>HA</t>
        </is>
      </c>
      <c r="B1065" t="n">
        <v>2024</v>
      </c>
      <c r="C1065" t="n">
        <v>6</v>
      </c>
      <c r="D1065" t="n">
        <v>6597</v>
      </c>
      <c r="E1065" t="n">
        <v>45</v>
      </c>
      <c r="F1065" t="n">
        <v>5</v>
      </c>
      <c r="G1065" t="n">
        <v>6547</v>
      </c>
      <c r="H1065" t="n">
        <v>5512</v>
      </c>
      <c r="I1065" t="n">
        <v>26110</v>
      </c>
      <c r="J1065" t="n">
        <v>65169.60000000002</v>
      </c>
      <c r="K1065" t="n">
        <v>6481</v>
      </c>
      <c r="L1065" t="n">
        <v>14290</v>
      </c>
      <c r="M1065" t="n">
        <v>26987</v>
      </c>
      <c r="N1065" t="n">
        <v>1036</v>
      </c>
      <c r="O1065" t="n">
        <v>217</v>
      </c>
      <c r="P1065" t="n">
        <v>95</v>
      </c>
    </row>
    <row r="1066">
      <c r="A1066" t="inlineStr">
        <is>
          <t>HA</t>
        </is>
      </c>
      <c r="B1066" t="n">
        <v>2024</v>
      </c>
      <c r="C1066" t="n">
        <v>7</v>
      </c>
      <c r="D1066" t="n">
        <v>6820</v>
      </c>
      <c r="E1066" t="n">
        <v>55</v>
      </c>
      <c r="F1066" t="n">
        <v>9</v>
      </c>
      <c r="G1066" t="n">
        <v>6756</v>
      </c>
      <c r="H1066" t="n">
        <v>5737</v>
      </c>
      <c r="I1066" t="n">
        <v>33243</v>
      </c>
      <c r="J1066" t="n">
        <v>66268.70000000003</v>
      </c>
      <c r="K1066" t="n">
        <v>6702</v>
      </c>
      <c r="L1066" t="n">
        <v>16421</v>
      </c>
      <c r="M1066" t="n">
        <v>33444</v>
      </c>
      <c r="N1066" t="n">
        <v>580</v>
      </c>
      <c r="O1066" t="n">
        <v>241</v>
      </c>
      <c r="P1066" t="n">
        <v>818</v>
      </c>
    </row>
    <row r="1067">
      <c r="A1067" t="inlineStr">
        <is>
          <t>HA</t>
        </is>
      </c>
      <c r="B1067" t="n">
        <v>2024</v>
      </c>
      <c r="C1067" t="n">
        <v>8</v>
      </c>
      <c r="D1067" t="n">
        <v>6829</v>
      </c>
      <c r="E1067" t="n">
        <v>104</v>
      </c>
      <c r="F1067" t="n">
        <v>5</v>
      </c>
      <c r="G1067" t="n">
        <v>6720</v>
      </c>
      <c r="H1067" t="n">
        <v>5928</v>
      </c>
      <c r="I1067" t="n">
        <v>17004</v>
      </c>
      <c r="J1067" t="n">
        <v>64993.50000000001</v>
      </c>
      <c r="K1067" t="n">
        <v>6714</v>
      </c>
      <c r="L1067" t="n">
        <v>11390</v>
      </c>
      <c r="M1067" t="n">
        <v>28423</v>
      </c>
      <c r="N1067" t="n">
        <v>161</v>
      </c>
      <c r="O1067" t="n">
        <v>319</v>
      </c>
      <c r="P1067" t="n">
        <v>92</v>
      </c>
    </row>
    <row r="1068">
      <c r="A1068" t="inlineStr">
        <is>
          <t>HA</t>
        </is>
      </c>
      <c r="B1068" t="n">
        <v>2024</v>
      </c>
      <c r="C1068" t="n">
        <v>9</v>
      </c>
      <c r="D1068" t="n">
        <v>6450</v>
      </c>
      <c r="E1068" t="n">
        <v>31</v>
      </c>
      <c r="F1068" t="n">
        <v>2</v>
      </c>
      <c r="G1068" t="n">
        <v>6417</v>
      </c>
      <c r="H1068" t="n">
        <v>5783</v>
      </c>
      <c r="I1068" t="n">
        <v>3684</v>
      </c>
      <c r="J1068" t="n">
        <v>64502.40000000015</v>
      </c>
      <c r="K1068" t="n">
        <v>6284</v>
      </c>
      <c r="L1068" t="n">
        <v>6875</v>
      </c>
      <c r="M1068" t="n">
        <v>19787</v>
      </c>
      <c r="N1068" t="n">
        <v>851</v>
      </c>
      <c r="O1068" t="n">
        <v>127</v>
      </c>
      <c r="P1068" t="n">
        <v>130</v>
      </c>
    </row>
    <row r="1069">
      <c r="A1069" t="inlineStr">
        <is>
          <t>HA</t>
        </is>
      </c>
      <c r="B1069" t="n">
        <v>2024</v>
      </c>
      <c r="C1069" t="n">
        <v>10</v>
      </c>
      <c r="D1069" t="n">
        <v>6583</v>
      </c>
      <c r="E1069" t="n">
        <v>73</v>
      </c>
      <c r="F1069" t="n">
        <v>7</v>
      </c>
      <c r="G1069" t="n">
        <v>6503</v>
      </c>
      <c r="H1069" t="n">
        <v>5664</v>
      </c>
      <c r="I1069" t="n">
        <v>15279</v>
      </c>
      <c r="J1069" t="n">
        <v>69918.50000000019</v>
      </c>
      <c r="K1069" t="n">
        <v>6410</v>
      </c>
      <c r="L1069" t="n">
        <v>12549</v>
      </c>
      <c r="M1069" t="n">
        <v>20275</v>
      </c>
      <c r="N1069" t="n">
        <v>1566</v>
      </c>
      <c r="O1069" t="n">
        <v>66</v>
      </c>
      <c r="P1069" t="n">
        <v>9</v>
      </c>
    </row>
    <row r="1070">
      <c r="A1070" t="inlineStr">
        <is>
          <t>HA</t>
        </is>
      </c>
      <c r="B1070" t="n">
        <v>2024</v>
      </c>
      <c r="C1070" t="n">
        <v>11</v>
      </c>
      <c r="D1070" t="n">
        <v>6427</v>
      </c>
      <c r="E1070" t="n">
        <v>29</v>
      </c>
      <c r="F1070" t="n">
        <v>5</v>
      </c>
      <c r="G1070" t="n">
        <v>6393</v>
      </c>
      <c r="H1070" t="n">
        <v>5731</v>
      </c>
      <c r="I1070" t="n">
        <v>-774</v>
      </c>
      <c r="J1070" t="n">
        <v>75462.10000000009</v>
      </c>
      <c r="K1070" t="n">
        <v>6232</v>
      </c>
      <c r="L1070" t="n">
        <v>10099</v>
      </c>
      <c r="M1070" t="n">
        <v>16007</v>
      </c>
      <c r="N1070" t="n">
        <v>338</v>
      </c>
      <c r="O1070" t="n">
        <v>1213</v>
      </c>
      <c r="P1070" t="n">
        <v>34</v>
      </c>
    </row>
    <row r="1071">
      <c r="A1071" t="inlineStr">
        <is>
          <t>HA</t>
        </is>
      </c>
      <c r="B1071" t="n">
        <v>2024</v>
      </c>
      <c r="C1071" t="n">
        <v>12</v>
      </c>
      <c r="D1071" t="n">
        <v>6699</v>
      </c>
      <c r="E1071" t="n">
        <v>35</v>
      </c>
      <c r="F1071" t="n">
        <v>11</v>
      </c>
      <c r="G1071" t="n">
        <v>6653</v>
      </c>
      <c r="H1071" t="n">
        <v>5598</v>
      </c>
      <c r="I1071" t="n">
        <v>29507</v>
      </c>
      <c r="J1071" t="n">
        <v>87620.90000000005</v>
      </c>
      <c r="K1071" t="n">
        <v>6477</v>
      </c>
      <c r="L1071" t="n">
        <v>15194</v>
      </c>
      <c r="M1071" t="n">
        <v>31662</v>
      </c>
      <c r="N1071" t="n">
        <v>571</v>
      </c>
      <c r="O1071" t="n">
        <v>2739</v>
      </c>
      <c r="P1071" t="n">
        <v>308</v>
      </c>
    </row>
    <row r="1072">
      <c r="A1072" t="inlineStr">
        <is>
          <t>HA</t>
        </is>
      </c>
      <c r="B1072" t="n">
        <v>2025</v>
      </c>
      <c r="C1072" t="n">
        <v>1</v>
      </c>
      <c r="D1072" t="n">
        <v>6690</v>
      </c>
      <c r="E1072" t="n">
        <v>128</v>
      </c>
      <c r="F1072" t="n">
        <v>22</v>
      </c>
      <c r="G1072" t="n">
        <v>6540</v>
      </c>
      <c r="H1072" t="n">
        <v>5654</v>
      </c>
      <c r="I1072" t="n">
        <v>39479</v>
      </c>
      <c r="J1072" t="n">
        <v>79521.40000000005</v>
      </c>
      <c r="K1072" t="n">
        <v>6468</v>
      </c>
      <c r="L1072" t="n">
        <v>26469</v>
      </c>
      <c r="M1072" t="n">
        <v>28966</v>
      </c>
      <c r="N1072" t="n">
        <v>253</v>
      </c>
      <c r="O1072" t="n">
        <v>8618</v>
      </c>
      <c r="P1072" t="n">
        <v>28</v>
      </c>
    </row>
    <row r="1073">
      <c r="A1073" t="inlineStr">
        <is>
          <t>HA</t>
        </is>
      </c>
      <c r="B1073" t="n">
        <v>2025</v>
      </c>
      <c r="C1073" t="n">
        <v>2</v>
      </c>
      <c r="D1073" t="n">
        <v>6013</v>
      </c>
      <c r="E1073" t="n">
        <v>21</v>
      </c>
      <c r="F1073" t="n">
        <v>9</v>
      </c>
      <c r="G1073" t="n">
        <v>5983</v>
      </c>
      <c r="H1073" t="n">
        <v>4947</v>
      </c>
      <c r="I1073" t="n">
        <v>33666</v>
      </c>
      <c r="J1073" t="n">
        <v>65106.3</v>
      </c>
      <c r="K1073" t="n">
        <v>5811</v>
      </c>
      <c r="L1073" t="n">
        <v>17850</v>
      </c>
      <c r="M1073" t="n">
        <v>27850</v>
      </c>
      <c r="N1073" t="n">
        <v>648</v>
      </c>
      <c r="O1073" t="n">
        <v>1969</v>
      </c>
      <c r="P1073" t="n">
        <v>110</v>
      </c>
    </row>
    <row r="1074">
      <c r="A1074" t="inlineStr">
        <is>
          <t>HA</t>
        </is>
      </c>
      <c r="B1074" t="n">
        <v>2025</v>
      </c>
      <c r="C1074" t="n">
        <v>3</v>
      </c>
      <c r="D1074" t="n">
        <v>6811</v>
      </c>
      <c r="E1074" t="n">
        <v>119</v>
      </c>
      <c r="F1074" t="n">
        <v>3</v>
      </c>
      <c r="G1074" t="n">
        <v>6689</v>
      </c>
      <c r="H1074" t="n">
        <v>5540</v>
      </c>
      <c r="I1074" t="n">
        <v>40706</v>
      </c>
      <c r="J1074" t="n">
        <v>77302.2000000001</v>
      </c>
      <c r="K1074" t="n">
        <v>6672</v>
      </c>
      <c r="L1074" t="n">
        <v>24480</v>
      </c>
      <c r="M1074" t="n">
        <v>29125</v>
      </c>
      <c r="N1074" t="n">
        <v>259</v>
      </c>
      <c r="O1074" t="n">
        <v>2120</v>
      </c>
      <c r="P1074" t="n">
        <v>353</v>
      </c>
    </row>
    <row r="1075">
      <c r="A1075" t="inlineStr">
        <is>
          <t>HA</t>
        </is>
      </c>
      <c r="B1075" t="n">
        <v>2025</v>
      </c>
      <c r="C1075" t="n">
        <v>4</v>
      </c>
      <c r="D1075" t="n">
        <v>6559</v>
      </c>
      <c r="E1075" t="n">
        <v>61</v>
      </c>
      <c r="F1075" t="n">
        <v>3</v>
      </c>
      <c r="G1075" t="n">
        <v>6495</v>
      </c>
      <c r="H1075" t="n">
        <v>5340</v>
      </c>
      <c r="I1075" t="n">
        <v>35526</v>
      </c>
      <c r="J1075" t="n">
        <v>72125.60000000025</v>
      </c>
      <c r="K1075" t="n">
        <v>6413</v>
      </c>
      <c r="L1075" t="n">
        <v>15673</v>
      </c>
      <c r="M1075" t="n">
        <v>28826</v>
      </c>
      <c r="N1075" t="n">
        <v>1312</v>
      </c>
      <c r="O1075" t="n">
        <v>1164</v>
      </c>
      <c r="P1075" t="n">
        <v>129</v>
      </c>
    </row>
    <row r="1076">
      <c r="A1076" t="inlineStr">
        <is>
          <t>HA</t>
        </is>
      </c>
      <c r="B1076" t="n">
        <v>2025</v>
      </c>
      <c r="C1076" t="n">
        <v>5</v>
      </c>
      <c r="D1076" t="n">
        <v>6985</v>
      </c>
      <c r="E1076" t="n">
        <v>23</v>
      </c>
      <c r="F1076" t="n">
        <v>4</v>
      </c>
      <c r="G1076" t="n">
        <v>6958</v>
      </c>
      <c r="H1076" t="n">
        <v>6087</v>
      </c>
      <c r="I1076" t="n">
        <v>21628</v>
      </c>
      <c r="J1076" t="n">
        <v>76194.9000000002</v>
      </c>
      <c r="K1076" t="n">
        <v>6854</v>
      </c>
      <c r="L1076" t="n">
        <v>12100</v>
      </c>
      <c r="M1076" t="n">
        <v>30469</v>
      </c>
      <c r="N1076" t="n">
        <v>367</v>
      </c>
      <c r="O1076" t="n">
        <v>183</v>
      </c>
      <c r="P1076" t="n">
        <v>138</v>
      </c>
    </row>
    <row r="1077">
      <c r="A1077" t="inlineStr">
        <is>
          <t>HA</t>
        </is>
      </c>
      <c r="B1077" t="n">
        <v>2025</v>
      </c>
      <c r="C1077" t="n">
        <v>6</v>
      </c>
      <c r="D1077" t="n">
        <v>6839</v>
      </c>
      <c r="E1077" t="n">
        <v>13</v>
      </c>
      <c r="F1077" t="n">
        <v>5</v>
      </c>
      <c r="G1077" t="n">
        <v>6821</v>
      </c>
      <c r="H1077" t="n">
        <v>5599</v>
      </c>
      <c r="I1077" t="n">
        <v>51780</v>
      </c>
      <c r="J1077" t="n">
        <v>65886.40000000001</v>
      </c>
      <c r="K1077" t="n">
        <v>6599</v>
      </c>
      <c r="L1077" t="n">
        <v>19742</v>
      </c>
      <c r="M1077" t="n">
        <v>40909</v>
      </c>
      <c r="N1077" t="n">
        <v>535</v>
      </c>
      <c r="O1077" t="n">
        <v>267</v>
      </c>
      <c r="P1077" t="n">
        <v>1119</v>
      </c>
    </row>
    <row r="1078">
      <c r="A1078" t="inlineStr">
        <is>
          <t>HA</t>
        </is>
      </c>
      <c r="B1078" t="n">
        <v>2025</v>
      </c>
      <c r="C1078" t="n">
        <v>7</v>
      </c>
      <c r="D1078" t="n">
        <v>7066</v>
      </c>
      <c r="E1078" t="n">
        <v>51</v>
      </c>
      <c r="F1078" t="n">
        <v>5</v>
      </c>
      <c r="G1078" t="n">
        <v>7010</v>
      </c>
      <c r="H1078" t="n">
        <v>5578</v>
      </c>
      <c r="I1078" t="n">
        <v>65962</v>
      </c>
      <c r="J1078" t="n">
        <v>62044.20000000004</v>
      </c>
      <c r="K1078" t="n">
        <v>6753</v>
      </c>
      <c r="L1078" t="n">
        <v>24235</v>
      </c>
      <c r="M1078" t="n">
        <v>46542</v>
      </c>
      <c r="N1078" t="n">
        <v>1143</v>
      </c>
      <c r="O1078" t="n">
        <v>1303</v>
      </c>
      <c r="P1078" t="n">
        <v>285</v>
      </c>
    </row>
    <row r="1079">
      <c r="A1079" t="inlineStr">
        <is>
          <t>HA</t>
        </is>
      </c>
      <c r="B1079" t="n">
        <v>2025</v>
      </c>
      <c r="C1079" t="n">
        <v>8</v>
      </c>
      <c r="D1079" t="n">
        <v>6946</v>
      </c>
      <c r="E1079" t="n">
        <v>17</v>
      </c>
      <c r="F1079" t="n">
        <v>5</v>
      </c>
      <c r="G1079" t="n">
        <v>6924</v>
      </c>
      <c r="H1079" t="n">
        <v>5932</v>
      </c>
      <c r="I1079" t="n">
        <v>33183</v>
      </c>
      <c r="J1079" t="n">
        <v>64462.90000000007</v>
      </c>
      <c r="K1079" t="n">
        <v>6649</v>
      </c>
      <c r="L1079" t="n">
        <v>12084</v>
      </c>
      <c r="M1079" t="n">
        <v>37600</v>
      </c>
      <c r="N1079" t="n">
        <v>524</v>
      </c>
      <c r="O1079" t="n">
        <v>109</v>
      </c>
      <c r="P1079" t="n">
        <v>301</v>
      </c>
    </row>
    <row r="1080">
      <c r="A1080" t="inlineStr">
        <is>
          <t>HA</t>
        </is>
      </c>
      <c r="B1080" t="n">
        <v>2025</v>
      </c>
      <c r="C1080" t="n">
        <v>9</v>
      </c>
      <c r="D1080" t="n">
        <v>6428</v>
      </c>
      <c r="E1080" t="n">
        <v>11</v>
      </c>
      <c r="F1080" t="n">
        <v>5</v>
      </c>
      <c r="G1080" t="n">
        <v>6412</v>
      </c>
      <c r="H1080" t="n">
        <v>5669</v>
      </c>
      <c r="I1080" t="n">
        <v>15598</v>
      </c>
      <c r="J1080" t="n">
        <v>64734.00000000036</v>
      </c>
      <c r="K1080" t="n">
        <v>6123</v>
      </c>
      <c r="L1080" t="n">
        <v>11414</v>
      </c>
      <c r="M1080" t="n">
        <v>27378</v>
      </c>
      <c r="N1080" t="n">
        <v>322</v>
      </c>
      <c r="O1080" t="n">
        <v>664</v>
      </c>
      <c r="P1080" t="n">
        <v>191</v>
      </c>
    </row>
    <row r="1081">
      <c r="A1081" t="inlineStr">
        <is>
          <t>HA</t>
        </is>
      </c>
      <c r="B1081" t="n">
        <v>2025</v>
      </c>
      <c r="C1081" t="n">
        <v>10</v>
      </c>
      <c r="D1081" t="n">
        <v>6616</v>
      </c>
      <c r="E1081" t="n">
        <v>45</v>
      </c>
      <c r="F1081" t="n">
        <v>9</v>
      </c>
      <c r="G1081" t="n">
        <v>6562</v>
      </c>
      <c r="H1081" t="n">
        <v>5359</v>
      </c>
      <c r="I1081" t="n">
        <v>57991</v>
      </c>
      <c r="J1081" t="n">
        <v>74378.00000000044</v>
      </c>
      <c r="K1081" t="n">
        <v>6317</v>
      </c>
      <c r="L1081" t="n">
        <v>21082</v>
      </c>
      <c r="M1081" t="n">
        <v>50137</v>
      </c>
      <c r="N1081" t="n">
        <v>926</v>
      </c>
      <c r="O1081" t="n">
        <v>639</v>
      </c>
      <c r="P1081" t="n">
        <v>231</v>
      </c>
    </row>
    <row r="1082">
      <c r="A1082" t="inlineStr">
        <is>
          <t>HA</t>
        </is>
      </c>
      <c r="B1082" t="n">
        <v>2025</v>
      </c>
      <c r="C1082" t="n">
        <v>11</v>
      </c>
      <c r="D1082" t="n">
        <v>6426</v>
      </c>
      <c r="E1082" t="n">
        <v>125</v>
      </c>
      <c r="F1082" t="n">
        <v>7</v>
      </c>
      <c r="G1082" t="n">
        <v>6294</v>
      </c>
      <c r="H1082" t="n">
        <v>5134</v>
      </c>
      <c r="I1082" t="n">
        <v>44757</v>
      </c>
      <c r="J1082" t="n">
        <v>72734.80000000041</v>
      </c>
      <c r="K1082" t="n">
        <v>6155</v>
      </c>
      <c r="L1082" t="n">
        <v>17137</v>
      </c>
      <c r="M1082" t="n">
        <v>37896</v>
      </c>
      <c r="N1082" t="n">
        <v>471</v>
      </c>
      <c r="O1082" t="n">
        <v>1641</v>
      </c>
      <c r="P1082" t="n">
        <v>284</v>
      </c>
    </row>
    <row r="1083">
      <c r="A1083" t="inlineStr">
        <is>
          <t>HA</t>
        </is>
      </c>
      <c r="B1083" t="n">
        <v>2025</v>
      </c>
      <c r="C1083" t="n">
        <v>12</v>
      </c>
      <c r="D1083" t="n">
        <v>6705</v>
      </c>
      <c r="E1083" t="n">
        <v>46</v>
      </c>
      <c r="F1083" t="n">
        <v>12</v>
      </c>
      <c r="G1083" t="n">
        <v>6647</v>
      </c>
      <c r="H1083" t="n">
        <v>4786</v>
      </c>
      <c r="I1083" t="n">
        <v>97402</v>
      </c>
      <c r="J1083" t="n">
        <v>90673.2</v>
      </c>
      <c r="K1083" t="n">
        <v>6516</v>
      </c>
      <c r="L1083" t="n">
        <v>40613</v>
      </c>
      <c r="M1083" t="n">
        <v>62654</v>
      </c>
      <c r="N1083" t="n">
        <v>2037</v>
      </c>
      <c r="O1083" t="n">
        <v>4544</v>
      </c>
      <c r="P1083" t="n">
        <v>270</v>
      </c>
    </row>
    <row r="1084">
      <c r="A1084" t="inlineStr">
        <is>
          <t>MQ</t>
        </is>
      </c>
      <c r="B1084" t="n">
        <v>2015</v>
      </c>
      <c r="C1084" t="n">
        <v>1</v>
      </c>
      <c r="D1084" t="n">
        <v>29900</v>
      </c>
      <c r="E1084" t="n">
        <v>2288</v>
      </c>
      <c r="F1084" t="n">
        <v>44</v>
      </c>
      <c r="G1084" t="n">
        <v>27568</v>
      </c>
      <c r="H1084" t="n">
        <v>18071</v>
      </c>
      <c r="I1084" t="n">
        <v>500772</v>
      </c>
      <c r="J1084" t="n">
        <v>333560.700000002</v>
      </c>
      <c r="K1084" t="n">
        <v>29881</v>
      </c>
      <c r="L1084" t="n">
        <v>246744</v>
      </c>
      <c r="M1084" t="n">
        <v>147471</v>
      </c>
      <c r="N1084" t="n">
        <v>152168</v>
      </c>
      <c r="O1084" t="n">
        <v>54185</v>
      </c>
      <c r="P1084" t="n">
        <v>996</v>
      </c>
    </row>
    <row r="1085">
      <c r="A1085" t="inlineStr">
        <is>
          <t>MQ</t>
        </is>
      </c>
      <c r="B1085" t="n">
        <v>2015</v>
      </c>
      <c r="C1085" t="n">
        <v>2</v>
      </c>
      <c r="D1085" t="n">
        <v>26940</v>
      </c>
      <c r="E1085" t="n">
        <v>3887</v>
      </c>
      <c r="F1085" t="n">
        <v>61</v>
      </c>
      <c r="G1085" t="n">
        <v>22992</v>
      </c>
      <c r="H1085" t="n">
        <v>14367</v>
      </c>
      <c r="I1085" t="n">
        <v>489767</v>
      </c>
      <c r="J1085" t="n">
        <v>303348.2000000022</v>
      </c>
      <c r="K1085" t="n">
        <v>26909</v>
      </c>
      <c r="L1085" t="n">
        <v>227018</v>
      </c>
      <c r="M1085" t="n">
        <v>120657</v>
      </c>
      <c r="N1085" t="n">
        <v>149985</v>
      </c>
      <c r="O1085" t="n">
        <v>63333</v>
      </c>
      <c r="P1085" t="n">
        <v>754</v>
      </c>
    </row>
    <row r="1086">
      <c r="A1086" t="inlineStr">
        <is>
          <t>MQ</t>
        </is>
      </c>
      <c r="B1086" t="n">
        <v>2015</v>
      </c>
      <c r="C1086" t="n">
        <v>3</v>
      </c>
      <c r="D1086" t="n">
        <v>28146</v>
      </c>
      <c r="E1086" t="n">
        <v>2031</v>
      </c>
      <c r="F1086" t="n">
        <v>53</v>
      </c>
      <c r="G1086" t="n">
        <v>26062</v>
      </c>
      <c r="H1086" t="n">
        <v>19084</v>
      </c>
      <c r="I1086" t="n">
        <v>287162</v>
      </c>
      <c r="J1086" t="n">
        <v>345567.2999999977</v>
      </c>
      <c r="K1086" t="n">
        <v>27857</v>
      </c>
      <c r="L1086" t="n">
        <v>160657</v>
      </c>
      <c r="M1086" t="n">
        <v>126134</v>
      </c>
      <c r="N1086" t="n">
        <v>94417</v>
      </c>
      <c r="O1086" t="n">
        <v>31403</v>
      </c>
      <c r="P1086" t="n">
        <v>1166</v>
      </c>
    </row>
    <row r="1087">
      <c r="A1087" t="inlineStr">
        <is>
          <t>MQ</t>
        </is>
      </c>
      <c r="B1087" t="n">
        <v>2015</v>
      </c>
      <c r="C1087" t="n">
        <v>4</v>
      </c>
      <c r="D1087" t="n">
        <v>25695</v>
      </c>
      <c r="E1087" t="n">
        <v>858</v>
      </c>
      <c r="F1087" t="n">
        <v>109</v>
      </c>
      <c r="G1087" t="n">
        <v>24728</v>
      </c>
      <c r="H1087" t="n">
        <v>19779</v>
      </c>
      <c r="I1087" t="n">
        <v>126885</v>
      </c>
      <c r="J1087" t="n">
        <v>371965.4999999962</v>
      </c>
      <c r="K1087" t="n">
        <v>25691</v>
      </c>
      <c r="L1087" t="n">
        <v>101354</v>
      </c>
      <c r="M1087" t="n">
        <v>75888</v>
      </c>
      <c r="N1087" t="n">
        <v>84219</v>
      </c>
      <c r="O1087" t="n">
        <v>40783</v>
      </c>
      <c r="P1087" t="n">
        <v>884</v>
      </c>
    </row>
    <row r="1088">
      <c r="A1088" t="inlineStr">
        <is>
          <t>MQ</t>
        </is>
      </c>
      <c r="B1088" t="n">
        <v>2015</v>
      </c>
      <c r="C1088" t="n">
        <v>5</v>
      </c>
      <c r="D1088" t="n">
        <v>25431</v>
      </c>
      <c r="E1088" t="n">
        <v>947</v>
      </c>
      <c r="F1088" t="n">
        <v>79</v>
      </c>
      <c r="G1088" t="n">
        <v>24405</v>
      </c>
      <c r="H1088" t="n">
        <v>19603</v>
      </c>
      <c r="I1088" t="n">
        <v>133417</v>
      </c>
      <c r="J1088" t="n">
        <v>371205.9000000002</v>
      </c>
      <c r="K1088" t="n">
        <v>25274</v>
      </c>
      <c r="L1088" t="n">
        <v>101788</v>
      </c>
      <c r="M1088" t="n">
        <v>87250</v>
      </c>
      <c r="N1088" t="n">
        <v>71991</v>
      </c>
      <c r="O1088" t="n">
        <v>48806</v>
      </c>
      <c r="P1088" t="n">
        <v>682</v>
      </c>
    </row>
    <row r="1089">
      <c r="A1089" t="inlineStr">
        <is>
          <t>MQ</t>
        </is>
      </c>
      <c r="B1089" t="n">
        <v>2015</v>
      </c>
      <c r="C1089" t="n">
        <v>6</v>
      </c>
      <c r="D1089" t="n">
        <v>25407</v>
      </c>
      <c r="E1089" t="n">
        <v>1326</v>
      </c>
      <c r="F1089" t="n">
        <v>90</v>
      </c>
      <c r="G1089" t="n">
        <v>23991</v>
      </c>
      <c r="H1089" t="n">
        <v>17835</v>
      </c>
      <c r="I1089" t="n">
        <v>231257</v>
      </c>
      <c r="J1089" t="n">
        <v>377978.3999999975</v>
      </c>
      <c r="K1089" t="n">
        <v>25366</v>
      </c>
      <c r="L1089" t="n">
        <v>137468</v>
      </c>
      <c r="M1089" t="n">
        <v>103858</v>
      </c>
      <c r="N1089" t="n">
        <v>95512</v>
      </c>
      <c r="O1089" t="n">
        <v>33603</v>
      </c>
      <c r="P1089" t="n">
        <v>711</v>
      </c>
    </row>
    <row r="1090">
      <c r="A1090" t="inlineStr">
        <is>
          <t>MQ</t>
        </is>
      </c>
      <c r="B1090" t="n">
        <v>2015</v>
      </c>
      <c r="C1090" t="n">
        <v>7</v>
      </c>
      <c r="D1090" t="n">
        <v>24750</v>
      </c>
      <c r="E1090" t="n">
        <v>634</v>
      </c>
      <c r="F1090" t="n">
        <v>69</v>
      </c>
      <c r="G1090" t="n">
        <v>24047</v>
      </c>
      <c r="H1090" t="n">
        <v>19463</v>
      </c>
      <c r="I1090" t="n">
        <v>95714</v>
      </c>
      <c r="J1090" t="n">
        <v>368476.4000000011</v>
      </c>
      <c r="K1090" t="n">
        <v>24661</v>
      </c>
      <c r="L1090" t="n">
        <v>108077</v>
      </c>
      <c r="M1090" t="n">
        <v>77624</v>
      </c>
      <c r="N1090" t="n">
        <v>70675</v>
      </c>
      <c r="O1090" t="n">
        <v>23098</v>
      </c>
      <c r="P1090" t="n">
        <v>265</v>
      </c>
    </row>
    <row r="1091">
      <c r="A1091" t="inlineStr">
        <is>
          <t>MQ</t>
        </is>
      </c>
      <c r="B1091" t="n">
        <v>2015</v>
      </c>
      <c r="C1091" t="n">
        <v>8</v>
      </c>
      <c r="D1091" t="n">
        <v>23881</v>
      </c>
      <c r="E1091" t="n">
        <v>703</v>
      </c>
      <c r="F1091" t="n">
        <v>62</v>
      </c>
      <c r="G1091" t="n">
        <v>23116</v>
      </c>
      <c r="H1091" t="n">
        <v>19216</v>
      </c>
      <c r="I1091" t="n">
        <v>43841</v>
      </c>
      <c r="J1091" t="n">
        <v>351713.5999999991</v>
      </c>
      <c r="K1091" t="n">
        <v>23842</v>
      </c>
      <c r="L1091" t="n">
        <v>89839</v>
      </c>
      <c r="M1091" t="n">
        <v>83825</v>
      </c>
      <c r="N1091" t="n">
        <v>53809</v>
      </c>
      <c r="O1091" t="n">
        <v>14565</v>
      </c>
      <c r="P1091" t="n">
        <v>283</v>
      </c>
    </row>
    <row r="1092">
      <c r="A1092" t="inlineStr">
        <is>
          <t>MQ</t>
        </is>
      </c>
      <c r="B1092" t="n">
        <v>2015</v>
      </c>
      <c r="C1092" t="n">
        <v>9</v>
      </c>
      <c r="D1092" t="n">
        <v>21202</v>
      </c>
      <c r="E1092" t="n">
        <v>368</v>
      </c>
      <c r="F1092" t="n">
        <v>35</v>
      </c>
      <c r="G1092" t="n">
        <v>20799</v>
      </c>
      <c r="H1092" t="n">
        <v>17956</v>
      </c>
      <c r="I1092" t="n">
        <v>-45077</v>
      </c>
      <c r="J1092" t="n">
        <v>326257.8999999977</v>
      </c>
      <c r="K1092" t="n">
        <v>21144</v>
      </c>
      <c r="L1092" t="n">
        <v>56825</v>
      </c>
      <c r="M1092" t="n">
        <v>56037</v>
      </c>
      <c r="N1092" t="n">
        <v>42648</v>
      </c>
      <c r="O1092" t="n">
        <v>13021</v>
      </c>
      <c r="P1092" t="n">
        <v>378</v>
      </c>
    </row>
    <row r="1093">
      <c r="A1093" t="inlineStr">
        <is>
          <t>MQ</t>
        </is>
      </c>
      <c r="B1093" t="n">
        <v>2015</v>
      </c>
      <c r="C1093" t="n">
        <v>10</v>
      </c>
      <c r="D1093" t="n">
        <v>21982</v>
      </c>
      <c r="E1093" t="n">
        <v>273</v>
      </c>
      <c r="F1093" t="n">
        <v>48</v>
      </c>
      <c r="G1093" t="n">
        <v>21661</v>
      </c>
      <c r="H1093" t="n">
        <v>19373</v>
      </c>
      <c r="I1093" t="n">
        <v>-80905</v>
      </c>
      <c r="J1093" t="n">
        <v>348024.9000000021</v>
      </c>
      <c r="K1093" t="n">
        <v>21973</v>
      </c>
      <c r="L1093" t="n">
        <v>51792</v>
      </c>
      <c r="M1093" t="n">
        <v>57399</v>
      </c>
      <c r="N1093" t="n">
        <v>25849</v>
      </c>
      <c r="O1093" t="n">
        <v>13949</v>
      </c>
      <c r="P1093" t="n">
        <v>227</v>
      </c>
    </row>
    <row r="1094">
      <c r="A1094" t="inlineStr">
        <is>
          <t>MQ</t>
        </is>
      </c>
      <c r="B1094" t="n">
        <v>2015</v>
      </c>
      <c r="C1094" t="n">
        <v>11</v>
      </c>
      <c r="D1094" t="n">
        <v>20305</v>
      </c>
      <c r="E1094" t="n">
        <v>905</v>
      </c>
      <c r="F1094" t="n">
        <v>69</v>
      </c>
      <c r="G1094" t="n">
        <v>19331</v>
      </c>
      <c r="H1094" t="n">
        <v>16625</v>
      </c>
      <c r="I1094" t="n">
        <v>4254</v>
      </c>
      <c r="J1094" t="n">
        <v>347837.0999999995</v>
      </c>
      <c r="K1094" t="n">
        <v>20184</v>
      </c>
      <c r="L1094" t="n">
        <v>65800</v>
      </c>
      <c r="M1094" t="n">
        <v>63249</v>
      </c>
      <c r="N1094" t="n">
        <v>47175</v>
      </c>
      <c r="O1094" t="n">
        <v>27079</v>
      </c>
      <c r="P1094" t="n">
        <v>68</v>
      </c>
    </row>
    <row r="1095">
      <c r="A1095" t="inlineStr">
        <is>
          <t>MQ</t>
        </is>
      </c>
      <c r="B1095" t="n">
        <v>2015</v>
      </c>
      <c r="C1095" t="n">
        <v>12</v>
      </c>
      <c r="D1095" t="n">
        <v>20993</v>
      </c>
      <c r="E1095" t="n">
        <v>805</v>
      </c>
      <c r="F1095" t="n">
        <v>97</v>
      </c>
      <c r="G1095" t="n">
        <v>20091</v>
      </c>
      <c r="H1095" t="n">
        <v>16872</v>
      </c>
      <c r="I1095" t="n">
        <v>13310</v>
      </c>
      <c r="J1095" t="n">
        <v>338065.9000000007</v>
      </c>
      <c r="K1095" t="n">
        <v>20830</v>
      </c>
      <c r="L1095" t="n">
        <v>69711</v>
      </c>
      <c r="M1095" t="n">
        <v>55641</v>
      </c>
      <c r="N1095" t="n">
        <v>42326</v>
      </c>
      <c r="O1095" t="n">
        <v>38480</v>
      </c>
      <c r="P1095" t="n">
        <v>635</v>
      </c>
    </row>
    <row r="1096">
      <c r="A1096" t="inlineStr">
        <is>
          <t>MQ</t>
        </is>
      </c>
      <c r="B1096" t="n">
        <v>2018</v>
      </c>
      <c r="C1096" t="n">
        <v>1</v>
      </c>
      <c r="D1096" t="n">
        <v>22502</v>
      </c>
      <c r="E1096" t="n">
        <v>861</v>
      </c>
      <c r="F1096" t="n">
        <v>60</v>
      </c>
      <c r="G1096" t="n">
        <v>21581</v>
      </c>
      <c r="H1096" t="n">
        <v>16807</v>
      </c>
      <c r="I1096" t="n">
        <v>151550</v>
      </c>
      <c r="J1096" t="n">
        <v>333096.1000000008</v>
      </c>
      <c r="K1096" t="n">
        <v>22431</v>
      </c>
      <c r="L1096" t="n">
        <v>107628</v>
      </c>
      <c r="M1096" t="n">
        <v>73148</v>
      </c>
      <c r="N1096" t="n">
        <v>65726</v>
      </c>
      <c r="O1096" t="n">
        <v>29598</v>
      </c>
      <c r="P1096" t="n">
        <v>237</v>
      </c>
    </row>
    <row r="1097">
      <c r="A1097" t="inlineStr">
        <is>
          <t>MQ</t>
        </is>
      </c>
      <c r="B1097" t="n">
        <v>2018</v>
      </c>
      <c r="C1097" t="n">
        <v>2</v>
      </c>
      <c r="D1097" t="n">
        <v>20681</v>
      </c>
      <c r="E1097" t="n">
        <v>1269</v>
      </c>
      <c r="F1097" t="n">
        <v>78</v>
      </c>
      <c r="G1097" t="n">
        <v>19334</v>
      </c>
      <c r="H1097" t="n">
        <v>14608</v>
      </c>
      <c r="I1097" t="n">
        <v>176330</v>
      </c>
      <c r="J1097" t="n">
        <v>310130.5000000009</v>
      </c>
      <c r="K1097" t="n">
        <v>20570</v>
      </c>
      <c r="L1097" t="n">
        <v>116024</v>
      </c>
      <c r="M1097" t="n">
        <v>57242</v>
      </c>
      <c r="N1097" t="n">
        <v>79496</v>
      </c>
      <c r="O1097" t="n">
        <v>35513</v>
      </c>
      <c r="P1097" t="n">
        <v>170</v>
      </c>
    </row>
    <row r="1098">
      <c r="A1098" t="inlineStr">
        <is>
          <t>MQ</t>
        </is>
      </c>
      <c r="B1098" t="n">
        <v>2018</v>
      </c>
      <c r="C1098" t="n">
        <v>3</v>
      </c>
      <c r="D1098" t="n">
        <v>23685</v>
      </c>
      <c r="E1098" t="n">
        <v>758</v>
      </c>
      <c r="F1098" t="n">
        <v>30</v>
      </c>
      <c r="G1098" t="n">
        <v>22897</v>
      </c>
      <c r="H1098" t="n">
        <v>19745</v>
      </c>
      <c r="I1098" t="n">
        <v>-2488</v>
      </c>
      <c r="J1098" t="n">
        <v>377393.7999999985</v>
      </c>
      <c r="K1098" t="n">
        <v>23595</v>
      </c>
      <c r="L1098" t="n">
        <v>62560</v>
      </c>
      <c r="M1098" t="n">
        <v>51492</v>
      </c>
      <c r="N1098" t="n">
        <v>36280</v>
      </c>
      <c r="O1098" t="n">
        <v>8694</v>
      </c>
      <c r="P1098" t="n">
        <v>266</v>
      </c>
    </row>
    <row r="1099">
      <c r="A1099" t="inlineStr">
        <is>
          <t>MQ</t>
        </is>
      </c>
      <c r="B1099" t="n">
        <v>2018</v>
      </c>
      <c r="C1099" t="n">
        <v>4</v>
      </c>
      <c r="D1099" t="n">
        <v>24068</v>
      </c>
      <c r="E1099" t="n">
        <v>580</v>
      </c>
      <c r="F1099" t="n">
        <v>62</v>
      </c>
      <c r="G1099" t="n">
        <v>23426</v>
      </c>
      <c r="H1099" t="n">
        <v>19510</v>
      </c>
      <c r="I1099" t="n">
        <v>55593</v>
      </c>
      <c r="J1099" t="n">
        <v>371240.7999999975</v>
      </c>
      <c r="K1099" t="n">
        <v>23972</v>
      </c>
      <c r="L1099" t="n">
        <v>82900</v>
      </c>
      <c r="M1099" t="n">
        <v>54692</v>
      </c>
      <c r="N1099" t="n">
        <v>62448</v>
      </c>
      <c r="O1099" t="n">
        <v>17944</v>
      </c>
      <c r="P1099" t="n">
        <v>114</v>
      </c>
    </row>
    <row r="1100">
      <c r="A1100" t="inlineStr">
        <is>
          <t>MQ</t>
        </is>
      </c>
      <c r="B1100" t="n">
        <v>2018</v>
      </c>
      <c r="C1100" t="n">
        <v>5</v>
      </c>
      <c r="D1100" t="n">
        <v>25364</v>
      </c>
      <c r="E1100" t="n">
        <v>939</v>
      </c>
      <c r="F1100" t="n">
        <v>87</v>
      </c>
      <c r="G1100" t="n">
        <v>24338</v>
      </c>
      <c r="H1100" t="n">
        <v>19608</v>
      </c>
      <c r="I1100" t="n">
        <v>132650</v>
      </c>
      <c r="J1100" t="n">
        <v>404088.8000000002</v>
      </c>
      <c r="K1100" t="n">
        <v>25261</v>
      </c>
      <c r="L1100" t="n">
        <v>126111</v>
      </c>
      <c r="M1100" t="n">
        <v>72107</v>
      </c>
      <c r="N1100" t="n">
        <v>87537</v>
      </c>
      <c r="O1100" t="n">
        <v>31385</v>
      </c>
      <c r="P1100" t="n">
        <v>422</v>
      </c>
    </row>
    <row r="1101">
      <c r="A1101" t="inlineStr">
        <is>
          <t>MQ</t>
        </is>
      </c>
      <c r="B1101" t="n">
        <v>2018</v>
      </c>
      <c r="C1101" t="n">
        <v>6</v>
      </c>
      <c r="D1101" t="n">
        <v>25961</v>
      </c>
      <c r="E1101" t="n">
        <v>1228</v>
      </c>
      <c r="F1101" t="n">
        <v>99</v>
      </c>
      <c r="G1101" t="n">
        <v>24634</v>
      </c>
      <c r="H1101" t="n">
        <v>18284</v>
      </c>
      <c r="I1101" t="n">
        <v>272169</v>
      </c>
      <c r="J1101" t="n">
        <v>398411.7000000003</v>
      </c>
      <c r="K1101" t="n">
        <v>25863</v>
      </c>
      <c r="L1101" t="n">
        <v>173333</v>
      </c>
      <c r="M1101" t="n">
        <v>97611</v>
      </c>
      <c r="N1101" t="n">
        <v>112025</v>
      </c>
      <c r="O1101" t="n">
        <v>29466</v>
      </c>
      <c r="P1101" t="n">
        <v>160</v>
      </c>
    </row>
    <row r="1102">
      <c r="A1102" t="inlineStr">
        <is>
          <t>MQ</t>
        </is>
      </c>
      <c r="B1102" t="n">
        <v>2018</v>
      </c>
      <c r="C1102" t="n">
        <v>7</v>
      </c>
      <c r="D1102" t="n">
        <v>26139</v>
      </c>
      <c r="E1102" t="n">
        <v>1070</v>
      </c>
      <c r="F1102" t="n">
        <v>68</v>
      </c>
      <c r="G1102" t="n">
        <v>25001</v>
      </c>
      <c r="H1102" t="n">
        <v>19419</v>
      </c>
      <c r="I1102" t="n">
        <v>184736</v>
      </c>
      <c r="J1102" t="n">
        <v>407398.9000000015</v>
      </c>
      <c r="K1102" t="n">
        <v>26129</v>
      </c>
      <c r="L1102" t="n">
        <v>144996</v>
      </c>
      <c r="M1102" t="n">
        <v>78039</v>
      </c>
      <c r="N1102" t="n">
        <v>91731</v>
      </c>
      <c r="O1102" t="n">
        <v>22761</v>
      </c>
      <c r="P1102" t="n">
        <v>450</v>
      </c>
    </row>
    <row r="1103">
      <c r="A1103" t="inlineStr">
        <is>
          <t>MQ</t>
        </is>
      </c>
      <c r="B1103" t="n">
        <v>2018</v>
      </c>
      <c r="C1103" t="n">
        <v>8</v>
      </c>
      <c r="D1103" t="n">
        <v>26429</v>
      </c>
      <c r="E1103" t="n">
        <v>1200</v>
      </c>
      <c r="F1103" t="n">
        <v>88</v>
      </c>
      <c r="G1103" t="n">
        <v>25141</v>
      </c>
      <c r="H1103" t="n">
        <v>19630</v>
      </c>
      <c r="I1103" t="n">
        <v>187139</v>
      </c>
      <c r="J1103" t="n">
        <v>412342.1999999983</v>
      </c>
      <c r="K1103" t="n">
        <v>26390</v>
      </c>
      <c r="L1103" t="n">
        <v>134226</v>
      </c>
      <c r="M1103" t="n">
        <v>70303</v>
      </c>
      <c r="N1103" t="n">
        <v>116669</v>
      </c>
      <c r="O1103" t="n">
        <v>30184</v>
      </c>
      <c r="P1103" t="n">
        <v>249</v>
      </c>
    </row>
    <row r="1104">
      <c r="A1104" t="inlineStr">
        <is>
          <t>MQ</t>
        </is>
      </c>
      <c r="B1104" t="n">
        <v>2018</v>
      </c>
      <c r="C1104" t="n">
        <v>9</v>
      </c>
      <c r="D1104" t="n">
        <v>24836</v>
      </c>
      <c r="E1104" t="n">
        <v>876</v>
      </c>
      <c r="F1104" t="n">
        <v>64</v>
      </c>
      <c r="G1104" t="n">
        <v>23896</v>
      </c>
      <c r="H1104" t="n">
        <v>19787</v>
      </c>
      <c r="I1104" t="n">
        <v>75299</v>
      </c>
      <c r="J1104" t="n">
        <v>368686.1000000006</v>
      </c>
      <c r="K1104" t="n">
        <v>24768</v>
      </c>
      <c r="L1104" t="n">
        <v>90642</v>
      </c>
      <c r="M1104" t="n">
        <v>54351</v>
      </c>
      <c r="N1104" t="n">
        <v>84804</v>
      </c>
      <c r="O1104" t="n">
        <v>24505</v>
      </c>
      <c r="P1104" t="n">
        <v>140</v>
      </c>
    </row>
    <row r="1105">
      <c r="A1105" t="inlineStr">
        <is>
          <t>MQ</t>
        </is>
      </c>
      <c r="B1105" t="n">
        <v>2018</v>
      </c>
      <c r="C1105" t="n">
        <v>10</v>
      </c>
      <c r="D1105" t="n">
        <v>26147</v>
      </c>
      <c r="E1105" t="n">
        <v>523</v>
      </c>
      <c r="F1105" t="n">
        <v>76</v>
      </c>
      <c r="G1105" t="n">
        <v>25548</v>
      </c>
      <c r="H1105" t="n">
        <v>21069</v>
      </c>
      <c r="I1105" t="n">
        <v>71957</v>
      </c>
      <c r="J1105" t="n">
        <v>394322.2000000046</v>
      </c>
      <c r="K1105" t="n">
        <v>26126</v>
      </c>
      <c r="L1105" t="n">
        <v>98684</v>
      </c>
      <c r="M1105" t="n">
        <v>54699</v>
      </c>
      <c r="N1105" t="n">
        <v>74302</v>
      </c>
      <c r="O1105" t="n">
        <v>23818</v>
      </c>
      <c r="P1105" t="n">
        <v>262</v>
      </c>
    </row>
    <row r="1106">
      <c r="A1106" t="inlineStr">
        <is>
          <t>MQ</t>
        </is>
      </c>
      <c r="B1106" t="n">
        <v>2018</v>
      </c>
      <c r="C1106" t="n">
        <v>11</v>
      </c>
      <c r="D1106" t="n">
        <v>24593</v>
      </c>
      <c r="E1106" t="n">
        <v>779</v>
      </c>
      <c r="F1106" t="n">
        <v>62</v>
      </c>
      <c r="G1106" t="n">
        <v>23752</v>
      </c>
      <c r="H1106" t="n">
        <v>19294</v>
      </c>
      <c r="I1106" t="n">
        <v>100872</v>
      </c>
      <c r="J1106" t="n">
        <v>404779.0999999986</v>
      </c>
      <c r="K1106" t="n">
        <v>24453</v>
      </c>
      <c r="L1106" t="n">
        <v>109921</v>
      </c>
      <c r="M1106" t="n">
        <v>57402</v>
      </c>
      <c r="N1106" t="n">
        <v>76387</v>
      </c>
      <c r="O1106" t="n">
        <v>23904</v>
      </c>
      <c r="P1106" t="n">
        <v>62</v>
      </c>
    </row>
    <row r="1107">
      <c r="A1107" t="inlineStr">
        <is>
          <t>MQ</t>
        </is>
      </c>
      <c r="B1107" t="n">
        <v>2018</v>
      </c>
      <c r="C1107" t="n">
        <v>12</v>
      </c>
      <c r="D1107" t="n">
        <v>25596</v>
      </c>
      <c r="E1107" t="n">
        <v>572</v>
      </c>
      <c r="F1107" t="n">
        <v>75</v>
      </c>
      <c r="G1107" t="n">
        <v>24949</v>
      </c>
      <c r="H1107" t="n">
        <v>19627</v>
      </c>
      <c r="I1107" t="n">
        <v>118323</v>
      </c>
      <c r="J1107" t="n">
        <v>419990.0999999988</v>
      </c>
      <c r="K1107" t="n">
        <v>25451</v>
      </c>
      <c r="L1107" t="n">
        <v>117301</v>
      </c>
      <c r="M1107" t="n">
        <v>69900</v>
      </c>
      <c r="N1107" t="n">
        <v>73943</v>
      </c>
      <c r="O1107" t="n">
        <v>24870</v>
      </c>
      <c r="P1107" t="n">
        <v>215</v>
      </c>
    </row>
    <row r="1108">
      <c r="A1108" t="inlineStr">
        <is>
          <t>MQ</t>
        </is>
      </c>
      <c r="B1108" t="n">
        <v>2019</v>
      </c>
      <c r="C1108" t="n">
        <v>1</v>
      </c>
      <c r="D1108" t="n">
        <v>25699</v>
      </c>
      <c r="E1108" t="n">
        <v>1939</v>
      </c>
      <c r="F1108" t="n">
        <v>50</v>
      </c>
      <c r="G1108" t="n">
        <v>23710</v>
      </c>
      <c r="H1108" t="n">
        <v>17866</v>
      </c>
      <c r="I1108" t="n">
        <v>188476</v>
      </c>
      <c r="J1108" t="n">
        <v>435334.7999999977</v>
      </c>
      <c r="K1108" t="n">
        <v>25639</v>
      </c>
      <c r="L1108" t="n">
        <v>134101</v>
      </c>
      <c r="M1108" t="n">
        <v>68296</v>
      </c>
      <c r="N1108" t="n">
        <v>111277</v>
      </c>
      <c r="O1108" t="n">
        <v>28628</v>
      </c>
      <c r="P1108" t="n">
        <v>192</v>
      </c>
    </row>
    <row r="1109">
      <c r="A1109" t="inlineStr">
        <is>
          <t>MQ</t>
        </is>
      </c>
      <c r="B1109" t="n">
        <v>2019</v>
      </c>
      <c r="C1109" t="n">
        <v>2</v>
      </c>
      <c r="D1109" t="n">
        <v>23312</v>
      </c>
      <c r="E1109" t="n">
        <v>1417</v>
      </c>
      <c r="F1109" t="n">
        <v>82</v>
      </c>
      <c r="G1109" t="n">
        <v>21813</v>
      </c>
      <c r="H1109" t="n">
        <v>15509</v>
      </c>
      <c r="I1109" t="n">
        <v>301669</v>
      </c>
      <c r="J1109" t="n">
        <v>386040.1999999986</v>
      </c>
      <c r="K1109" t="n">
        <v>23311</v>
      </c>
      <c r="L1109" t="n">
        <v>184008</v>
      </c>
      <c r="M1109" t="n">
        <v>102736</v>
      </c>
      <c r="N1109" t="n">
        <v>103658</v>
      </c>
      <c r="O1109" t="n">
        <v>34169</v>
      </c>
      <c r="P1109" t="n">
        <v>203</v>
      </c>
    </row>
    <row r="1110">
      <c r="A1110" t="inlineStr">
        <is>
          <t>MQ</t>
        </is>
      </c>
      <c r="B1110" t="n">
        <v>2019</v>
      </c>
      <c r="C1110" t="n">
        <v>3</v>
      </c>
      <c r="D1110" t="n">
        <v>26740</v>
      </c>
      <c r="E1110" t="n">
        <v>379</v>
      </c>
      <c r="F1110" t="n">
        <v>49</v>
      </c>
      <c r="G1110" t="n">
        <v>26312</v>
      </c>
      <c r="H1110" t="n">
        <v>22019</v>
      </c>
      <c r="I1110" t="n">
        <v>66127</v>
      </c>
      <c r="J1110" t="n">
        <v>434110.5000000018</v>
      </c>
      <c r="K1110" t="n">
        <v>26739</v>
      </c>
      <c r="L1110" t="n">
        <v>112315</v>
      </c>
      <c r="M1110" t="n">
        <v>72058</v>
      </c>
      <c r="N1110" t="n">
        <v>55121</v>
      </c>
      <c r="O1110" t="n">
        <v>13896</v>
      </c>
      <c r="P1110" t="n">
        <v>113</v>
      </c>
    </row>
    <row r="1111">
      <c r="A1111" t="inlineStr">
        <is>
          <t>MQ</t>
        </is>
      </c>
      <c r="B1111" t="n">
        <v>2019</v>
      </c>
      <c r="C1111" t="n">
        <v>4</v>
      </c>
      <c r="D1111" t="n">
        <v>26176</v>
      </c>
      <c r="E1111" t="n">
        <v>1038</v>
      </c>
      <c r="F1111" t="n">
        <v>75</v>
      </c>
      <c r="G1111" t="n">
        <v>25063</v>
      </c>
      <c r="H1111" t="n">
        <v>20834</v>
      </c>
      <c r="I1111" t="n">
        <v>94874</v>
      </c>
      <c r="J1111" t="n">
        <v>418363.7000000001</v>
      </c>
      <c r="K1111" t="n">
        <v>26154</v>
      </c>
      <c r="L1111" t="n">
        <v>108949</v>
      </c>
      <c r="M1111" t="n">
        <v>72392</v>
      </c>
      <c r="N1111" t="n">
        <v>79049</v>
      </c>
      <c r="O1111" t="n">
        <v>29179</v>
      </c>
      <c r="P1111" t="n">
        <v>459</v>
      </c>
    </row>
    <row r="1112">
      <c r="A1112" t="inlineStr">
        <is>
          <t>MQ</t>
        </is>
      </c>
      <c r="B1112" t="n">
        <v>2019</v>
      </c>
      <c r="C1112" t="n">
        <v>5</v>
      </c>
      <c r="D1112" t="n">
        <v>28795</v>
      </c>
      <c r="E1112" t="n">
        <v>1034</v>
      </c>
      <c r="F1112" t="n">
        <v>82</v>
      </c>
      <c r="G1112" t="n">
        <v>27679</v>
      </c>
      <c r="H1112" t="n">
        <v>21341</v>
      </c>
      <c r="I1112" t="n">
        <v>270439</v>
      </c>
      <c r="J1112" t="n">
        <v>434641.1999999959</v>
      </c>
      <c r="K1112" t="n">
        <v>28580</v>
      </c>
      <c r="L1112" t="n">
        <v>180885</v>
      </c>
      <c r="M1112" t="n">
        <v>90168</v>
      </c>
      <c r="N1112" t="n">
        <v>119128</v>
      </c>
      <c r="O1112" t="n">
        <v>46469</v>
      </c>
      <c r="P1112" t="n">
        <v>147</v>
      </c>
    </row>
    <row r="1113">
      <c r="A1113" t="inlineStr">
        <is>
          <t>MQ</t>
        </is>
      </c>
      <c r="B1113" t="n">
        <v>2019</v>
      </c>
      <c r="C1113" t="n">
        <v>6</v>
      </c>
      <c r="D1113" t="n">
        <v>28456</v>
      </c>
      <c r="E1113" t="n">
        <v>1297</v>
      </c>
      <c r="F1113" t="n">
        <v>139</v>
      </c>
      <c r="G1113" t="n">
        <v>27020</v>
      </c>
      <c r="H1113" t="n">
        <v>19509</v>
      </c>
      <c r="I1113" t="n">
        <v>386988</v>
      </c>
      <c r="J1113" t="n">
        <v>449796.9999999999</v>
      </c>
      <c r="K1113" t="n">
        <v>28374</v>
      </c>
      <c r="L1113" t="n">
        <v>217933</v>
      </c>
      <c r="M1113" t="n">
        <v>123302</v>
      </c>
      <c r="N1113" t="n">
        <v>143507</v>
      </c>
      <c r="O1113" t="n">
        <v>39774</v>
      </c>
      <c r="P1113" t="n">
        <v>329</v>
      </c>
    </row>
    <row r="1114">
      <c r="A1114" t="inlineStr">
        <is>
          <t>MQ</t>
        </is>
      </c>
      <c r="B1114" t="n">
        <v>2019</v>
      </c>
      <c r="C1114" t="n">
        <v>7</v>
      </c>
      <c r="D1114" t="n">
        <v>29565</v>
      </c>
      <c r="E1114" t="n">
        <v>1298</v>
      </c>
      <c r="F1114" t="n">
        <v>99</v>
      </c>
      <c r="G1114" t="n">
        <v>28168</v>
      </c>
      <c r="H1114" t="n">
        <v>21949</v>
      </c>
      <c r="I1114" t="n">
        <v>262097</v>
      </c>
      <c r="J1114" t="n">
        <v>469687.6999999979</v>
      </c>
      <c r="K1114" t="n">
        <v>29535</v>
      </c>
      <c r="L1114" t="n">
        <v>191725</v>
      </c>
      <c r="M1114" t="n">
        <v>106442</v>
      </c>
      <c r="N1114" t="n">
        <v>116250</v>
      </c>
      <c r="O1114" t="n">
        <v>35715</v>
      </c>
      <c r="P1114" t="n">
        <v>168</v>
      </c>
    </row>
    <row r="1115">
      <c r="A1115" t="inlineStr">
        <is>
          <t>MQ</t>
        </is>
      </c>
      <c r="B1115" t="n">
        <v>2019</v>
      </c>
      <c r="C1115" t="n">
        <v>8</v>
      </c>
      <c r="D1115" t="n">
        <v>29931</v>
      </c>
      <c r="E1115" t="n">
        <v>1038</v>
      </c>
      <c r="F1115" t="n">
        <v>102</v>
      </c>
      <c r="G1115" t="n">
        <v>28791</v>
      </c>
      <c r="H1115" t="n">
        <v>22723</v>
      </c>
      <c r="I1115" t="n">
        <v>192804</v>
      </c>
      <c r="J1115" t="n">
        <v>472784.7000000037</v>
      </c>
      <c r="K1115" t="n">
        <v>29841</v>
      </c>
      <c r="L1115" t="n">
        <v>162566</v>
      </c>
      <c r="M1115" t="n">
        <v>83454</v>
      </c>
      <c r="N1115" t="n">
        <v>102407</v>
      </c>
      <c r="O1115" t="n">
        <v>34910</v>
      </c>
      <c r="P1115" t="n">
        <v>227</v>
      </c>
    </row>
    <row r="1116">
      <c r="A1116" t="inlineStr">
        <is>
          <t>MQ</t>
        </is>
      </c>
      <c r="B1116" t="n">
        <v>2019</v>
      </c>
      <c r="C1116" t="n">
        <v>9</v>
      </c>
      <c r="D1116" t="n">
        <v>27249</v>
      </c>
      <c r="E1116" t="n">
        <v>776</v>
      </c>
      <c r="F1116" t="n">
        <v>46</v>
      </c>
      <c r="G1116" t="n">
        <v>26427</v>
      </c>
      <c r="H1116" t="n">
        <v>21854</v>
      </c>
      <c r="I1116" t="n">
        <v>99256</v>
      </c>
      <c r="J1116" t="n">
        <v>410229.3000000005</v>
      </c>
      <c r="K1116" t="n">
        <v>27194</v>
      </c>
      <c r="L1116" t="n">
        <v>114340</v>
      </c>
      <c r="M1116" t="n">
        <v>66002</v>
      </c>
      <c r="N1116" t="n">
        <v>89735</v>
      </c>
      <c r="O1116" t="n">
        <v>19573</v>
      </c>
      <c r="P1116" t="n">
        <v>234</v>
      </c>
    </row>
    <row r="1117">
      <c r="A1117" t="inlineStr">
        <is>
          <t>MQ</t>
        </is>
      </c>
      <c r="B1117" t="n">
        <v>2019</v>
      </c>
      <c r="C1117" t="n">
        <v>10</v>
      </c>
      <c r="D1117" t="n">
        <v>28052</v>
      </c>
      <c r="E1117" t="n">
        <v>420</v>
      </c>
      <c r="F1117" t="n">
        <v>62</v>
      </c>
      <c r="G1117" t="n">
        <v>27570</v>
      </c>
      <c r="H1117" t="n">
        <v>22547</v>
      </c>
      <c r="I1117" t="n">
        <v>121152</v>
      </c>
      <c r="J1117" t="n">
        <v>439330.3999999996</v>
      </c>
      <c r="K1117" t="n">
        <v>28033</v>
      </c>
      <c r="L1117" t="n">
        <v>121742</v>
      </c>
      <c r="M1117" t="n">
        <v>72016</v>
      </c>
      <c r="N1117" t="n">
        <v>88029</v>
      </c>
      <c r="O1117" t="n">
        <v>25472</v>
      </c>
      <c r="P1117" t="n">
        <v>328</v>
      </c>
    </row>
    <row r="1118">
      <c r="A1118" t="inlineStr">
        <is>
          <t>MQ</t>
        </is>
      </c>
      <c r="B1118" t="n">
        <v>2019</v>
      </c>
      <c r="C1118" t="n">
        <v>11</v>
      </c>
      <c r="D1118" t="n">
        <v>25932</v>
      </c>
      <c r="E1118" t="n">
        <v>415</v>
      </c>
      <c r="F1118" t="n">
        <v>45</v>
      </c>
      <c r="G1118" t="n">
        <v>25472</v>
      </c>
      <c r="H1118" t="n">
        <v>21559</v>
      </c>
      <c r="I1118" t="n">
        <v>10152</v>
      </c>
      <c r="J1118" t="n">
        <v>457284.2999999957</v>
      </c>
      <c r="K1118" t="n">
        <v>25813</v>
      </c>
      <c r="L1118" t="n">
        <v>80583</v>
      </c>
      <c r="M1118" t="n">
        <v>61006</v>
      </c>
      <c r="N1118" t="n">
        <v>53791</v>
      </c>
      <c r="O1118" t="n">
        <v>15126</v>
      </c>
      <c r="P1118" t="n">
        <v>333</v>
      </c>
    </row>
    <row r="1119">
      <c r="A1119" t="inlineStr">
        <is>
          <t>MQ</t>
        </is>
      </c>
      <c r="B1119" t="n">
        <v>2019</v>
      </c>
      <c r="C1119" t="n">
        <v>12</v>
      </c>
      <c r="D1119" t="n">
        <v>27100</v>
      </c>
      <c r="E1119" t="n">
        <v>379</v>
      </c>
      <c r="F1119" t="n">
        <v>88</v>
      </c>
      <c r="G1119" t="n">
        <v>26633</v>
      </c>
      <c r="H1119" t="n">
        <v>21105</v>
      </c>
      <c r="I1119" t="n">
        <v>171719</v>
      </c>
      <c r="J1119" t="n">
        <v>471993.7000000033</v>
      </c>
      <c r="K1119" t="n">
        <v>26828</v>
      </c>
      <c r="L1119" t="n">
        <v>175206</v>
      </c>
      <c r="M1119" t="n">
        <v>79169</v>
      </c>
      <c r="N1119" t="n">
        <v>74871</v>
      </c>
      <c r="O1119" t="n">
        <v>39127</v>
      </c>
      <c r="P1119" t="n">
        <v>286</v>
      </c>
    </row>
    <row r="1120">
      <c r="A1120" t="inlineStr">
        <is>
          <t>MQ</t>
        </is>
      </c>
      <c r="B1120" t="n">
        <v>2020</v>
      </c>
      <c r="C1120" t="n">
        <v>1</v>
      </c>
      <c r="D1120" t="n">
        <v>26200</v>
      </c>
      <c r="E1120" t="n">
        <v>834</v>
      </c>
      <c r="F1120" t="n">
        <v>82</v>
      </c>
      <c r="G1120" t="n">
        <v>25284</v>
      </c>
      <c r="H1120" t="n">
        <v>20305</v>
      </c>
      <c r="I1120" t="n">
        <v>99948</v>
      </c>
      <c r="J1120" t="n">
        <v>491754.4000000021</v>
      </c>
      <c r="K1120" t="n">
        <v>26141</v>
      </c>
      <c r="L1120" t="n">
        <v>131164</v>
      </c>
      <c r="M1120" t="n">
        <v>70800</v>
      </c>
      <c r="N1120" t="n">
        <v>67177</v>
      </c>
      <c r="O1120" t="n">
        <v>34304</v>
      </c>
      <c r="P1120" t="n">
        <v>291</v>
      </c>
    </row>
    <row r="1121">
      <c r="A1121" t="inlineStr">
        <is>
          <t>MQ</t>
        </is>
      </c>
      <c r="B1121" t="n">
        <v>2020</v>
      </c>
      <c r="C1121" t="n">
        <v>2</v>
      </c>
      <c r="D1121" t="n">
        <v>24193</v>
      </c>
      <c r="E1121" t="n">
        <v>445</v>
      </c>
      <c r="F1121" t="n">
        <v>41</v>
      </c>
      <c r="G1121" t="n">
        <v>23707</v>
      </c>
      <c r="H1121" t="n">
        <v>19557</v>
      </c>
      <c r="I1121" t="n">
        <v>42843</v>
      </c>
      <c r="J1121" t="n">
        <v>452096.3999999996</v>
      </c>
      <c r="K1121" t="n">
        <v>24114</v>
      </c>
      <c r="L1121" t="n">
        <v>107411</v>
      </c>
      <c r="M1121" t="n">
        <v>63932</v>
      </c>
      <c r="N1121" t="n">
        <v>67338</v>
      </c>
      <c r="O1121" t="n">
        <v>14219</v>
      </c>
      <c r="P1121" t="n">
        <v>201</v>
      </c>
    </row>
    <row r="1122">
      <c r="A1122" t="inlineStr">
        <is>
          <t>MQ</t>
        </is>
      </c>
      <c r="B1122" t="n">
        <v>2020</v>
      </c>
      <c r="C1122" t="n">
        <v>3</v>
      </c>
      <c r="D1122" t="n">
        <v>27041</v>
      </c>
      <c r="E1122" t="n">
        <v>3656</v>
      </c>
      <c r="F1122" t="n">
        <v>34</v>
      </c>
      <c r="G1122" t="n">
        <v>23351</v>
      </c>
      <c r="H1122" t="n">
        <v>20590</v>
      </c>
      <c r="I1122" t="n">
        <v>-80121</v>
      </c>
      <c r="J1122" t="n">
        <v>457561.7000000022</v>
      </c>
      <c r="K1122" t="n">
        <v>26731</v>
      </c>
      <c r="L1122" t="n">
        <v>52185</v>
      </c>
      <c r="M1122" t="n">
        <v>45633</v>
      </c>
      <c r="N1122" t="n">
        <v>40464</v>
      </c>
      <c r="O1122" t="n">
        <v>10339</v>
      </c>
      <c r="P1122" t="n">
        <v>148</v>
      </c>
    </row>
    <row r="1123">
      <c r="A1123" t="inlineStr">
        <is>
          <t>MQ</t>
        </is>
      </c>
      <c r="B1123" t="n">
        <v>2020</v>
      </c>
      <c r="C1123" t="n">
        <v>4</v>
      </c>
      <c r="D1123" t="n">
        <v>14310</v>
      </c>
      <c r="E1123" t="n">
        <v>5563</v>
      </c>
      <c r="F1123" t="n">
        <v>8</v>
      </c>
      <c r="G1123" t="n">
        <v>8739</v>
      </c>
      <c r="H1123" t="n">
        <v>8399</v>
      </c>
      <c r="I1123" t="n">
        <v>-136028</v>
      </c>
      <c r="J1123" t="n">
        <v>226966.5999999989</v>
      </c>
      <c r="K1123" t="n">
        <v>14233</v>
      </c>
      <c r="L1123" t="n">
        <v>3300</v>
      </c>
      <c r="M1123" t="n">
        <v>6904</v>
      </c>
      <c r="N1123" t="n">
        <v>4307</v>
      </c>
      <c r="O1123" t="n">
        <v>1623</v>
      </c>
      <c r="P1123" t="n">
        <v>32</v>
      </c>
    </row>
    <row r="1124">
      <c r="A1124" t="inlineStr">
        <is>
          <t>MQ</t>
        </is>
      </c>
      <c r="B1124" t="n">
        <v>2020</v>
      </c>
      <c r="C1124" t="n">
        <v>5</v>
      </c>
      <c r="D1124" t="n">
        <v>9369</v>
      </c>
      <c r="E1124" t="n">
        <v>124</v>
      </c>
      <c r="F1124" t="n">
        <v>9</v>
      </c>
      <c r="G1124" t="n">
        <v>9236</v>
      </c>
      <c r="H1124" t="n">
        <v>8572</v>
      </c>
      <c r="I1124" t="n">
        <v>-85899</v>
      </c>
      <c r="J1124" t="n">
        <v>151420.3999999996</v>
      </c>
      <c r="K1124" t="n">
        <v>9223</v>
      </c>
      <c r="L1124" t="n">
        <v>12662</v>
      </c>
      <c r="M1124" t="n">
        <v>10025</v>
      </c>
      <c r="N1124" t="n">
        <v>9451</v>
      </c>
      <c r="O1124" t="n">
        <v>3426</v>
      </c>
      <c r="P1124" t="n">
        <v>86</v>
      </c>
    </row>
    <row r="1125">
      <c r="A1125" t="inlineStr">
        <is>
          <t>MQ</t>
        </is>
      </c>
      <c r="B1125" t="n">
        <v>2020</v>
      </c>
      <c r="C1125" t="n">
        <v>6</v>
      </c>
      <c r="D1125" t="n">
        <v>11163</v>
      </c>
      <c r="E1125" t="n">
        <v>2</v>
      </c>
      <c r="F1125" t="n">
        <v>17</v>
      </c>
      <c r="G1125" t="n">
        <v>11144</v>
      </c>
      <c r="H1125" t="n">
        <v>10004</v>
      </c>
      <c r="I1125" t="n">
        <v>-20500</v>
      </c>
      <c r="J1125" t="n">
        <v>129842.8999999999</v>
      </c>
      <c r="K1125" t="n">
        <v>11155</v>
      </c>
      <c r="L1125" t="n">
        <v>18403</v>
      </c>
      <c r="M1125" t="n">
        <v>18771</v>
      </c>
      <c r="N1125" t="n">
        <v>17630</v>
      </c>
      <c r="O1125" t="n">
        <v>6311</v>
      </c>
      <c r="P1125" t="n">
        <v>77</v>
      </c>
    </row>
    <row r="1126">
      <c r="A1126" t="inlineStr">
        <is>
          <t>MQ</t>
        </is>
      </c>
      <c r="B1126" t="n">
        <v>2020</v>
      </c>
      <c r="C1126" t="n">
        <v>7</v>
      </c>
      <c r="D1126" t="n">
        <v>17852</v>
      </c>
      <c r="E1126" t="n">
        <v>68</v>
      </c>
      <c r="F1126" t="n">
        <v>30</v>
      </c>
      <c r="G1126" t="n">
        <v>17754</v>
      </c>
      <c r="H1126" t="n">
        <v>15506</v>
      </c>
      <c r="I1126" t="n">
        <v>-2473</v>
      </c>
      <c r="J1126" t="n">
        <v>204562.4999999985</v>
      </c>
      <c r="K1126" t="n">
        <v>17806</v>
      </c>
      <c r="L1126" t="n">
        <v>41735</v>
      </c>
      <c r="M1126" t="n">
        <v>32439</v>
      </c>
      <c r="N1126" t="n">
        <v>37576</v>
      </c>
      <c r="O1126" t="n">
        <v>12297</v>
      </c>
      <c r="P1126" t="n">
        <v>205</v>
      </c>
    </row>
    <row r="1127">
      <c r="A1127" t="inlineStr">
        <is>
          <t>MQ</t>
        </is>
      </c>
      <c r="B1127" t="n">
        <v>2020</v>
      </c>
      <c r="C1127" t="n">
        <v>8</v>
      </c>
      <c r="D1127" t="n">
        <v>16483</v>
      </c>
      <c r="E1127" t="n">
        <v>95</v>
      </c>
      <c r="F1127" t="n">
        <v>29</v>
      </c>
      <c r="G1127" t="n">
        <v>16359</v>
      </c>
      <c r="H1127" t="n">
        <v>14775</v>
      </c>
      <c r="I1127" t="n">
        <v>-36422</v>
      </c>
      <c r="J1127" t="n">
        <v>184030.7999999985</v>
      </c>
      <c r="K1127" t="n">
        <v>16389</v>
      </c>
      <c r="L1127" t="n">
        <v>21344</v>
      </c>
      <c r="M1127" t="n">
        <v>22105</v>
      </c>
      <c r="N1127" t="n">
        <v>27867</v>
      </c>
      <c r="O1127" t="n">
        <v>21374</v>
      </c>
      <c r="P1127" t="n">
        <v>151</v>
      </c>
    </row>
    <row r="1128">
      <c r="A1128" t="inlineStr">
        <is>
          <t>MQ</t>
        </is>
      </c>
      <c r="B1128" t="n">
        <v>2020</v>
      </c>
      <c r="C1128" t="n">
        <v>9</v>
      </c>
      <c r="D1128" t="n">
        <v>15387</v>
      </c>
      <c r="E1128" t="n">
        <v>105</v>
      </c>
      <c r="F1128" t="n">
        <v>31</v>
      </c>
      <c r="G1128" t="n">
        <v>15251</v>
      </c>
      <c r="H1128" t="n">
        <v>13609</v>
      </c>
      <c r="I1128" t="n">
        <v>-19744</v>
      </c>
      <c r="J1128" t="n">
        <v>182716.600000001</v>
      </c>
      <c r="K1128" t="n">
        <v>15240</v>
      </c>
      <c r="L1128" t="n">
        <v>19666</v>
      </c>
      <c r="M1128" t="n">
        <v>24321</v>
      </c>
      <c r="N1128" t="n">
        <v>32092</v>
      </c>
      <c r="O1128" t="n">
        <v>13012</v>
      </c>
      <c r="P1128" t="n">
        <v>129</v>
      </c>
    </row>
    <row r="1129">
      <c r="A1129" t="inlineStr">
        <is>
          <t>MQ</t>
        </is>
      </c>
      <c r="B1129" t="n">
        <v>2020</v>
      </c>
      <c r="C1129" t="n">
        <v>10</v>
      </c>
      <c r="D1129" t="n">
        <v>16591</v>
      </c>
      <c r="E1129" t="n">
        <v>104</v>
      </c>
      <c r="F1129" t="n">
        <v>25</v>
      </c>
      <c r="G1129" t="n">
        <v>16462</v>
      </c>
      <c r="H1129" t="n">
        <v>13742</v>
      </c>
      <c r="I1129" t="n">
        <v>46085</v>
      </c>
      <c r="J1129" t="n">
        <v>213216.500000001</v>
      </c>
      <c r="K1129" t="n">
        <v>16497</v>
      </c>
      <c r="L1129" t="n">
        <v>45909</v>
      </c>
      <c r="M1129" t="n">
        <v>25787</v>
      </c>
      <c r="N1129" t="n">
        <v>49564</v>
      </c>
      <c r="O1129" t="n">
        <v>17620</v>
      </c>
      <c r="P1129" t="n">
        <v>309</v>
      </c>
    </row>
    <row r="1130">
      <c r="A1130" t="inlineStr">
        <is>
          <t>MQ</t>
        </is>
      </c>
      <c r="B1130" t="n">
        <v>2020</v>
      </c>
      <c r="C1130" t="n">
        <v>11</v>
      </c>
      <c r="D1130" t="n">
        <v>15865</v>
      </c>
      <c r="E1130" t="n">
        <v>24</v>
      </c>
      <c r="F1130" t="n">
        <v>18</v>
      </c>
      <c r="G1130" t="n">
        <v>15823</v>
      </c>
      <c r="H1130" t="n">
        <v>14069</v>
      </c>
      <c r="I1130" t="n">
        <v>-44727</v>
      </c>
      <c r="J1130" t="n">
        <v>257215.7999999999</v>
      </c>
      <c r="K1130" t="n">
        <v>15681</v>
      </c>
      <c r="L1130" t="n">
        <v>15812</v>
      </c>
      <c r="M1130" t="n">
        <v>26518</v>
      </c>
      <c r="N1130" t="n">
        <v>27988</v>
      </c>
      <c r="O1130" t="n">
        <v>7079</v>
      </c>
      <c r="P1130" t="n">
        <v>316</v>
      </c>
    </row>
    <row r="1131">
      <c r="A1131" t="inlineStr">
        <is>
          <t>MQ</t>
        </is>
      </c>
      <c r="B1131" t="n">
        <v>2020</v>
      </c>
      <c r="C1131" t="n">
        <v>12</v>
      </c>
      <c r="D1131" t="n">
        <v>16814</v>
      </c>
      <c r="E1131" t="n">
        <v>182</v>
      </c>
      <c r="F1131" t="n">
        <v>30</v>
      </c>
      <c r="G1131" t="n">
        <v>16602</v>
      </c>
      <c r="H1131" t="n">
        <v>14060</v>
      </c>
      <c r="I1131" t="n">
        <v>4844</v>
      </c>
      <c r="J1131" t="n">
        <v>306048.5999999999</v>
      </c>
      <c r="K1131" t="n">
        <v>16727</v>
      </c>
      <c r="L1131" t="n">
        <v>39219</v>
      </c>
      <c r="M1131" t="n">
        <v>32513</v>
      </c>
      <c r="N1131" t="n">
        <v>50354</v>
      </c>
      <c r="O1131" t="n">
        <v>14060</v>
      </c>
      <c r="P1131" t="n">
        <v>360</v>
      </c>
    </row>
    <row r="1132">
      <c r="A1132" t="inlineStr">
        <is>
          <t>MQ</t>
        </is>
      </c>
      <c r="B1132" t="n">
        <v>2021</v>
      </c>
      <c r="C1132" t="n">
        <v>1</v>
      </c>
      <c r="D1132" t="n">
        <v>17665</v>
      </c>
      <c r="E1132" t="n">
        <v>331</v>
      </c>
      <c r="F1132" t="n">
        <v>44</v>
      </c>
      <c r="G1132" t="n">
        <v>17290</v>
      </c>
      <c r="H1132" t="n">
        <v>14656</v>
      </c>
      <c r="I1132" t="n">
        <v>-15204</v>
      </c>
      <c r="J1132" t="n">
        <v>377111.3000000025</v>
      </c>
      <c r="K1132" t="n">
        <v>17623</v>
      </c>
      <c r="L1132" t="n">
        <v>36315</v>
      </c>
      <c r="M1132" t="n">
        <v>29387</v>
      </c>
      <c r="N1132" t="n">
        <v>67011</v>
      </c>
      <c r="O1132" t="n">
        <v>25329</v>
      </c>
      <c r="P1132" t="n">
        <v>635</v>
      </c>
    </row>
    <row r="1133">
      <c r="A1133" t="inlineStr">
        <is>
          <t>MQ</t>
        </is>
      </c>
      <c r="B1133" t="n">
        <v>2021</v>
      </c>
      <c r="C1133" t="n">
        <v>2</v>
      </c>
      <c r="D1133" t="n">
        <v>15648</v>
      </c>
      <c r="E1133" t="n">
        <v>2233</v>
      </c>
      <c r="F1133" t="n">
        <v>45</v>
      </c>
      <c r="G1133" t="n">
        <v>13370</v>
      </c>
      <c r="H1133" t="n">
        <v>10505</v>
      </c>
      <c r="I1133" t="n">
        <v>63761</v>
      </c>
      <c r="J1133" t="n">
        <v>340697.4000000007</v>
      </c>
      <c r="K1133" t="n">
        <v>15603</v>
      </c>
      <c r="L1133" t="n">
        <v>43898</v>
      </c>
      <c r="M1133" t="n">
        <v>28349</v>
      </c>
      <c r="N1133" t="n">
        <v>65700</v>
      </c>
      <c r="O1133" t="n">
        <v>43837</v>
      </c>
      <c r="P1133" t="n">
        <v>123</v>
      </c>
    </row>
    <row r="1134">
      <c r="A1134" t="inlineStr">
        <is>
          <t>MQ</t>
        </is>
      </c>
      <c r="B1134" t="n">
        <v>2021</v>
      </c>
      <c r="C1134" t="n">
        <v>3</v>
      </c>
      <c r="D1134" t="n">
        <v>19760</v>
      </c>
      <c r="E1134" t="n">
        <v>231</v>
      </c>
      <c r="F1134" t="n">
        <v>42</v>
      </c>
      <c r="G1134" t="n">
        <v>19487</v>
      </c>
      <c r="H1134" t="n">
        <v>17267</v>
      </c>
      <c r="I1134" t="n">
        <v>-64980</v>
      </c>
      <c r="J1134" t="n">
        <v>428325.2999999972</v>
      </c>
      <c r="K1134" t="n">
        <v>19707</v>
      </c>
      <c r="L1134" t="n">
        <v>44546</v>
      </c>
      <c r="M1134" t="n">
        <v>33823</v>
      </c>
      <c r="N1134" t="n">
        <v>45512</v>
      </c>
      <c r="O1134" t="n">
        <v>15420</v>
      </c>
      <c r="P1134" t="n">
        <v>275</v>
      </c>
    </row>
    <row r="1135">
      <c r="A1135" t="inlineStr">
        <is>
          <t>MQ</t>
        </is>
      </c>
      <c r="B1135" t="n">
        <v>2021</v>
      </c>
      <c r="C1135" t="n">
        <v>4</v>
      </c>
      <c r="D1135" t="n">
        <v>19605</v>
      </c>
      <c r="E1135" t="n">
        <v>127</v>
      </c>
      <c r="F1135" t="n">
        <v>58</v>
      </c>
      <c r="G1135" t="n">
        <v>19420</v>
      </c>
      <c r="H1135" t="n">
        <v>16881</v>
      </c>
      <c r="I1135" t="n">
        <v>-45247</v>
      </c>
      <c r="J1135" t="n">
        <v>376858.9999999979</v>
      </c>
      <c r="K1135" t="n">
        <v>19552</v>
      </c>
      <c r="L1135" t="n">
        <v>51708</v>
      </c>
      <c r="M1135" t="n">
        <v>29776</v>
      </c>
      <c r="N1135" t="n">
        <v>41482</v>
      </c>
      <c r="O1135" t="n">
        <v>17559</v>
      </c>
      <c r="P1135" t="n">
        <v>408</v>
      </c>
    </row>
    <row r="1136">
      <c r="A1136" t="inlineStr">
        <is>
          <t>MQ</t>
        </is>
      </c>
      <c r="B1136" t="n">
        <v>2021</v>
      </c>
      <c r="C1136" t="n">
        <v>5</v>
      </c>
      <c r="D1136" t="n">
        <v>21513</v>
      </c>
      <c r="E1136" t="n">
        <v>472</v>
      </c>
      <c r="F1136" t="n">
        <v>78</v>
      </c>
      <c r="G1136" t="n">
        <v>20963</v>
      </c>
      <c r="H1136" t="n">
        <v>17726</v>
      </c>
      <c r="I1136" t="n">
        <v>65218</v>
      </c>
      <c r="J1136" t="n">
        <v>373719.7999999993</v>
      </c>
      <c r="K1136" t="n">
        <v>21331</v>
      </c>
      <c r="L1136" t="n">
        <v>84017</v>
      </c>
      <c r="M1136" t="n">
        <v>40669</v>
      </c>
      <c r="N1136" t="n">
        <v>67955</v>
      </c>
      <c r="O1136" t="n">
        <v>44350</v>
      </c>
      <c r="P1136" t="n">
        <v>678</v>
      </c>
    </row>
    <row r="1137">
      <c r="A1137" t="inlineStr">
        <is>
          <t>MQ</t>
        </is>
      </c>
      <c r="B1137" t="n">
        <v>2021</v>
      </c>
      <c r="C1137" t="n">
        <v>6</v>
      </c>
      <c r="D1137" t="n">
        <v>23506</v>
      </c>
      <c r="E1137" t="n">
        <v>352</v>
      </c>
      <c r="F1137" t="n">
        <v>84</v>
      </c>
      <c r="G1137" t="n">
        <v>23070</v>
      </c>
      <c r="H1137" t="n">
        <v>18185</v>
      </c>
      <c r="I1137" t="n">
        <v>184225</v>
      </c>
      <c r="J1137" t="n">
        <v>404255.9000000009</v>
      </c>
      <c r="K1137" t="n">
        <v>23426</v>
      </c>
      <c r="L1137" t="n">
        <v>144035</v>
      </c>
      <c r="M1137" t="n">
        <v>76137</v>
      </c>
      <c r="N1137" t="n">
        <v>78351</v>
      </c>
      <c r="O1137" t="n">
        <v>50044</v>
      </c>
      <c r="P1137" t="n">
        <v>696</v>
      </c>
    </row>
    <row r="1138">
      <c r="A1138" t="inlineStr">
        <is>
          <t>MQ</t>
        </is>
      </c>
      <c r="B1138" t="n">
        <v>2021</v>
      </c>
      <c r="C1138" t="n">
        <v>7</v>
      </c>
      <c r="D1138" t="n">
        <v>24276</v>
      </c>
      <c r="E1138" t="n">
        <v>217</v>
      </c>
      <c r="F1138" t="n">
        <v>63</v>
      </c>
      <c r="G1138" t="n">
        <v>23996</v>
      </c>
      <c r="H1138" t="n">
        <v>19214</v>
      </c>
      <c r="I1138" t="n">
        <v>148745</v>
      </c>
      <c r="J1138" t="n">
        <v>414450.9000000016</v>
      </c>
      <c r="K1138" t="n">
        <v>24187</v>
      </c>
      <c r="L1138" t="n">
        <v>145376</v>
      </c>
      <c r="M1138" t="n">
        <v>94073</v>
      </c>
      <c r="N1138" t="n">
        <v>58824</v>
      </c>
      <c r="O1138" t="n">
        <v>25602</v>
      </c>
      <c r="P1138" t="n">
        <v>291</v>
      </c>
    </row>
    <row r="1139">
      <c r="A1139" t="inlineStr">
        <is>
          <t>MQ</t>
        </is>
      </c>
      <c r="B1139" t="n">
        <v>2021</v>
      </c>
      <c r="C1139" t="n">
        <v>8</v>
      </c>
      <c r="D1139" t="n">
        <v>24055</v>
      </c>
      <c r="E1139" t="n">
        <v>875</v>
      </c>
      <c r="F1139" t="n">
        <v>97</v>
      </c>
      <c r="G1139" t="n">
        <v>23083</v>
      </c>
      <c r="H1139" t="n">
        <v>18688</v>
      </c>
      <c r="I1139" t="n">
        <v>139269</v>
      </c>
      <c r="J1139" t="n">
        <v>393080.5000000014</v>
      </c>
      <c r="K1139" t="n">
        <v>23978</v>
      </c>
      <c r="L1139" t="n">
        <v>106135</v>
      </c>
      <c r="M1139" t="n">
        <v>69276</v>
      </c>
      <c r="N1139" t="n">
        <v>76362</v>
      </c>
      <c r="O1139" t="n">
        <v>51880</v>
      </c>
      <c r="P1139" t="n">
        <v>551</v>
      </c>
    </row>
    <row r="1140">
      <c r="A1140" t="inlineStr">
        <is>
          <t>MQ</t>
        </is>
      </c>
      <c r="B1140" t="n">
        <v>2021</v>
      </c>
      <c r="C1140" t="n">
        <v>9</v>
      </c>
      <c r="D1140" t="n">
        <v>21735</v>
      </c>
      <c r="E1140" t="n">
        <v>141</v>
      </c>
      <c r="F1140" t="n">
        <v>37</v>
      </c>
      <c r="G1140" t="n">
        <v>21557</v>
      </c>
      <c r="H1140" t="n">
        <v>19268</v>
      </c>
      <c r="I1140" t="n">
        <v>-54262</v>
      </c>
      <c r="J1140" t="n">
        <v>329483.5999999995</v>
      </c>
      <c r="K1140" t="n">
        <v>21540</v>
      </c>
      <c r="L1140" t="n">
        <v>41661</v>
      </c>
      <c r="M1140" t="n">
        <v>40897</v>
      </c>
      <c r="N1140" t="n">
        <v>33946</v>
      </c>
      <c r="O1140" t="n">
        <v>12338</v>
      </c>
      <c r="P1140" t="n">
        <v>130</v>
      </c>
    </row>
    <row r="1141">
      <c r="A1141" t="inlineStr">
        <is>
          <t>MQ</t>
        </is>
      </c>
      <c r="B1141" t="n">
        <v>2021</v>
      </c>
      <c r="C1141" t="n">
        <v>10</v>
      </c>
      <c r="D1141" t="n">
        <v>22776</v>
      </c>
      <c r="E1141" t="n">
        <v>478</v>
      </c>
      <c r="F1141" t="n">
        <v>36</v>
      </c>
      <c r="G1141" t="n">
        <v>22262</v>
      </c>
      <c r="H1141" t="n">
        <v>19166</v>
      </c>
      <c r="I1141" t="n">
        <v>14928</v>
      </c>
      <c r="J1141" t="n">
        <v>360748.8999999983</v>
      </c>
      <c r="K1141" t="n">
        <v>22691</v>
      </c>
      <c r="L1141" t="n">
        <v>59105</v>
      </c>
      <c r="M1141" t="n">
        <v>50764</v>
      </c>
      <c r="N1141" t="n">
        <v>52253</v>
      </c>
      <c r="O1141" t="n">
        <v>18302</v>
      </c>
      <c r="P1141" t="n">
        <v>212</v>
      </c>
    </row>
    <row r="1142">
      <c r="A1142" t="inlineStr">
        <is>
          <t>MQ</t>
        </is>
      </c>
      <c r="B1142" t="n">
        <v>2021</v>
      </c>
      <c r="C1142" t="n">
        <v>11</v>
      </c>
      <c r="D1142" t="n">
        <v>22326</v>
      </c>
      <c r="E1142" t="n">
        <v>58</v>
      </c>
      <c r="F1142" t="n">
        <v>28</v>
      </c>
      <c r="G1142" t="n">
        <v>22240</v>
      </c>
      <c r="H1142" t="n">
        <v>19771</v>
      </c>
      <c r="I1142" t="n">
        <v>-80743</v>
      </c>
      <c r="J1142" t="n">
        <v>410677.4999999991</v>
      </c>
      <c r="K1142" t="n">
        <v>22018</v>
      </c>
      <c r="L1142" t="n">
        <v>46842</v>
      </c>
      <c r="M1142" t="n">
        <v>50285</v>
      </c>
      <c r="N1142" t="n">
        <v>21748</v>
      </c>
      <c r="O1142" t="n">
        <v>6874</v>
      </c>
      <c r="P1142" t="n">
        <v>692</v>
      </c>
    </row>
    <row r="1143">
      <c r="A1143" t="inlineStr">
        <is>
          <t>MQ</t>
        </is>
      </c>
      <c r="B1143" t="n">
        <v>2021</v>
      </c>
      <c r="C1143" t="n">
        <v>12</v>
      </c>
      <c r="D1143" t="n">
        <v>22845</v>
      </c>
      <c r="E1143" t="n">
        <v>185</v>
      </c>
      <c r="F1143" t="n">
        <v>54</v>
      </c>
      <c r="G1143" t="n">
        <v>22606</v>
      </c>
      <c r="H1143" t="n">
        <v>19172</v>
      </c>
      <c r="I1143" t="n">
        <v>-4469</v>
      </c>
      <c r="J1143" t="n">
        <v>417619.2000000032</v>
      </c>
      <c r="K1143" t="n">
        <v>22471</v>
      </c>
      <c r="L1143" t="n">
        <v>73138</v>
      </c>
      <c r="M1143" t="n">
        <v>59410</v>
      </c>
      <c r="N1143" t="n">
        <v>34403</v>
      </c>
      <c r="O1143" t="n">
        <v>22890</v>
      </c>
      <c r="P1143" t="n">
        <v>376</v>
      </c>
    </row>
    <row r="1144">
      <c r="A1144" t="inlineStr">
        <is>
          <t>MQ</t>
        </is>
      </c>
      <c r="B1144" t="n">
        <v>2022</v>
      </c>
      <c r="C1144" t="n">
        <v>1</v>
      </c>
      <c r="D1144" t="n">
        <v>22205</v>
      </c>
      <c r="E1144" t="n">
        <v>669</v>
      </c>
      <c r="F1144" t="n">
        <v>39</v>
      </c>
      <c r="G1144" t="n">
        <v>21497</v>
      </c>
      <c r="H1144" t="n">
        <v>18249</v>
      </c>
      <c r="I1144" t="n">
        <v>-28515</v>
      </c>
      <c r="J1144" t="n">
        <v>439094.3000000009</v>
      </c>
      <c r="K1144" t="n">
        <v>22120</v>
      </c>
      <c r="L1144" t="n">
        <v>61576</v>
      </c>
      <c r="M1144" t="n">
        <v>58011</v>
      </c>
      <c r="N1144" t="n">
        <v>46362</v>
      </c>
      <c r="O1144" t="n">
        <v>19109</v>
      </c>
      <c r="P1144" t="n">
        <v>363</v>
      </c>
    </row>
    <row r="1145">
      <c r="A1145" t="inlineStr">
        <is>
          <t>MQ</t>
        </is>
      </c>
      <c r="B1145" t="n">
        <v>2022</v>
      </c>
      <c r="C1145" t="n">
        <v>2</v>
      </c>
      <c r="D1145" t="n">
        <v>20764</v>
      </c>
      <c r="E1145" t="n">
        <v>2065</v>
      </c>
      <c r="F1145" t="n">
        <v>25</v>
      </c>
      <c r="G1145" t="n">
        <v>18674</v>
      </c>
      <c r="H1145" t="n">
        <v>15433</v>
      </c>
      <c r="I1145" t="n">
        <v>34949</v>
      </c>
      <c r="J1145" t="n">
        <v>396425.0000000013</v>
      </c>
      <c r="K1145" t="n">
        <v>20704</v>
      </c>
      <c r="L1145" t="n">
        <v>68823</v>
      </c>
      <c r="M1145" t="n">
        <v>58740</v>
      </c>
      <c r="N1145" t="n">
        <v>43539</v>
      </c>
      <c r="O1145" t="n">
        <v>29982</v>
      </c>
      <c r="P1145" t="n">
        <v>832</v>
      </c>
    </row>
    <row r="1146">
      <c r="A1146" t="inlineStr">
        <is>
          <t>MQ</t>
        </is>
      </c>
      <c r="B1146" t="n">
        <v>2022</v>
      </c>
      <c r="C1146" t="n">
        <v>3</v>
      </c>
      <c r="D1146" t="n">
        <v>22536</v>
      </c>
      <c r="E1146" t="n">
        <v>358</v>
      </c>
      <c r="F1146" t="n">
        <v>60</v>
      </c>
      <c r="G1146" t="n">
        <v>22118</v>
      </c>
      <c r="H1146" t="n">
        <v>18776</v>
      </c>
      <c r="I1146" t="n">
        <v>10380</v>
      </c>
      <c r="J1146" t="n">
        <v>405304.9999999962</v>
      </c>
      <c r="K1146" t="n">
        <v>22408</v>
      </c>
      <c r="L1146" t="n">
        <v>67549</v>
      </c>
      <c r="M1146" t="n">
        <v>57950</v>
      </c>
      <c r="N1146" t="n">
        <v>44908</v>
      </c>
      <c r="O1146" t="n">
        <v>22105</v>
      </c>
      <c r="P1146" t="n">
        <v>563</v>
      </c>
    </row>
    <row r="1147">
      <c r="A1147" t="inlineStr">
        <is>
          <t>MQ</t>
        </is>
      </c>
      <c r="B1147" t="n">
        <v>2022</v>
      </c>
      <c r="C1147" t="n">
        <v>4</v>
      </c>
      <c r="D1147" t="n">
        <v>21790</v>
      </c>
      <c r="E1147" t="n">
        <v>364</v>
      </c>
      <c r="F1147" t="n">
        <v>62</v>
      </c>
      <c r="G1147" t="n">
        <v>21364</v>
      </c>
      <c r="H1147" t="n">
        <v>17575</v>
      </c>
      <c r="I1147" t="n">
        <v>85304</v>
      </c>
      <c r="J1147" t="n">
        <v>350792.7999999977</v>
      </c>
      <c r="K1147" t="n">
        <v>21525</v>
      </c>
      <c r="L1147" t="n">
        <v>79595</v>
      </c>
      <c r="M1147" t="n">
        <v>63193</v>
      </c>
      <c r="N1147" t="n">
        <v>52066</v>
      </c>
      <c r="O1147" t="n">
        <v>24980</v>
      </c>
      <c r="P1147" t="n">
        <v>450</v>
      </c>
    </row>
    <row r="1148">
      <c r="A1148" t="inlineStr">
        <is>
          <t>MQ</t>
        </is>
      </c>
      <c r="B1148" t="n">
        <v>2022</v>
      </c>
      <c r="C1148" t="n">
        <v>5</v>
      </c>
      <c r="D1148" t="n">
        <v>21351</v>
      </c>
      <c r="E1148" t="n">
        <v>222</v>
      </c>
      <c r="F1148" t="n">
        <v>63</v>
      </c>
      <c r="G1148" t="n">
        <v>21066</v>
      </c>
      <c r="H1148" t="n">
        <v>17403</v>
      </c>
      <c r="I1148" t="n">
        <v>66337</v>
      </c>
      <c r="J1148" t="n">
        <v>349171.7999999956</v>
      </c>
      <c r="K1148" t="n">
        <v>21033</v>
      </c>
      <c r="L1148" t="n">
        <v>72560</v>
      </c>
      <c r="M1148" t="n">
        <v>62615</v>
      </c>
      <c r="N1148" t="n">
        <v>48463</v>
      </c>
      <c r="O1148" t="n">
        <v>24701</v>
      </c>
      <c r="P1148" t="n">
        <v>337</v>
      </c>
    </row>
    <row r="1149">
      <c r="A1149" t="inlineStr">
        <is>
          <t>MQ</t>
        </is>
      </c>
      <c r="B1149" t="n">
        <v>2022</v>
      </c>
      <c r="C1149" t="n">
        <v>6</v>
      </c>
      <c r="D1149" t="n">
        <v>20284</v>
      </c>
      <c r="E1149" t="n">
        <v>143</v>
      </c>
      <c r="F1149" t="n">
        <v>64</v>
      </c>
      <c r="G1149" t="n">
        <v>20077</v>
      </c>
      <c r="H1149" t="n">
        <v>16628</v>
      </c>
      <c r="I1149" t="n">
        <v>74292</v>
      </c>
      <c r="J1149" t="n">
        <v>295331.8999999966</v>
      </c>
      <c r="K1149" t="n">
        <v>20168</v>
      </c>
      <c r="L1149" t="n">
        <v>70780</v>
      </c>
      <c r="M1149" t="n">
        <v>55299</v>
      </c>
      <c r="N1149" t="n">
        <v>45254</v>
      </c>
      <c r="O1149" t="n">
        <v>26883</v>
      </c>
      <c r="P1149" t="n">
        <v>197</v>
      </c>
    </row>
    <row r="1150">
      <c r="A1150" t="inlineStr">
        <is>
          <t>MQ</t>
        </is>
      </c>
      <c r="B1150" t="n">
        <v>2022</v>
      </c>
      <c r="C1150" t="n">
        <v>7</v>
      </c>
      <c r="D1150" t="n">
        <v>21855</v>
      </c>
      <c r="E1150" t="n">
        <v>130</v>
      </c>
      <c r="F1150" t="n">
        <v>58</v>
      </c>
      <c r="G1150" t="n">
        <v>21667</v>
      </c>
      <c r="H1150" t="n">
        <v>17814</v>
      </c>
      <c r="I1150" t="n">
        <v>97336</v>
      </c>
      <c r="J1150" t="n">
        <v>319468.499999999</v>
      </c>
      <c r="K1150" t="n">
        <v>21767</v>
      </c>
      <c r="L1150" t="n">
        <v>102877</v>
      </c>
      <c r="M1150" t="n">
        <v>56823</v>
      </c>
      <c r="N1150" t="n">
        <v>52719</v>
      </c>
      <c r="O1150" t="n">
        <v>24000</v>
      </c>
      <c r="P1150" t="n">
        <v>375</v>
      </c>
    </row>
    <row r="1151">
      <c r="A1151" t="inlineStr">
        <is>
          <t>MQ</t>
        </is>
      </c>
      <c r="B1151" t="n">
        <v>2022</v>
      </c>
      <c r="C1151" t="n">
        <v>8</v>
      </c>
      <c r="D1151" t="n">
        <v>21866</v>
      </c>
      <c r="E1151" t="n">
        <v>542</v>
      </c>
      <c r="F1151" t="n">
        <v>67</v>
      </c>
      <c r="G1151" t="n">
        <v>21257</v>
      </c>
      <c r="H1151" t="n">
        <v>17218</v>
      </c>
      <c r="I1151" t="n">
        <v>131274</v>
      </c>
      <c r="J1151" t="n">
        <v>327891.4999999966</v>
      </c>
      <c r="K1151" t="n">
        <v>21655</v>
      </c>
      <c r="L1151" t="n">
        <v>98455</v>
      </c>
      <c r="M1151" t="n">
        <v>64939</v>
      </c>
      <c r="N1151" t="n">
        <v>66407</v>
      </c>
      <c r="O1151" t="n">
        <v>44893</v>
      </c>
      <c r="P1151" t="n">
        <v>463</v>
      </c>
    </row>
    <row r="1152">
      <c r="A1152" t="inlineStr">
        <is>
          <t>MQ</t>
        </is>
      </c>
      <c r="B1152" t="n">
        <v>2022</v>
      </c>
      <c r="C1152" t="n">
        <v>9</v>
      </c>
      <c r="D1152" t="n">
        <v>19919</v>
      </c>
      <c r="E1152" t="n">
        <v>216</v>
      </c>
      <c r="F1152" t="n">
        <v>23</v>
      </c>
      <c r="G1152" t="n">
        <v>19680</v>
      </c>
      <c r="H1152" t="n">
        <v>17054</v>
      </c>
      <c r="I1152" t="n">
        <v>7565</v>
      </c>
      <c r="J1152" t="n">
        <v>278726.5000000012</v>
      </c>
      <c r="K1152" t="n">
        <v>19731</v>
      </c>
      <c r="L1152" t="n">
        <v>62303</v>
      </c>
      <c r="M1152" t="n">
        <v>43029</v>
      </c>
      <c r="N1152" t="n">
        <v>33781</v>
      </c>
      <c r="O1152" t="n">
        <v>14496</v>
      </c>
      <c r="P1152" t="n">
        <v>135</v>
      </c>
    </row>
    <row r="1153">
      <c r="A1153" t="inlineStr">
        <is>
          <t>MQ</t>
        </is>
      </c>
      <c r="B1153" t="n">
        <v>2022</v>
      </c>
      <c r="C1153" t="n">
        <v>10</v>
      </c>
      <c r="D1153" t="n">
        <v>19256</v>
      </c>
      <c r="E1153" t="n">
        <v>66</v>
      </c>
      <c r="F1153" t="n">
        <v>31</v>
      </c>
      <c r="G1153" t="n">
        <v>19159</v>
      </c>
      <c r="H1153" t="n">
        <v>16777</v>
      </c>
      <c r="I1153" t="n">
        <v>1285</v>
      </c>
      <c r="J1153" t="n">
        <v>287311.1</v>
      </c>
      <c r="K1153" t="n">
        <v>19129</v>
      </c>
      <c r="L1153" t="n">
        <v>53968</v>
      </c>
      <c r="M1153" t="n">
        <v>40477</v>
      </c>
      <c r="N1153" t="n">
        <v>31527</v>
      </c>
      <c r="O1153" t="n">
        <v>16747</v>
      </c>
      <c r="P1153" t="n">
        <v>348</v>
      </c>
    </row>
    <row r="1154">
      <c r="A1154" t="inlineStr">
        <is>
          <t>MQ</t>
        </is>
      </c>
      <c r="B1154" t="n">
        <v>2022</v>
      </c>
      <c r="C1154" t="n">
        <v>11</v>
      </c>
      <c r="D1154" t="n">
        <v>17425</v>
      </c>
      <c r="E1154" t="n">
        <v>302</v>
      </c>
      <c r="F1154" t="n">
        <v>39</v>
      </c>
      <c r="G1154" t="n">
        <v>17084</v>
      </c>
      <c r="H1154" t="n">
        <v>13726</v>
      </c>
      <c r="I1154" t="n">
        <v>93294</v>
      </c>
      <c r="J1154" t="n">
        <v>279059.1999999995</v>
      </c>
      <c r="K1154" t="n">
        <v>17141</v>
      </c>
      <c r="L1154" t="n">
        <v>77089</v>
      </c>
      <c r="M1154" t="n">
        <v>54487</v>
      </c>
      <c r="N1154" t="n">
        <v>46905</v>
      </c>
      <c r="O1154" t="n">
        <v>21445</v>
      </c>
      <c r="P1154" t="n">
        <v>288</v>
      </c>
    </row>
    <row r="1155">
      <c r="A1155" t="inlineStr">
        <is>
          <t>MQ</t>
        </is>
      </c>
      <c r="B1155" t="n">
        <v>2022</v>
      </c>
      <c r="C1155" t="n">
        <v>12</v>
      </c>
      <c r="D1155" t="n">
        <v>18808</v>
      </c>
      <c r="E1155" t="n">
        <v>473</v>
      </c>
      <c r="F1155" t="n">
        <v>39</v>
      </c>
      <c r="G1155" t="n">
        <v>18296</v>
      </c>
      <c r="H1155" t="n">
        <v>13395</v>
      </c>
      <c r="I1155" t="n">
        <v>242444</v>
      </c>
      <c r="J1155" t="n">
        <v>293826.5000000042</v>
      </c>
      <c r="K1155" t="n">
        <v>18263</v>
      </c>
      <c r="L1155" t="n">
        <v>139577</v>
      </c>
      <c r="M1155" t="n">
        <v>71859</v>
      </c>
      <c r="N1155" t="n">
        <v>63555</v>
      </c>
      <c r="O1155" t="n">
        <v>56689</v>
      </c>
      <c r="P1155" t="n">
        <v>386</v>
      </c>
    </row>
    <row r="1156">
      <c r="A1156" t="inlineStr">
        <is>
          <t>MQ</t>
        </is>
      </c>
      <c r="B1156" t="n">
        <v>2023</v>
      </c>
      <c r="C1156" t="n">
        <v>1</v>
      </c>
      <c r="D1156" t="n">
        <v>18849</v>
      </c>
      <c r="E1156" t="n">
        <v>482</v>
      </c>
      <c r="F1156" t="n">
        <v>42</v>
      </c>
      <c r="G1156" t="n">
        <v>18325</v>
      </c>
      <c r="H1156" t="n">
        <v>14051</v>
      </c>
      <c r="I1156" t="n">
        <v>134192</v>
      </c>
      <c r="J1156" t="n">
        <v>300972.2000000004</v>
      </c>
      <c r="K1156" t="n">
        <v>18081</v>
      </c>
      <c r="L1156" t="n">
        <v>87216</v>
      </c>
      <c r="M1156" t="n">
        <v>52089</v>
      </c>
      <c r="N1156" t="n">
        <v>80352</v>
      </c>
      <c r="O1156" t="n">
        <v>25059</v>
      </c>
      <c r="P1156" t="n">
        <v>318</v>
      </c>
    </row>
    <row r="1157">
      <c r="A1157" t="inlineStr">
        <is>
          <t>MQ</t>
        </is>
      </c>
      <c r="B1157" t="n">
        <v>2023</v>
      </c>
      <c r="C1157" t="n">
        <v>2</v>
      </c>
      <c r="D1157" t="n">
        <v>17228</v>
      </c>
      <c r="E1157" t="n">
        <v>415</v>
      </c>
      <c r="F1157" t="n">
        <v>43</v>
      </c>
      <c r="G1157" t="n">
        <v>16770</v>
      </c>
      <c r="H1157" t="n">
        <v>14023</v>
      </c>
      <c r="I1157" t="n">
        <v>36525</v>
      </c>
      <c r="J1157" t="n">
        <v>270238.4000000047</v>
      </c>
      <c r="K1157" t="n">
        <v>16521</v>
      </c>
      <c r="L1157" t="n">
        <v>60523</v>
      </c>
      <c r="M1157" t="n">
        <v>48525</v>
      </c>
      <c r="N1157" t="n">
        <v>34344</v>
      </c>
      <c r="O1157" t="n">
        <v>14822</v>
      </c>
      <c r="P1157" t="n">
        <v>421</v>
      </c>
    </row>
    <row r="1158">
      <c r="A1158" t="inlineStr">
        <is>
          <t>MQ</t>
        </is>
      </c>
      <c r="B1158" t="n">
        <v>2023</v>
      </c>
      <c r="C1158" t="n">
        <v>3</v>
      </c>
      <c r="D1158" t="n">
        <v>19380</v>
      </c>
      <c r="E1158" t="n">
        <v>277</v>
      </c>
      <c r="F1158" t="n">
        <v>62</v>
      </c>
      <c r="G1158" t="n">
        <v>19041</v>
      </c>
      <c r="H1158" t="n">
        <v>14757</v>
      </c>
      <c r="I1158" t="n">
        <v>149816</v>
      </c>
      <c r="J1158" t="n">
        <v>310189.4000000014</v>
      </c>
      <c r="K1158" t="n">
        <v>18664</v>
      </c>
      <c r="L1158" t="n">
        <v>108023</v>
      </c>
      <c r="M1158" t="n">
        <v>61299</v>
      </c>
      <c r="N1158" t="n">
        <v>58069</v>
      </c>
      <c r="O1158" t="n">
        <v>26411</v>
      </c>
      <c r="P1158" t="n">
        <v>533</v>
      </c>
    </row>
    <row r="1159">
      <c r="A1159" t="inlineStr">
        <is>
          <t>MQ</t>
        </is>
      </c>
      <c r="B1159" t="n">
        <v>2023</v>
      </c>
      <c r="C1159" t="n">
        <v>4</v>
      </c>
      <c r="D1159" t="n">
        <v>18137</v>
      </c>
      <c r="E1159" t="n">
        <v>348</v>
      </c>
      <c r="F1159" t="n">
        <v>56</v>
      </c>
      <c r="G1159" t="n">
        <v>17733</v>
      </c>
      <c r="H1159" t="n">
        <v>14321</v>
      </c>
      <c r="I1159" t="n">
        <v>110129</v>
      </c>
      <c r="J1159" t="n">
        <v>278679.2999999991</v>
      </c>
      <c r="K1159" t="n">
        <v>17202</v>
      </c>
      <c r="L1159" t="n">
        <v>90604</v>
      </c>
      <c r="M1159" t="n">
        <v>48374</v>
      </c>
      <c r="N1159" t="n">
        <v>54784</v>
      </c>
      <c r="O1159" t="n">
        <v>31658</v>
      </c>
      <c r="P1159" t="n">
        <v>463</v>
      </c>
    </row>
    <row r="1160">
      <c r="A1160" t="inlineStr">
        <is>
          <t>MQ</t>
        </is>
      </c>
      <c r="B1160" t="n">
        <v>2023</v>
      </c>
      <c r="C1160" t="n">
        <v>5</v>
      </c>
      <c r="D1160" t="n">
        <v>17641</v>
      </c>
      <c r="E1160" t="n">
        <v>48</v>
      </c>
      <c r="F1160" t="n">
        <v>31</v>
      </c>
      <c r="G1160" t="n">
        <v>17562</v>
      </c>
      <c r="H1160" t="n">
        <v>14926</v>
      </c>
      <c r="I1160" t="n">
        <v>13163</v>
      </c>
      <c r="J1160" t="n">
        <v>284151.1000000001</v>
      </c>
      <c r="K1160" t="n">
        <v>16766</v>
      </c>
      <c r="L1160" t="n">
        <v>55324</v>
      </c>
      <c r="M1160" t="n">
        <v>43071</v>
      </c>
      <c r="N1160" t="n">
        <v>34640</v>
      </c>
      <c r="O1160" t="n">
        <v>16939</v>
      </c>
      <c r="P1160" t="n">
        <v>552</v>
      </c>
    </row>
    <row r="1161">
      <c r="A1161" t="inlineStr">
        <is>
          <t>MQ</t>
        </is>
      </c>
      <c r="B1161" t="n">
        <v>2023</v>
      </c>
      <c r="C1161" t="n">
        <v>6</v>
      </c>
      <c r="D1161" t="n">
        <v>17176</v>
      </c>
      <c r="E1161" t="n">
        <v>98</v>
      </c>
      <c r="F1161" t="n">
        <v>51</v>
      </c>
      <c r="G1161" t="n">
        <v>17027</v>
      </c>
      <c r="H1161" t="n">
        <v>13152</v>
      </c>
      <c r="I1161" t="n">
        <v>141337</v>
      </c>
      <c r="J1161" t="n">
        <v>259246.7999999996</v>
      </c>
      <c r="K1161" t="n">
        <v>16499</v>
      </c>
      <c r="L1161" t="n">
        <v>94703</v>
      </c>
      <c r="M1161" t="n">
        <v>51959</v>
      </c>
      <c r="N1161" t="n">
        <v>64058</v>
      </c>
      <c r="O1161" t="n">
        <v>26766</v>
      </c>
      <c r="P1161" t="n">
        <v>192</v>
      </c>
    </row>
    <row r="1162">
      <c r="A1162" t="inlineStr">
        <is>
          <t>MQ</t>
        </is>
      </c>
      <c r="B1162" t="n">
        <v>2023</v>
      </c>
      <c r="C1162" t="n">
        <v>7</v>
      </c>
      <c r="D1162" t="n">
        <v>19526</v>
      </c>
      <c r="E1162" t="n">
        <v>141</v>
      </c>
      <c r="F1162" t="n">
        <v>37</v>
      </c>
      <c r="G1162" t="n">
        <v>19348</v>
      </c>
      <c r="H1162" t="n">
        <v>15246</v>
      </c>
      <c r="I1162" t="n">
        <v>137404</v>
      </c>
      <c r="J1162" t="n">
        <v>290471.3000000038</v>
      </c>
      <c r="K1162" t="n">
        <v>18901</v>
      </c>
      <c r="L1162" t="n">
        <v>115093</v>
      </c>
      <c r="M1162" t="n">
        <v>59234</v>
      </c>
      <c r="N1162" t="n">
        <v>57165</v>
      </c>
      <c r="O1162" t="n">
        <v>25060</v>
      </c>
      <c r="P1162" t="n">
        <v>298</v>
      </c>
    </row>
    <row r="1163">
      <c r="A1163" t="inlineStr">
        <is>
          <t>MQ</t>
        </is>
      </c>
      <c r="B1163" t="n">
        <v>2023</v>
      </c>
      <c r="C1163" t="n">
        <v>8</v>
      </c>
      <c r="D1163" t="n">
        <v>20359</v>
      </c>
      <c r="E1163" t="n">
        <v>137</v>
      </c>
      <c r="F1163" t="n">
        <v>43</v>
      </c>
      <c r="G1163" t="n">
        <v>20179</v>
      </c>
      <c r="H1163" t="n">
        <v>16990</v>
      </c>
      <c r="I1163" t="n">
        <v>36809</v>
      </c>
      <c r="J1163" t="n">
        <v>326967.4000000004</v>
      </c>
      <c r="K1163" t="n">
        <v>19629</v>
      </c>
      <c r="L1163" t="n">
        <v>86788</v>
      </c>
      <c r="M1163" t="n">
        <v>52198</v>
      </c>
      <c r="N1163" t="n">
        <v>38986</v>
      </c>
      <c r="O1163" t="n">
        <v>17493</v>
      </c>
      <c r="P1163" t="n">
        <v>610</v>
      </c>
    </row>
    <row r="1164">
      <c r="A1164" t="inlineStr">
        <is>
          <t>MQ</t>
        </is>
      </c>
      <c r="B1164" t="n">
        <v>2023</v>
      </c>
      <c r="C1164" t="n">
        <v>9</v>
      </c>
      <c r="D1164" t="n">
        <v>18789</v>
      </c>
      <c r="E1164" t="n">
        <v>69</v>
      </c>
      <c r="F1164" t="n">
        <v>55</v>
      </c>
      <c r="G1164" t="n">
        <v>18665</v>
      </c>
      <c r="H1164" t="n">
        <v>15432</v>
      </c>
      <c r="I1164" t="n">
        <v>45880</v>
      </c>
      <c r="J1164" t="n">
        <v>329213.0000000064</v>
      </c>
      <c r="K1164" t="n">
        <v>18181</v>
      </c>
      <c r="L1164" t="n">
        <v>75726</v>
      </c>
      <c r="M1164" t="n">
        <v>43540</v>
      </c>
      <c r="N1164" t="n">
        <v>47160</v>
      </c>
      <c r="O1164" t="n">
        <v>15374</v>
      </c>
      <c r="P1164" t="n">
        <v>319</v>
      </c>
    </row>
    <row r="1165">
      <c r="A1165" t="inlineStr">
        <is>
          <t>MQ</t>
        </is>
      </c>
      <c r="B1165" t="n">
        <v>2023</v>
      </c>
      <c r="C1165" t="n">
        <v>10</v>
      </c>
      <c r="D1165" t="n">
        <v>20254</v>
      </c>
      <c r="E1165" t="n">
        <v>191</v>
      </c>
      <c r="F1165" t="n">
        <v>28</v>
      </c>
      <c r="G1165" t="n">
        <v>20035</v>
      </c>
      <c r="H1165" t="n">
        <v>16717</v>
      </c>
      <c r="I1165" t="n">
        <v>33137</v>
      </c>
      <c r="J1165" t="n">
        <v>361556.5000000048</v>
      </c>
      <c r="K1165" t="n">
        <v>19636</v>
      </c>
      <c r="L1165" t="n">
        <v>70973</v>
      </c>
      <c r="M1165" t="n">
        <v>48248</v>
      </c>
      <c r="N1165" t="n">
        <v>43381</v>
      </c>
      <c r="O1165" t="n">
        <v>14388</v>
      </c>
      <c r="P1165" t="n">
        <v>429</v>
      </c>
    </row>
    <row r="1166">
      <c r="A1166" t="inlineStr">
        <is>
          <t>MQ</t>
        </is>
      </c>
      <c r="B1166" t="n">
        <v>2023</v>
      </c>
      <c r="C1166" t="n">
        <v>11</v>
      </c>
      <c r="D1166" t="n">
        <v>19729</v>
      </c>
      <c r="E1166" t="n">
        <v>43</v>
      </c>
      <c r="F1166" t="n">
        <v>13</v>
      </c>
      <c r="G1166" t="n">
        <v>19673</v>
      </c>
      <c r="H1166" t="n">
        <v>16854</v>
      </c>
      <c r="I1166" t="n">
        <v>-1669</v>
      </c>
      <c r="J1166" t="n">
        <v>359454.4000000036</v>
      </c>
      <c r="K1166" t="n">
        <v>18709</v>
      </c>
      <c r="L1166" t="n">
        <v>69920</v>
      </c>
      <c r="M1166" t="n">
        <v>48214</v>
      </c>
      <c r="N1166" t="n">
        <v>29181</v>
      </c>
      <c r="O1166" t="n">
        <v>8010</v>
      </c>
      <c r="P1166" t="n">
        <v>327</v>
      </c>
    </row>
    <row r="1167">
      <c r="A1167" t="inlineStr">
        <is>
          <t>MQ</t>
        </is>
      </c>
      <c r="B1167" t="n">
        <v>2023</v>
      </c>
      <c r="C1167" t="n">
        <v>12</v>
      </c>
      <c r="D1167" t="n">
        <v>20420</v>
      </c>
      <c r="E1167" t="n">
        <v>42</v>
      </c>
      <c r="F1167" t="n">
        <v>41</v>
      </c>
      <c r="G1167" t="n">
        <v>20337</v>
      </c>
      <c r="H1167" t="n">
        <v>17433</v>
      </c>
      <c r="I1167" t="n">
        <v>-22952</v>
      </c>
      <c r="J1167" t="n">
        <v>375273.9999999982</v>
      </c>
      <c r="K1167" t="n">
        <v>19356</v>
      </c>
      <c r="L1167" t="n">
        <v>64476</v>
      </c>
      <c r="M1167" t="n">
        <v>39476</v>
      </c>
      <c r="N1167" t="n">
        <v>30335</v>
      </c>
      <c r="O1167" t="n">
        <v>16425</v>
      </c>
      <c r="P1167" t="n">
        <v>578</v>
      </c>
    </row>
    <row r="1168">
      <c r="A1168" t="inlineStr">
        <is>
          <t>MQ</t>
        </is>
      </c>
      <c r="B1168" t="n">
        <v>2024</v>
      </c>
      <c r="C1168" t="n">
        <v>1</v>
      </c>
      <c r="D1168" t="n">
        <v>20750</v>
      </c>
      <c r="E1168" t="n">
        <v>932</v>
      </c>
      <c r="F1168" t="n">
        <v>78</v>
      </c>
      <c r="G1168" t="n">
        <v>19740</v>
      </c>
      <c r="H1168" t="n">
        <v>14267</v>
      </c>
      <c r="I1168" t="n">
        <v>263536</v>
      </c>
      <c r="J1168" t="n">
        <v>362426.2999999984</v>
      </c>
      <c r="K1168" t="n">
        <v>19780</v>
      </c>
      <c r="L1168" t="n">
        <v>165724</v>
      </c>
      <c r="M1168" t="n">
        <v>66134</v>
      </c>
      <c r="N1168" t="n">
        <v>80973</v>
      </c>
      <c r="O1168" t="n">
        <v>62610</v>
      </c>
      <c r="P1168" t="n">
        <v>662</v>
      </c>
    </row>
    <row r="1169">
      <c r="A1169" t="inlineStr">
        <is>
          <t>MQ</t>
        </is>
      </c>
      <c r="B1169" t="n">
        <v>2024</v>
      </c>
      <c r="C1169" t="n">
        <v>2</v>
      </c>
      <c r="D1169" t="n">
        <v>20117</v>
      </c>
      <c r="E1169" t="n">
        <v>41</v>
      </c>
      <c r="F1169" t="n">
        <v>31</v>
      </c>
      <c r="G1169" t="n">
        <v>20045</v>
      </c>
      <c r="H1169" t="n">
        <v>17581</v>
      </c>
      <c r="I1169" t="n">
        <v>-39522</v>
      </c>
      <c r="J1169" t="n">
        <v>346466</v>
      </c>
      <c r="K1169" t="n">
        <v>19371</v>
      </c>
      <c r="L1169" t="n">
        <v>50033</v>
      </c>
      <c r="M1169" t="n">
        <v>37429</v>
      </c>
      <c r="N1169" t="n">
        <v>31350</v>
      </c>
      <c r="O1169" t="n">
        <v>15398</v>
      </c>
      <c r="P1169" t="n">
        <v>411</v>
      </c>
    </row>
    <row r="1170">
      <c r="A1170" t="inlineStr">
        <is>
          <t>MQ</t>
        </is>
      </c>
      <c r="B1170" t="n">
        <v>2024</v>
      </c>
      <c r="C1170" t="n">
        <v>3</v>
      </c>
      <c r="D1170" t="n">
        <v>22725</v>
      </c>
      <c r="E1170" t="n">
        <v>292</v>
      </c>
      <c r="F1170" t="n">
        <v>47</v>
      </c>
      <c r="G1170" t="n">
        <v>22386</v>
      </c>
      <c r="H1170" t="n">
        <v>18012</v>
      </c>
      <c r="I1170" t="n">
        <v>101083</v>
      </c>
      <c r="J1170" t="n">
        <v>410658.0999999979</v>
      </c>
      <c r="K1170" t="n">
        <v>21961</v>
      </c>
      <c r="L1170" t="n">
        <v>116429</v>
      </c>
      <c r="M1170" t="n">
        <v>60039</v>
      </c>
      <c r="N1170" t="n">
        <v>58925</v>
      </c>
      <c r="O1170" t="n">
        <v>29559</v>
      </c>
      <c r="P1170" t="n">
        <v>592</v>
      </c>
    </row>
    <row r="1171">
      <c r="A1171" t="inlineStr">
        <is>
          <t>MQ</t>
        </is>
      </c>
      <c r="B1171" t="n">
        <v>2024</v>
      </c>
      <c r="C1171" t="n">
        <v>4</v>
      </c>
      <c r="D1171" t="n">
        <v>23148</v>
      </c>
      <c r="E1171" t="n">
        <v>350</v>
      </c>
      <c r="F1171" t="n">
        <v>46</v>
      </c>
      <c r="G1171" t="n">
        <v>22752</v>
      </c>
      <c r="H1171" t="n">
        <v>18375</v>
      </c>
      <c r="I1171" t="n">
        <v>124798</v>
      </c>
      <c r="J1171" t="n">
        <v>388492.2000000015</v>
      </c>
      <c r="K1171" t="n">
        <v>22406</v>
      </c>
      <c r="L1171" t="n">
        <v>117250</v>
      </c>
      <c r="M1171" t="n">
        <v>59037</v>
      </c>
      <c r="N1171" t="n">
        <v>60852</v>
      </c>
      <c r="O1171" t="n">
        <v>40899</v>
      </c>
      <c r="P1171" t="n">
        <v>398</v>
      </c>
    </row>
    <row r="1172">
      <c r="A1172" t="inlineStr">
        <is>
          <t>MQ</t>
        </is>
      </c>
      <c r="B1172" t="n">
        <v>2024</v>
      </c>
      <c r="C1172" t="n">
        <v>5</v>
      </c>
      <c r="D1172" t="n">
        <v>24488</v>
      </c>
      <c r="E1172" t="n">
        <v>790</v>
      </c>
      <c r="F1172" t="n">
        <v>124</v>
      </c>
      <c r="G1172" t="n">
        <v>23574</v>
      </c>
      <c r="H1172" t="n">
        <v>15744</v>
      </c>
      <c r="I1172" t="n">
        <v>504661</v>
      </c>
      <c r="J1172" t="n">
        <v>380217.9999999951</v>
      </c>
      <c r="K1172" t="n">
        <v>23702</v>
      </c>
      <c r="L1172" t="n">
        <v>275658</v>
      </c>
      <c r="M1172" t="n">
        <v>114447</v>
      </c>
      <c r="N1172" t="n">
        <v>129213</v>
      </c>
      <c r="O1172" t="n">
        <v>86793</v>
      </c>
      <c r="P1172" t="n">
        <v>785</v>
      </c>
    </row>
    <row r="1173">
      <c r="A1173" t="inlineStr">
        <is>
          <t>MQ</t>
        </is>
      </c>
      <c r="B1173" t="n">
        <v>2024</v>
      </c>
      <c r="C1173" t="n">
        <v>6</v>
      </c>
      <c r="D1173" t="n">
        <v>25111</v>
      </c>
      <c r="E1173" t="n">
        <v>407</v>
      </c>
      <c r="F1173" t="n">
        <v>59</v>
      </c>
      <c r="G1173" t="n">
        <v>24645</v>
      </c>
      <c r="H1173" t="n">
        <v>17672</v>
      </c>
      <c r="I1173" t="n">
        <v>325086</v>
      </c>
      <c r="J1173" t="n">
        <v>399694.599999999</v>
      </c>
      <c r="K1173" t="n">
        <v>23932</v>
      </c>
      <c r="L1173" t="n">
        <v>237899</v>
      </c>
      <c r="M1173" t="n">
        <v>109228</v>
      </c>
      <c r="N1173" t="n">
        <v>79027</v>
      </c>
      <c r="O1173" t="n">
        <v>37507</v>
      </c>
      <c r="P1173" t="n">
        <v>628</v>
      </c>
    </row>
    <row r="1174">
      <c r="A1174" t="inlineStr">
        <is>
          <t>MQ</t>
        </is>
      </c>
      <c r="B1174" t="n">
        <v>2024</v>
      </c>
      <c r="C1174" t="n">
        <v>7</v>
      </c>
      <c r="D1174" t="n">
        <v>26111</v>
      </c>
      <c r="E1174" t="n">
        <v>280</v>
      </c>
      <c r="F1174" t="n">
        <v>62</v>
      </c>
      <c r="G1174" t="n">
        <v>25769</v>
      </c>
      <c r="H1174" t="n">
        <v>18314</v>
      </c>
      <c r="I1174" t="n">
        <v>347112</v>
      </c>
      <c r="J1174" t="n">
        <v>395305.8999999918</v>
      </c>
      <c r="K1174" t="n">
        <v>24679</v>
      </c>
      <c r="L1174" t="n">
        <v>239985</v>
      </c>
      <c r="M1174" t="n">
        <v>118135</v>
      </c>
      <c r="N1174" t="n">
        <v>86072</v>
      </c>
      <c r="O1174" t="n">
        <v>31980</v>
      </c>
      <c r="P1174" t="n">
        <v>668</v>
      </c>
    </row>
    <row r="1175">
      <c r="A1175" t="inlineStr">
        <is>
          <t>MQ</t>
        </is>
      </c>
      <c r="B1175" t="n">
        <v>2024</v>
      </c>
      <c r="C1175" t="n">
        <v>8</v>
      </c>
      <c r="D1175" t="n">
        <v>25925</v>
      </c>
      <c r="E1175" t="n">
        <v>191</v>
      </c>
      <c r="F1175" t="n">
        <v>55</v>
      </c>
      <c r="G1175" t="n">
        <v>25679</v>
      </c>
      <c r="H1175" t="n">
        <v>20565</v>
      </c>
      <c r="I1175" t="n">
        <v>129393</v>
      </c>
      <c r="J1175" t="n">
        <v>404021.9999999952</v>
      </c>
      <c r="K1175" t="n">
        <v>24680</v>
      </c>
      <c r="L1175" t="n">
        <v>139998</v>
      </c>
      <c r="M1175" t="n">
        <v>79951</v>
      </c>
      <c r="N1175" t="n">
        <v>66394</v>
      </c>
      <c r="O1175" t="n">
        <v>19122</v>
      </c>
      <c r="P1175" t="n">
        <v>359</v>
      </c>
    </row>
    <row r="1176">
      <c r="A1176" t="inlineStr">
        <is>
          <t>MQ</t>
        </is>
      </c>
      <c r="B1176" t="n">
        <v>2024</v>
      </c>
      <c r="C1176" t="n">
        <v>9</v>
      </c>
      <c r="D1176" t="n">
        <v>23598</v>
      </c>
      <c r="E1176" t="n">
        <v>140</v>
      </c>
      <c r="F1176" t="n">
        <v>20</v>
      </c>
      <c r="G1176" t="n">
        <v>23438</v>
      </c>
      <c r="H1176" t="n">
        <v>19852</v>
      </c>
      <c r="I1176" t="n">
        <v>2446</v>
      </c>
      <c r="J1176" t="n">
        <v>398974.2000000004</v>
      </c>
      <c r="K1176" t="n">
        <v>22364</v>
      </c>
      <c r="L1176" t="n">
        <v>78783</v>
      </c>
      <c r="M1176" t="n">
        <v>51711</v>
      </c>
      <c r="N1176" t="n">
        <v>46035</v>
      </c>
      <c r="O1176" t="n">
        <v>8522</v>
      </c>
      <c r="P1176" t="n">
        <v>279</v>
      </c>
    </row>
    <row r="1177">
      <c r="A1177" t="inlineStr">
        <is>
          <t>MQ</t>
        </is>
      </c>
      <c r="B1177" t="n">
        <v>2024</v>
      </c>
      <c r="C1177" t="n">
        <v>10</v>
      </c>
      <c r="D1177" t="n">
        <v>23564</v>
      </c>
      <c r="E1177" t="n">
        <v>64</v>
      </c>
      <c r="F1177" t="n">
        <v>12</v>
      </c>
      <c r="G1177" t="n">
        <v>23488</v>
      </c>
      <c r="H1177" t="n">
        <v>20982</v>
      </c>
      <c r="I1177" t="n">
        <v>-106499</v>
      </c>
      <c r="J1177" t="n">
        <v>424127.7999999986</v>
      </c>
      <c r="K1177" t="n">
        <v>22460</v>
      </c>
      <c r="L1177" t="n">
        <v>51085</v>
      </c>
      <c r="M1177" t="n">
        <v>45008</v>
      </c>
      <c r="N1177" t="n">
        <v>27262</v>
      </c>
      <c r="O1177" t="n">
        <v>6693</v>
      </c>
      <c r="P1177" t="n">
        <v>308</v>
      </c>
    </row>
    <row r="1178">
      <c r="A1178" t="inlineStr">
        <is>
          <t>MQ</t>
        </is>
      </c>
      <c r="B1178" t="n">
        <v>2024</v>
      </c>
      <c r="C1178" t="n">
        <v>11</v>
      </c>
      <c r="D1178" t="n">
        <v>21834</v>
      </c>
      <c r="E1178" t="n">
        <v>198</v>
      </c>
      <c r="F1178" t="n">
        <v>40</v>
      </c>
      <c r="G1178" t="n">
        <v>21596</v>
      </c>
      <c r="H1178" t="n">
        <v>18772</v>
      </c>
      <c r="I1178" t="n">
        <v>-22259</v>
      </c>
      <c r="J1178" t="n">
        <v>391542.9000000026</v>
      </c>
      <c r="K1178" t="n">
        <v>20684</v>
      </c>
      <c r="L1178" t="n">
        <v>64673</v>
      </c>
      <c r="M1178" t="n">
        <v>41866</v>
      </c>
      <c r="N1178" t="n">
        <v>43981</v>
      </c>
      <c r="O1178" t="n">
        <v>19799</v>
      </c>
      <c r="P1178" t="n">
        <v>212</v>
      </c>
    </row>
    <row r="1179">
      <c r="A1179" t="inlineStr">
        <is>
          <t>MQ</t>
        </is>
      </c>
      <c r="B1179" t="n">
        <v>2024</v>
      </c>
      <c r="C1179" t="n">
        <v>12</v>
      </c>
      <c r="D1179" t="n">
        <v>22584</v>
      </c>
      <c r="E1179" t="n">
        <v>300</v>
      </c>
      <c r="F1179" t="n">
        <v>79</v>
      </c>
      <c r="G1179" t="n">
        <v>22205</v>
      </c>
      <c r="H1179" t="n">
        <v>17749</v>
      </c>
      <c r="I1179" t="n">
        <v>148084</v>
      </c>
      <c r="J1179" t="n">
        <v>408930.8999999973</v>
      </c>
      <c r="K1179" t="n">
        <v>21391</v>
      </c>
      <c r="L1179" t="n">
        <v>137936</v>
      </c>
      <c r="M1179" t="n">
        <v>67542</v>
      </c>
      <c r="N1179" t="n">
        <v>59415</v>
      </c>
      <c r="O1179" t="n">
        <v>51037</v>
      </c>
      <c r="P1179" t="n">
        <v>512</v>
      </c>
    </row>
    <row r="1180">
      <c r="A1180" t="inlineStr">
        <is>
          <t>MQ</t>
        </is>
      </c>
      <c r="B1180" t="n">
        <v>2025</v>
      </c>
      <c r="C1180" t="n">
        <v>1</v>
      </c>
      <c r="D1180" t="n">
        <v>21890</v>
      </c>
      <c r="E1180" t="n">
        <v>1030</v>
      </c>
      <c r="F1180" t="n">
        <v>29</v>
      </c>
      <c r="G1180" t="n">
        <v>20831</v>
      </c>
      <c r="H1180" t="n">
        <v>16992</v>
      </c>
      <c r="I1180" t="n">
        <v>100254</v>
      </c>
      <c r="J1180" t="n">
        <v>412076.9000000004</v>
      </c>
      <c r="K1180" t="n">
        <v>20705</v>
      </c>
      <c r="L1180" t="n">
        <v>101293</v>
      </c>
      <c r="M1180" t="n">
        <v>72749</v>
      </c>
      <c r="N1180" t="n">
        <v>63825</v>
      </c>
      <c r="O1180" t="n">
        <v>41204</v>
      </c>
      <c r="P1180" t="n">
        <v>412</v>
      </c>
    </row>
    <row r="1181">
      <c r="A1181" t="inlineStr">
        <is>
          <t>MQ</t>
        </is>
      </c>
      <c r="B1181" t="n">
        <v>2025</v>
      </c>
      <c r="C1181" t="n">
        <v>2</v>
      </c>
      <c r="D1181" t="n">
        <v>19995</v>
      </c>
      <c r="E1181" t="n">
        <v>346</v>
      </c>
      <c r="F1181" t="n">
        <v>40</v>
      </c>
      <c r="G1181" t="n">
        <v>19609</v>
      </c>
      <c r="H1181" t="n">
        <v>15859</v>
      </c>
      <c r="I1181" t="n">
        <v>68075</v>
      </c>
      <c r="J1181" t="n">
        <v>353009.3000000024</v>
      </c>
      <c r="K1181" t="n">
        <v>18825</v>
      </c>
      <c r="L1181" t="n">
        <v>91996</v>
      </c>
      <c r="M1181" t="n">
        <v>59412</v>
      </c>
      <c r="N1181" t="n">
        <v>57473</v>
      </c>
      <c r="O1181" t="n">
        <v>24469</v>
      </c>
      <c r="P1181" t="n">
        <v>296</v>
      </c>
    </row>
    <row r="1182">
      <c r="A1182" t="inlineStr">
        <is>
          <t>MQ</t>
        </is>
      </c>
      <c r="B1182" t="n">
        <v>2025</v>
      </c>
      <c r="C1182" t="n">
        <v>3</v>
      </c>
      <c r="D1182" t="n">
        <v>24032</v>
      </c>
      <c r="E1182" t="n">
        <v>662</v>
      </c>
      <c r="F1182" t="n">
        <v>76</v>
      </c>
      <c r="G1182" t="n">
        <v>23294</v>
      </c>
      <c r="H1182" t="n">
        <v>18558</v>
      </c>
      <c r="I1182" t="n">
        <v>132300</v>
      </c>
      <c r="J1182" t="n">
        <v>406345.5999999993</v>
      </c>
      <c r="K1182" t="n">
        <v>22711</v>
      </c>
      <c r="L1182" t="n">
        <v>123831</v>
      </c>
      <c r="M1182" t="n">
        <v>70703</v>
      </c>
      <c r="N1182" t="n">
        <v>66927</v>
      </c>
      <c r="O1182" t="n">
        <v>30163</v>
      </c>
      <c r="P1182" t="n">
        <v>555</v>
      </c>
    </row>
    <row r="1183">
      <c r="A1183" t="inlineStr">
        <is>
          <t>MQ</t>
        </is>
      </c>
      <c r="B1183" t="n">
        <v>2025</v>
      </c>
      <c r="C1183" t="n">
        <v>4</v>
      </c>
      <c r="D1183" t="n">
        <v>24343</v>
      </c>
      <c r="E1183" t="n">
        <v>601</v>
      </c>
      <c r="F1183" t="n">
        <v>60</v>
      </c>
      <c r="G1183" t="n">
        <v>23682</v>
      </c>
      <c r="H1183" t="n">
        <v>18584</v>
      </c>
      <c r="I1183" t="n">
        <v>164158</v>
      </c>
      <c r="J1183" t="n">
        <v>398750.9999999972</v>
      </c>
      <c r="K1183" t="n">
        <v>23063</v>
      </c>
      <c r="L1183" t="n">
        <v>133060</v>
      </c>
      <c r="M1183" t="n">
        <v>67498</v>
      </c>
      <c r="N1183" t="n">
        <v>79281</v>
      </c>
      <c r="O1183" t="n">
        <v>39238</v>
      </c>
      <c r="P1183" t="n">
        <v>234</v>
      </c>
    </row>
    <row r="1184">
      <c r="A1184" t="inlineStr">
        <is>
          <t>MQ</t>
        </is>
      </c>
      <c r="B1184" t="n">
        <v>2025</v>
      </c>
      <c r="C1184" t="n">
        <v>5</v>
      </c>
      <c r="D1184" t="n">
        <v>25534</v>
      </c>
      <c r="E1184" t="n">
        <v>595</v>
      </c>
      <c r="F1184" t="n">
        <v>65</v>
      </c>
      <c r="G1184" t="n">
        <v>24874</v>
      </c>
      <c r="H1184" t="n">
        <v>19561</v>
      </c>
      <c r="I1184" t="n">
        <v>190149</v>
      </c>
      <c r="J1184" t="n">
        <v>420877.7999999973</v>
      </c>
      <c r="K1184" t="n">
        <v>24104</v>
      </c>
      <c r="L1184" t="n">
        <v>139315</v>
      </c>
      <c r="M1184" t="n">
        <v>69013</v>
      </c>
      <c r="N1184" t="n">
        <v>83742</v>
      </c>
      <c r="O1184" t="n">
        <v>51272</v>
      </c>
      <c r="P1184" t="n">
        <v>375</v>
      </c>
    </row>
    <row r="1185">
      <c r="A1185" t="inlineStr">
        <is>
          <t>MQ</t>
        </is>
      </c>
      <c r="B1185" t="n">
        <v>2025</v>
      </c>
      <c r="C1185" t="n">
        <v>6</v>
      </c>
      <c r="D1185" t="n">
        <v>26837</v>
      </c>
      <c r="E1185" t="n">
        <v>459</v>
      </c>
      <c r="F1185" t="n">
        <v>85</v>
      </c>
      <c r="G1185" t="n">
        <v>26293</v>
      </c>
      <c r="H1185" t="n">
        <v>19200</v>
      </c>
      <c r="I1185" t="n">
        <v>302630</v>
      </c>
      <c r="J1185" t="n">
        <v>436642.299999998</v>
      </c>
      <c r="K1185" t="n">
        <v>25334</v>
      </c>
      <c r="L1185" t="n">
        <v>201330</v>
      </c>
      <c r="M1185" t="n">
        <v>92634</v>
      </c>
      <c r="N1185" t="n">
        <v>95747</v>
      </c>
      <c r="O1185" t="n">
        <v>45227</v>
      </c>
      <c r="P1185" t="n">
        <v>470</v>
      </c>
    </row>
    <row r="1186">
      <c r="A1186" t="inlineStr">
        <is>
          <t>MQ</t>
        </is>
      </c>
      <c r="B1186" t="n">
        <v>2025</v>
      </c>
      <c r="C1186" t="n">
        <v>7</v>
      </c>
      <c r="D1186" t="n">
        <v>27489</v>
      </c>
      <c r="E1186" t="n">
        <v>637</v>
      </c>
      <c r="F1186" t="n">
        <v>100</v>
      </c>
      <c r="G1186" t="n">
        <v>26752</v>
      </c>
      <c r="H1186" t="n">
        <v>19699</v>
      </c>
      <c r="I1186" t="n">
        <v>283930</v>
      </c>
      <c r="J1186" t="n">
        <v>465326.1999999984</v>
      </c>
      <c r="K1186" t="n">
        <v>25841</v>
      </c>
      <c r="L1186" t="n">
        <v>207097</v>
      </c>
      <c r="M1186" t="n">
        <v>86559</v>
      </c>
      <c r="N1186" t="n">
        <v>95882</v>
      </c>
      <c r="O1186" t="n">
        <v>49833</v>
      </c>
      <c r="P1186" t="n">
        <v>403</v>
      </c>
    </row>
    <row r="1187">
      <c r="A1187" t="inlineStr">
        <is>
          <t>MQ</t>
        </is>
      </c>
      <c r="B1187" t="n">
        <v>2025</v>
      </c>
      <c r="C1187" t="n">
        <v>8</v>
      </c>
      <c r="D1187" t="n">
        <v>26564</v>
      </c>
      <c r="E1187" t="n">
        <v>398</v>
      </c>
      <c r="F1187" t="n">
        <v>100</v>
      </c>
      <c r="G1187" t="n">
        <v>26066</v>
      </c>
      <c r="H1187" t="n">
        <v>20545</v>
      </c>
      <c r="I1187" t="n">
        <v>182856</v>
      </c>
      <c r="J1187" t="n">
        <v>427929.7999999988</v>
      </c>
      <c r="K1187" t="n">
        <v>24552</v>
      </c>
      <c r="L1187" t="n">
        <v>166598</v>
      </c>
      <c r="M1187" t="n">
        <v>54208</v>
      </c>
      <c r="N1187" t="n">
        <v>77484</v>
      </c>
      <c r="O1187" t="n">
        <v>51615</v>
      </c>
      <c r="P1187" t="n">
        <v>506</v>
      </c>
    </row>
    <row r="1188">
      <c r="A1188" t="inlineStr">
        <is>
          <t>MQ</t>
        </is>
      </c>
      <c r="B1188" t="n">
        <v>2025</v>
      </c>
      <c r="C1188" t="n">
        <v>9</v>
      </c>
      <c r="D1188" t="n">
        <v>25170</v>
      </c>
      <c r="E1188" t="n">
        <v>192</v>
      </c>
      <c r="F1188" t="n">
        <v>64</v>
      </c>
      <c r="G1188" t="n">
        <v>24914</v>
      </c>
      <c r="H1188" t="n">
        <v>20948</v>
      </c>
      <c r="I1188" t="n">
        <v>39645</v>
      </c>
      <c r="J1188" t="n">
        <v>426630.9999999985</v>
      </c>
      <c r="K1188" t="n">
        <v>23336</v>
      </c>
      <c r="L1188" t="n">
        <v>108637</v>
      </c>
      <c r="M1188" t="n">
        <v>46113</v>
      </c>
      <c r="N1188" t="n">
        <v>62816</v>
      </c>
      <c r="O1188" t="n">
        <v>28361</v>
      </c>
      <c r="P1188" t="n">
        <v>31</v>
      </c>
    </row>
    <row r="1189">
      <c r="A1189" t="inlineStr">
        <is>
          <t>MQ</t>
        </is>
      </c>
      <c r="B1189" t="n">
        <v>2025</v>
      </c>
      <c r="C1189" t="n">
        <v>10</v>
      </c>
      <c r="D1189" t="n">
        <v>27348</v>
      </c>
      <c r="E1189" t="n">
        <v>136</v>
      </c>
      <c r="F1189" t="n">
        <v>43</v>
      </c>
      <c r="G1189" t="n">
        <v>27169</v>
      </c>
      <c r="H1189" t="n">
        <v>22165</v>
      </c>
      <c r="I1189" t="n">
        <v>93303</v>
      </c>
      <c r="J1189" t="n">
        <v>478508.9000000046</v>
      </c>
      <c r="K1189" t="n">
        <v>25391</v>
      </c>
      <c r="L1189" t="n">
        <v>131578</v>
      </c>
      <c r="M1189" t="n">
        <v>52610</v>
      </c>
      <c r="N1189" t="n">
        <v>73920</v>
      </c>
      <c r="O1189" t="n">
        <v>21519</v>
      </c>
      <c r="P1189" t="n">
        <v>432</v>
      </c>
    </row>
    <row r="1190">
      <c r="A1190" t="inlineStr">
        <is>
          <t>MQ</t>
        </is>
      </c>
      <c r="B1190" t="n">
        <v>2025</v>
      </c>
      <c r="C1190" t="n">
        <v>11</v>
      </c>
      <c r="D1190" t="n">
        <v>24683</v>
      </c>
      <c r="E1190" t="n">
        <v>1213</v>
      </c>
      <c r="F1190" t="n">
        <v>50</v>
      </c>
      <c r="G1190" t="n">
        <v>23420</v>
      </c>
      <c r="H1190" t="n">
        <v>19241</v>
      </c>
      <c r="I1190" t="n">
        <v>63133</v>
      </c>
      <c r="J1190" t="n">
        <v>491277.4000000022</v>
      </c>
      <c r="K1190" t="n">
        <v>22646</v>
      </c>
      <c r="L1190" t="n">
        <v>114259</v>
      </c>
      <c r="M1190" t="n">
        <v>48474</v>
      </c>
      <c r="N1190" t="n">
        <v>86786</v>
      </c>
      <c r="O1190" t="n">
        <v>36673</v>
      </c>
      <c r="P1190" t="n">
        <v>342</v>
      </c>
    </row>
    <row r="1191">
      <c r="A1191" t="inlineStr">
        <is>
          <t>MQ</t>
        </is>
      </c>
      <c r="B1191" t="n">
        <v>2025</v>
      </c>
      <c r="C1191" t="n">
        <v>12</v>
      </c>
      <c r="D1191" t="n">
        <v>25437</v>
      </c>
      <c r="E1191" t="n">
        <v>444</v>
      </c>
      <c r="F1191" t="n">
        <v>62</v>
      </c>
      <c r="G1191" t="n">
        <v>24931</v>
      </c>
      <c r="H1191" t="n">
        <v>19083</v>
      </c>
      <c r="I1191" t="n">
        <v>199415</v>
      </c>
      <c r="J1191" t="n">
        <v>502497.4999999997</v>
      </c>
      <c r="K1191" t="n">
        <v>23508</v>
      </c>
      <c r="L1191" t="n">
        <v>179874</v>
      </c>
      <c r="M1191" t="n">
        <v>70151</v>
      </c>
      <c r="N1191" t="n">
        <v>89234</v>
      </c>
      <c r="O1191" t="n">
        <v>39619</v>
      </c>
      <c r="P1191" t="n">
        <v>375</v>
      </c>
    </row>
    <row r="1192">
      <c r="A1192" t="inlineStr">
        <is>
          <t>MQ</t>
        </is>
      </c>
      <c r="B1192" t="n">
        <v>2026</v>
      </c>
      <c r="C1192" t="n">
        <v>1</v>
      </c>
      <c r="D1192" t="n">
        <v>24155</v>
      </c>
      <c r="E1192" t="n">
        <v>1180</v>
      </c>
      <c r="F1192" t="n">
        <v>49</v>
      </c>
      <c r="G1192" t="n">
        <v>22926</v>
      </c>
      <c r="H1192" t="n">
        <v>18295</v>
      </c>
      <c r="I1192" t="n">
        <v>114283</v>
      </c>
      <c r="J1192" t="n">
        <v>505977.099999999</v>
      </c>
      <c r="K1192" t="n">
        <v>22489</v>
      </c>
      <c r="L1192" t="n">
        <v>136573</v>
      </c>
      <c r="M1192" t="n">
        <v>61616</v>
      </c>
      <c r="N1192" t="n">
        <v>70913</v>
      </c>
      <c r="O1192" t="n">
        <v>52589</v>
      </c>
      <c r="P1192" t="n">
        <v>277</v>
      </c>
    </row>
    <row r="1193">
      <c r="A1193" t="inlineStr">
        <is>
          <t>MQ</t>
        </is>
      </c>
      <c r="B1193" t="n">
        <v>2026</v>
      </c>
      <c r="C1193" t="n">
        <v>2</v>
      </c>
      <c r="D1193" t="n">
        <v>22728</v>
      </c>
      <c r="E1193" t="n">
        <v>179</v>
      </c>
      <c r="F1193" t="n">
        <v>36</v>
      </c>
      <c r="G1193" t="n">
        <v>22513</v>
      </c>
      <c r="H1193" t="n">
        <v>18767</v>
      </c>
      <c r="I1193" t="n">
        <v>-513</v>
      </c>
      <c r="J1193" t="n">
        <v>469128.2000000004</v>
      </c>
      <c r="K1193" t="n">
        <v>21019</v>
      </c>
      <c r="L1193" t="n">
        <v>99489</v>
      </c>
      <c r="M1193" t="n">
        <v>55815</v>
      </c>
      <c r="N1193" t="n">
        <v>51828</v>
      </c>
      <c r="O1193" t="n">
        <v>16308</v>
      </c>
      <c r="P1193" t="n">
        <v>255</v>
      </c>
    </row>
    <row r="1194">
      <c r="A1194" t="inlineStr">
        <is>
          <t>MQ</t>
        </is>
      </c>
      <c r="B1194" t="n">
        <v>2026</v>
      </c>
      <c r="C1194" t="n">
        <v>3</v>
      </c>
      <c r="D1194" t="n">
        <v>26721</v>
      </c>
      <c r="E1194" t="n">
        <v>815</v>
      </c>
      <c r="F1194" t="n">
        <v>114</v>
      </c>
      <c r="G1194" t="n">
        <v>25792</v>
      </c>
      <c r="H1194" t="n">
        <v>20660</v>
      </c>
      <c r="I1194" t="n">
        <v>140316</v>
      </c>
      <c r="J1194" t="n">
        <v>570228.9000000011</v>
      </c>
      <c r="K1194" t="n">
        <v>24888</v>
      </c>
      <c r="L1194" t="n">
        <v>163738</v>
      </c>
      <c r="M1194" t="n">
        <v>73321</v>
      </c>
      <c r="N1194" t="n">
        <v>95824</v>
      </c>
      <c r="O1194" t="n">
        <v>52755</v>
      </c>
      <c r="P1194" t="n">
        <v>571</v>
      </c>
    </row>
    <row r="1195">
      <c r="A1195" t="inlineStr">
        <is>
          <t>MQ</t>
        </is>
      </c>
      <c r="B1195" t="n">
        <v>2026</v>
      </c>
      <c r="C1195" t="n">
        <v>4</v>
      </c>
      <c r="D1195" t="n">
        <v>27127</v>
      </c>
      <c r="E1195" t="n">
        <v>557</v>
      </c>
      <c r="F1195" t="n">
        <v>68</v>
      </c>
      <c r="G1195" t="n">
        <v>26502</v>
      </c>
      <c r="H1195" t="n">
        <v>21546</v>
      </c>
      <c r="I1195" t="n">
        <v>88802</v>
      </c>
      <c r="J1195" t="n">
        <v>606031.1000000024</v>
      </c>
      <c r="K1195" t="n">
        <v>25393</v>
      </c>
      <c r="L1195" t="n">
        <v>164709</v>
      </c>
      <c r="M1195" t="n">
        <v>64024</v>
      </c>
      <c r="N1195" t="n">
        <v>81796</v>
      </c>
      <c r="O1195" t="n">
        <v>43627</v>
      </c>
      <c r="P1195" t="n">
        <v>276</v>
      </c>
    </row>
    <row r="1196">
      <c r="A1196" t="inlineStr">
        <is>
          <t>MQ</t>
        </is>
      </c>
      <c r="B1196" t="n">
        <v>2026</v>
      </c>
      <c r="C1196" t="n">
        <v>5</v>
      </c>
      <c r="D1196" t="n">
        <v>28806</v>
      </c>
      <c r="E1196" t="n">
        <v>516</v>
      </c>
      <c r="F1196" t="n">
        <v>78</v>
      </c>
      <c r="G1196" t="n">
        <v>28212</v>
      </c>
      <c r="H1196" t="n">
        <v>23452</v>
      </c>
      <c r="I1196" t="n">
        <v>50325</v>
      </c>
      <c r="J1196" t="n">
        <v>627136.8999999962</v>
      </c>
      <c r="K1196" t="n">
        <v>26689</v>
      </c>
      <c r="L1196" t="n">
        <v>148916</v>
      </c>
      <c r="M1196" t="n">
        <v>69776</v>
      </c>
      <c r="N1196" t="n">
        <v>69537</v>
      </c>
      <c r="O1196" t="n">
        <v>55518</v>
      </c>
      <c r="P1196" t="n">
        <v>219</v>
      </c>
    </row>
    <row r="1197">
      <c r="A1197" t="inlineStr">
        <is>
          <t>MQ</t>
        </is>
      </c>
      <c r="B1197" t="n">
        <v>2026</v>
      </c>
      <c r="C1197" t="n">
        <v>6</v>
      </c>
      <c r="D1197" t="n">
        <v>29207</v>
      </c>
      <c r="E1197" t="n">
        <v>993</v>
      </c>
      <c r="F1197" t="n">
        <v>114</v>
      </c>
      <c r="G1197" t="n">
        <v>28100</v>
      </c>
      <c r="H1197" t="n">
        <v>22126</v>
      </c>
      <c r="I1197" t="n">
        <v>195341</v>
      </c>
      <c r="J1197" t="n">
        <v>605274.3000000016</v>
      </c>
      <c r="K1197" t="n">
        <v>26624</v>
      </c>
      <c r="L1197" t="n">
        <v>204063</v>
      </c>
      <c r="M1197" t="n">
        <v>96637</v>
      </c>
      <c r="N1197" t="n">
        <v>91752</v>
      </c>
      <c r="O1197" t="n">
        <v>70207</v>
      </c>
      <c r="P1197" t="n">
        <v>824</v>
      </c>
    </row>
    <row r="1198">
      <c r="A1198" t="inlineStr">
        <is>
          <t>MQ</t>
        </is>
      </c>
      <c r="B1198" t="n">
        <v>2026</v>
      </c>
      <c r="C1198" t="n">
        <v>7</v>
      </c>
      <c r="D1198" t="n">
        <v>29780</v>
      </c>
      <c r="E1198" t="n">
        <v>441</v>
      </c>
      <c r="F1198" t="n">
        <v>69</v>
      </c>
      <c r="G1198" t="n">
        <v>29270</v>
      </c>
      <c r="H1198" t="n">
        <v>23773</v>
      </c>
      <c r="I1198" t="n">
        <v>127146</v>
      </c>
      <c r="J1198" t="n">
        <v>608769.9000000014</v>
      </c>
      <c r="K1198" t="n">
        <v>27221</v>
      </c>
      <c r="L1198" t="n">
        <v>180784</v>
      </c>
      <c r="M1198" t="n">
        <v>104823</v>
      </c>
      <c r="N1198" t="n">
        <v>85793</v>
      </c>
      <c r="O1198" t="n">
        <v>53512</v>
      </c>
      <c r="P1198" t="n">
        <v>488</v>
      </c>
    </row>
    <row r="1199">
      <c r="A1199" t="inlineStr">
        <is>
          <t>NK</t>
        </is>
      </c>
      <c r="B1199" t="n">
        <v>2015</v>
      </c>
      <c r="C1199" t="n">
        <v>1</v>
      </c>
      <c r="D1199" t="n">
        <v>8743</v>
      </c>
      <c r="E1199" t="n">
        <v>98</v>
      </c>
      <c r="F1199" t="n">
        <v>13</v>
      </c>
      <c r="G1199" t="n">
        <v>8632</v>
      </c>
      <c r="H1199" t="n">
        <v>6286</v>
      </c>
      <c r="I1199" t="n">
        <v>98388</v>
      </c>
      <c r="J1199" t="n">
        <v>137298.3000000001</v>
      </c>
      <c r="K1199" t="n">
        <v>8743</v>
      </c>
      <c r="L1199" t="n">
        <v>24678</v>
      </c>
      <c r="M1199" t="n">
        <v>20312</v>
      </c>
      <c r="N1199" t="n">
        <v>93908</v>
      </c>
      <c r="O1199" t="n">
        <v>607</v>
      </c>
      <c r="P1199" t="n">
        <v>384</v>
      </c>
    </row>
    <row r="1200">
      <c r="A1200" t="inlineStr">
        <is>
          <t>NK</t>
        </is>
      </c>
      <c r="B1200" t="n">
        <v>2015</v>
      </c>
      <c r="C1200" t="n">
        <v>2</v>
      </c>
      <c r="D1200" t="n">
        <v>8089</v>
      </c>
      <c r="E1200" t="n">
        <v>266</v>
      </c>
      <c r="F1200" t="n">
        <v>10</v>
      </c>
      <c r="G1200" t="n">
        <v>7813</v>
      </c>
      <c r="H1200" t="n">
        <v>5247</v>
      </c>
      <c r="I1200" t="n">
        <v>128715</v>
      </c>
      <c r="J1200" t="n">
        <v>124861.9999999999</v>
      </c>
      <c r="K1200" t="n">
        <v>8041</v>
      </c>
      <c r="L1200" t="n">
        <v>53801</v>
      </c>
      <c r="M1200" t="n">
        <v>38397</v>
      </c>
      <c r="N1200" t="n">
        <v>63097</v>
      </c>
      <c r="O1200" t="n">
        <v>6142</v>
      </c>
      <c r="P1200" t="n">
        <v>179</v>
      </c>
    </row>
    <row r="1201">
      <c r="A1201" t="inlineStr">
        <is>
          <t>NK</t>
        </is>
      </c>
      <c r="B1201" t="n">
        <v>2015</v>
      </c>
      <c r="C1201" t="n">
        <v>3</v>
      </c>
      <c r="D1201" t="n">
        <v>9400</v>
      </c>
      <c r="E1201" t="n">
        <v>139</v>
      </c>
      <c r="F1201" t="n">
        <v>7</v>
      </c>
      <c r="G1201" t="n">
        <v>9254</v>
      </c>
      <c r="H1201" t="n">
        <v>6949</v>
      </c>
      <c r="I1201" t="n">
        <v>92902</v>
      </c>
      <c r="J1201" t="n">
        <v>144498.9999999994</v>
      </c>
      <c r="K1201" t="n">
        <v>9387</v>
      </c>
      <c r="L1201" t="n">
        <v>48688</v>
      </c>
      <c r="M1201" t="n">
        <v>35912</v>
      </c>
      <c r="N1201" t="n">
        <v>55158</v>
      </c>
      <c r="O1201" t="n">
        <v>3324</v>
      </c>
      <c r="P1201" t="n">
        <v>277</v>
      </c>
    </row>
    <row r="1202">
      <c r="A1202" t="inlineStr">
        <is>
          <t>NK</t>
        </is>
      </c>
      <c r="B1202" t="n">
        <v>2015</v>
      </c>
      <c r="C1202" t="n">
        <v>4</v>
      </c>
      <c r="D1202" t="n">
        <v>9496</v>
      </c>
      <c r="E1202" t="n">
        <v>64</v>
      </c>
      <c r="F1202" t="n">
        <v>17</v>
      </c>
      <c r="G1202" t="n">
        <v>9415</v>
      </c>
      <c r="H1202" t="n">
        <v>7094</v>
      </c>
      <c r="I1202" t="n">
        <v>82534</v>
      </c>
      <c r="J1202" t="n">
        <v>137746.1999999997</v>
      </c>
      <c r="K1202" t="n">
        <v>9451</v>
      </c>
      <c r="L1202" t="n">
        <v>38999</v>
      </c>
      <c r="M1202" t="n">
        <v>23243</v>
      </c>
      <c r="N1202" t="n">
        <v>59217</v>
      </c>
      <c r="O1202" t="n">
        <v>3972</v>
      </c>
      <c r="P1202" t="n">
        <v>189</v>
      </c>
    </row>
    <row r="1203">
      <c r="A1203" t="inlineStr">
        <is>
          <t>NK</t>
        </is>
      </c>
      <c r="B1203" t="n">
        <v>2015</v>
      </c>
      <c r="C1203" t="n">
        <v>5</v>
      </c>
      <c r="D1203" t="n">
        <v>10051</v>
      </c>
      <c r="E1203" t="n">
        <v>225</v>
      </c>
      <c r="F1203" t="n">
        <v>26</v>
      </c>
      <c r="G1203" t="n">
        <v>9800</v>
      </c>
      <c r="H1203" t="n">
        <v>6152</v>
      </c>
      <c r="I1203" t="n">
        <v>219494</v>
      </c>
      <c r="J1203" t="n">
        <v>138238.3000000002</v>
      </c>
      <c r="K1203" t="n">
        <v>9980</v>
      </c>
      <c r="L1203" t="n">
        <v>101022</v>
      </c>
      <c r="M1203" t="n">
        <v>57746</v>
      </c>
      <c r="N1203" t="n">
        <v>84560</v>
      </c>
      <c r="O1203" t="n">
        <v>8891</v>
      </c>
      <c r="P1203" t="n">
        <v>751</v>
      </c>
    </row>
    <row r="1204">
      <c r="A1204" t="inlineStr">
        <is>
          <t>NK</t>
        </is>
      </c>
      <c r="B1204" t="n">
        <v>2015</v>
      </c>
      <c r="C1204" t="n">
        <v>6</v>
      </c>
      <c r="D1204" t="n">
        <v>9826</v>
      </c>
      <c r="E1204" t="n">
        <v>479</v>
      </c>
      <c r="F1204" t="n">
        <v>22</v>
      </c>
      <c r="G1204" t="n">
        <v>9325</v>
      </c>
      <c r="H1204" t="n">
        <v>4906</v>
      </c>
      <c r="I1204" t="n">
        <v>331611</v>
      </c>
      <c r="J1204" t="n">
        <v>134316.6000000002</v>
      </c>
      <c r="K1204" t="n">
        <v>9786</v>
      </c>
      <c r="L1204" t="n">
        <v>142110</v>
      </c>
      <c r="M1204" t="n">
        <v>90331</v>
      </c>
      <c r="N1204" t="n">
        <v>115557</v>
      </c>
      <c r="O1204" t="n">
        <v>6295</v>
      </c>
      <c r="P1204" t="n">
        <v>565</v>
      </c>
    </row>
    <row r="1205">
      <c r="A1205" t="inlineStr">
        <is>
          <t>NK</t>
        </is>
      </c>
      <c r="B1205" t="n">
        <v>2015</v>
      </c>
      <c r="C1205" t="n">
        <v>7</v>
      </c>
      <c r="D1205" t="n">
        <v>10351</v>
      </c>
      <c r="E1205" t="n">
        <v>131</v>
      </c>
      <c r="F1205" t="n">
        <v>18</v>
      </c>
      <c r="G1205" t="n">
        <v>10202</v>
      </c>
      <c r="H1205" t="n">
        <v>7109</v>
      </c>
      <c r="I1205" t="n">
        <v>146423</v>
      </c>
      <c r="J1205" t="n">
        <v>136703.3999999998</v>
      </c>
      <c r="K1205" t="n">
        <v>10348</v>
      </c>
      <c r="L1205" t="n">
        <v>69394</v>
      </c>
      <c r="M1205" t="n">
        <v>42177</v>
      </c>
      <c r="N1205" t="n">
        <v>71278</v>
      </c>
      <c r="O1205" t="n">
        <v>3332</v>
      </c>
      <c r="P1205" t="n">
        <v>931</v>
      </c>
    </row>
    <row r="1206">
      <c r="A1206" t="inlineStr">
        <is>
          <t>NK</t>
        </is>
      </c>
      <c r="B1206" t="n">
        <v>2015</v>
      </c>
      <c r="C1206" t="n">
        <v>8</v>
      </c>
      <c r="D1206" t="n">
        <v>10432</v>
      </c>
      <c r="E1206" t="n">
        <v>186</v>
      </c>
      <c r="F1206" t="n">
        <v>19</v>
      </c>
      <c r="G1206" t="n">
        <v>10227</v>
      </c>
      <c r="H1206" t="n">
        <v>6640</v>
      </c>
      <c r="I1206" t="n">
        <v>209848</v>
      </c>
      <c r="J1206" t="n">
        <v>134951.4999999999</v>
      </c>
      <c r="K1206" t="n">
        <v>10430</v>
      </c>
      <c r="L1206" t="n">
        <v>71208</v>
      </c>
      <c r="M1206" t="n">
        <v>46464</v>
      </c>
      <c r="N1206" t="n">
        <v>123755</v>
      </c>
      <c r="O1206" t="n">
        <v>3097</v>
      </c>
      <c r="P1206" t="n">
        <v>285</v>
      </c>
    </row>
    <row r="1207">
      <c r="A1207" t="inlineStr">
        <is>
          <t>NK</t>
        </is>
      </c>
      <c r="B1207" t="n">
        <v>2015</v>
      </c>
      <c r="C1207" t="n">
        <v>9</v>
      </c>
      <c r="D1207" t="n">
        <v>9948</v>
      </c>
      <c r="E1207" t="n">
        <v>68</v>
      </c>
      <c r="F1207" t="n">
        <v>12</v>
      </c>
      <c r="G1207" t="n">
        <v>9868</v>
      </c>
      <c r="H1207" t="n">
        <v>7633</v>
      </c>
      <c r="I1207" t="n">
        <v>78945</v>
      </c>
      <c r="J1207" t="n">
        <v>135139.1999999999</v>
      </c>
      <c r="K1207" t="n">
        <v>9846</v>
      </c>
      <c r="L1207" t="n">
        <v>42569</v>
      </c>
      <c r="M1207" t="n">
        <v>34487</v>
      </c>
      <c r="N1207" t="n">
        <v>49594</v>
      </c>
      <c r="O1207" t="n">
        <v>1811</v>
      </c>
      <c r="P1207" t="n">
        <v>181</v>
      </c>
    </row>
    <row r="1208">
      <c r="A1208" t="inlineStr">
        <is>
          <t>NK</t>
        </is>
      </c>
      <c r="B1208" t="n">
        <v>2015</v>
      </c>
      <c r="C1208" t="n">
        <v>10</v>
      </c>
      <c r="D1208" t="n">
        <v>10208</v>
      </c>
      <c r="E1208" t="n">
        <v>61</v>
      </c>
      <c r="F1208" t="n">
        <v>13</v>
      </c>
      <c r="G1208" t="n">
        <v>10134</v>
      </c>
      <c r="H1208" t="n">
        <v>7967</v>
      </c>
      <c r="I1208" t="n">
        <v>69020</v>
      </c>
      <c r="J1208" t="n">
        <v>140324.1000000001</v>
      </c>
      <c r="K1208" t="n">
        <v>10200</v>
      </c>
      <c r="L1208" t="n">
        <v>9572</v>
      </c>
      <c r="M1208" t="n">
        <v>5602</v>
      </c>
      <c r="N1208" t="n">
        <v>102491</v>
      </c>
      <c r="O1208" t="n">
        <v>194</v>
      </c>
      <c r="P1208" t="n">
        <v>231</v>
      </c>
    </row>
    <row r="1209">
      <c r="A1209" t="inlineStr">
        <is>
          <t>NK</t>
        </is>
      </c>
      <c r="B1209" t="n">
        <v>2015</v>
      </c>
      <c r="C1209" t="n">
        <v>11</v>
      </c>
      <c r="D1209" t="n">
        <v>10164</v>
      </c>
      <c r="E1209" t="n">
        <v>105</v>
      </c>
      <c r="F1209" t="n">
        <v>9</v>
      </c>
      <c r="G1209" t="n">
        <v>10050</v>
      </c>
      <c r="H1209" t="n">
        <v>7653</v>
      </c>
      <c r="I1209" t="n">
        <v>75816</v>
      </c>
      <c r="J1209" t="n">
        <v>148599.0999999995</v>
      </c>
      <c r="K1209" t="n">
        <v>10065</v>
      </c>
      <c r="L1209" t="n">
        <v>32781</v>
      </c>
      <c r="M1209" t="n">
        <v>29780</v>
      </c>
      <c r="N1209" t="n">
        <v>60826</v>
      </c>
      <c r="O1209" t="n">
        <v>3143</v>
      </c>
      <c r="P1209" t="n">
        <v>396</v>
      </c>
    </row>
    <row r="1210">
      <c r="A1210" t="inlineStr">
        <is>
          <t>NK</t>
        </is>
      </c>
      <c r="B1210" t="n">
        <v>2015</v>
      </c>
      <c r="C1210" t="n">
        <v>12</v>
      </c>
      <c r="D1210" t="n">
        <v>10671</v>
      </c>
      <c r="E1210" t="n">
        <v>182</v>
      </c>
      <c r="F1210" t="n">
        <v>16</v>
      </c>
      <c r="G1210" t="n">
        <v>10473</v>
      </c>
      <c r="H1210" t="n">
        <v>7336</v>
      </c>
      <c r="I1210" t="n">
        <v>133354</v>
      </c>
      <c r="J1210" t="n">
        <v>156641.5000000004</v>
      </c>
      <c r="K1210" t="n">
        <v>10670</v>
      </c>
      <c r="L1210" t="n">
        <v>66396</v>
      </c>
      <c r="M1210" t="n">
        <v>46664</v>
      </c>
      <c r="N1210" t="n">
        <v>61982</v>
      </c>
      <c r="O1210" t="n">
        <v>3280</v>
      </c>
      <c r="P1210" t="n">
        <v>778</v>
      </c>
    </row>
    <row r="1211">
      <c r="A1211" t="inlineStr">
        <is>
          <t>NK</t>
        </is>
      </c>
      <c r="B1211" t="n">
        <v>2016</v>
      </c>
      <c r="C1211" t="n">
        <v>1</v>
      </c>
      <c r="D1211" t="n">
        <v>11047</v>
      </c>
      <c r="E1211" t="n">
        <v>308</v>
      </c>
      <c r="F1211" t="n">
        <v>10</v>
      </c>
      <c r="G1211" t="n">
        <v>10729</v>
      </c>
      <c r="H1211" t="n">
        <v>7519</v>
      </c>
      <c r="I1211" t="n">
        <v>140848</v>
      </c>
      <c r="J1211" t="n">
        <v>165464.6</v>
      </c>
      <c r="K1211" t="n">
        <v>11046</v>
      </c>
      <c r="L1211" t="n">
        <v>67400</v>
      </c>
      <c r="M1211" t="n">
        <v>51735</v>
      </c>
      <c r="N1211" t="n">
        <v>61554</v>
      </c>
      <c r="O1211" t="n">
        <v>3381</v>
      </c>
      <c r="P1211" t="n">
        <v>592</v>
      </c>
    </row>
    <row r="1212">
      <c r="A1212" t="inlineStr">
        <is>
          <t>NK</t>
        </is>
      </c>
      <c r="B1212" t="n">
        <v>2016</v>
      </c>
      <c r="C1212" t="n">
        <v>2</v>
      </c>
      <c r="D1212" t="n">
        <v>10354</v>
      </c>
      <c r="E1212" t="n">
        <v>404</v>
      </c>
      <c r="F1212" t="n">
        <v>12</v>
      </c>
      <c r="G1212" t="n">
        <v>9938</v>
      </c>
      <c r="H1212" t="n">
        <v>6540</v>
      </c>
      <c r="I1212" t="n">
        <v>192308</v>
      </c>
      <c r="J1212" t="n">
        <v>153370.3000000009</v>
      </c>
      <c r="K1212" t="n">
        <v>10300</v>
      </c>
      <c r="L1212" t="n">
        <v>58490</v>
      </c>
      <c r="M1212" t="n">
        <v>40157</v>
      </c>
      <c r="N1212" t="n">
        <v>131174</v>
      </c>
      <c r="O1212" t="n">
        <v>2246</v>
      </c>
      <c r="P1212" t="n">
        <v>239</v>
      </c>
    </row>
    <row r="1213">
      <c r="A1213" t="inlineStr">
        <is>
          <t>NK</t>
        </is>
      </c>
      <c r="B1213" t="n">
        <v>2016</v>
      </c>
      <c r="C1213" t="n">
        <v>3</v>
      </c>
      <c r="D1213" t="n">
        <v>11246</v>
      </c>
      <c r="E1213" t="n">
        <v>174</v>
      </c>
      <c r="F1213" t="n">
        <v>20</v>
      </c>
      <c r="G1213" t="n">
        <v>11052</v>
      </c>
      <c r="H1213" t="n">
        <v>7262</v>
      </c>
      <c r="I1213" t="n">
        <v>189917</v>
      </c>
      <c r="J1213" t="n">
        <v>167935.9999999993</v>
      </c>
      <c r="K1213" t="n">
        <v>11244</v>
      </c>
      <c r="L1213" t="n">
        <v>3909</v>
      </c>
      <c r="M1213" t="n">
        <v>3269</v>
      </c>
      <c r="N1213" t="n">
        <v>218832</v>
      </c>
      <c r="O1213" t="n">
        <v>188</v>
      </c>
      <c r="P1213" t="n">
        <v>36</v>
      </c>
    </row>
    <row r="1214">
      <c r="A1214" t="inlineStr">
        <is>
          <t>NK</t>
        </is>
      </c>
      <c r="B1214" t="n">
        <v>2016</v>
      </c>
      <c r="C1214" t="n">
        <v>4</v>
      </c>
      <c r="D1214" t="n">
        <v>11281</v>
      </c>
      <c r="E1214" t="n">
        <v>193</v>
      </c>
      <c r="F1214" t="n">
        <v>22</v>
      </c>
      <c r="G1214" t="n">
        <v>11066</v>
      </c>
      <c r="H1214" t="n">
        <v>8326</v>
      </c>
      <c r="I1214" t="n">
        <v>101194</v>
      </c>
      <c r="J1214" t="n">
        <v>164903.8000000003</v>
      </c>
      <c r="K1214" t="n">
        <v>11279</v>
      </c>
      <c r="L1214" t="n">
        <v>52825</v>
      </c>
      <c r="M1214" t="n">
        <v>35025</v>
      </c>
      <c r="N1214" t="n">
        <v>64847</v>
      </c>
      <c r="O1214" t="n">
        <v>2872</v>
      </c>
      <c r="P1214" t="n">
        <v>442</v>
      </c>
    </row>
    <row r="1215">
      <c r="A1215" t="inlineStr">
        <is>
          <t>NK</t>
        </is>
      </c>
      <c r="B1215" t="n">
        <v>2016</v>
      </c>
      <c r="C1215" t="n">
        <v>5</v>
      </c>
      <c r="D1215" t="n">
        <v>11992</v>
      </c>
      <c r="E1215" t="n">
        <v>164</v>
      </c>
      <c r="F1215" t="n">
        <v>14</v>
      </c>
      <c r="G1215" t="n">
        <v>11814</v>
      </c>
      <c r="H1215" t="n">
        <v>9164</v>
      </c>
      <c r="I1215" t="n">
        <v>82005</v>
      </c>
      <c r="J1215" t="n">
        <v>184408.8</v>
      </c>
      <c r="K1215" t="n">
        <v>11992</v>
      </c>
      <c r="L1215" t="n">
        <v>48707</v>
      </c>
      <c r="M1215" t="n">
        <v>31926</v>
      </c>
      <c r="N1215" t="n">
        <v>64342</v>
      </c>
      <c r="O1215" t="n">
        <v>5500</v>
      </c>
      <c r="P1215" t="n">
        <v>434</v>
      </c>
    </row>
    <row r="1216">
      <c r="A1216" t="inlineStr">
        <is>
          <t>NK</t>
        </is>
      </c>
      <c r="B1216" t="n">
        <v>2016</v>
      </c>
      <c r="C1216" t="n">
        <v>6</v>
      </c>
      <c r="D1216" t="n">
        <v>11605</v>
      </c>
      <c r="E1216" t="n">
        <v>270</v>
      </c>
      <c r="F1216" t="n">
        <v>21</v>
      </c>
      <c r="G1216" t="n">
        <v>11314</v>
      </c>
      <c r="H1216" t="n">
        <v>8470</v>
      </c>
      <c r="I1216" t="n">
        <v>98298</v>
      </c>
      <c r="J1216" t="n">
        <v>175387.7999999989</v>
      </c>
      <c r="K1216" t="n">
        <v>11605</v>
      </c>
      <c r="L1216" t="n">
        <v>56496</v>
      </c>
      <c r="M1216" t="n">
        <v>38051</v>
      </c>
      <c r="N1216" t="n">
        <v>64509</v>
      </c>
      <c r="O1216" t="n">
        <v>3835</v>
      </c>
      <c r="P1216" t="n">
        <v>701</v>
      </c>
    </row>
    <row r="1217">
      <c r="A1217" t="inlineStr">
        <is>
          <t>NK</t>
        </is>
      </c>
      <c r="B1217" t="n">
        <v>2016</v>
      </c>
      <c r="C1217" t="n">
        <v>7</v>
      </c>
      <c r="D1217" t="n">
        <v>11995</v>
      </c>
      <c r="E1217" t="n">
        <v>251</v>
      </c>
      <c r="F1217" t="n">
        <v>34</v>
      </c>
      <c r="G1217" t="n">
        <v>11710</v>
      </c>
      <c r="H1217" t="n">
        <v>8729</v>
      </c>
      <c r="I1217" t="n">
        <v>134474</v>
      </c>
      <c r="J1217" t="n">
        <v>181821.9999999985</v>
      </c>
      <c r="K1217" t="n">
        <v>11994</v>
      </c>
      <c r="L1217" t="n">
        <v>26378</v>
      </c>
      <c r="M1217" t="n">
        <v>13263</v>
      </c>
      <c r="N1217" t="n">
        <v>163869</v>
      </c>
      <c r="O1217" t="n">
        <v>1393</v>
      </c>
      <c r="P1217" t="n">
        <v>78</v>
      </c>
    </row>
    <row r="1218">
      <c r="A1218" t="inlineStr">
        <is>
          <t>NK</t>
        </is>
      </c>
      <c r="B1218" t="n">
        <v>2016</v>
      </c>
      <c r="C1218" t="n">
        <v>8</v>
      </c>
      <c r="D1218" t="n">
        <v>11992</v>
      </c>
      <c r="E1218" t="n">
        <v>197</v>
      </c>
      <c r="F1218" t="n">
        <v>15</v>
      </c>
      <c r="G1218" t="n">
        <v>11780</v>
      </c>
      <c r="H1218" t="n">
        <v>8604</v>
      </c>
      <c r="I1218" t="n">
        <v>166594</v>
      </c>
      <c r="J1218" t="n">
        <v>184767.4999999991</v>
      </c>
      <c r="K1218" t="n">
        <v>11990</v>
      </c>
      <c r="L1218" t="n">
        <v>41671</v>
      </c>
      <c r="M1218" t="n">
        <v>22190</v>
      </c>
      <c r="N1218" t="n">
        <v>167557</v>
      </c>
      <c r="O1218" t="n">
        <v>4448</v>
      </c>
      <c r="P1218" t="n">
        <v>581</v>
      </c>
    </row>
    <row r="1219">
      <c r="A1219" t="inlineStr">
        <is>
          <t>NK</t>
        </is>
      </c>
      <c r="B1219" t="n">
        <v>2016</v>
      </c>
      <c r="C1219" t="n">
        <v>9</v>
      </c>
      <c r="D1219" t="n">
        <v>11151</v>
      </c>
      <c r="E1219" t="n">
        <v>49</v>
      </c>
      <c r="F1219" t="n">
        <v>13</v>
      </c>
      <c r="G1219" t="n">
        <v>11089</v>
      </c>
      <c r="H1219" t="n">
        <v>9492</v>
      </c>
      <c r="I1219" t="n">
        <v>7778</v>
      </c>
      <c r="J1219" t="n">
        <v>181799.6000000002</v>
      </c>
      <c r="K1219" t="n">
        <v>11071</v>
      </c>
      <c r="L1219" t="n">
        <v>4179</v>
      </c>
      <c r="M1219" t="n">
        <v>3054</v>
      </c>
      <c r="N1219" t="n">
        <v>96021</v>
      </c>
      <c r="O1219" t="n">
        <v>239</v>
      </c>
      <c r="P1219" t="n">
        <v>8</v>
      </c>
    </row>
    <row r="1220">
      <c r="A1220" t="inlineStr">
        <is>
          <t>NK</t>
        </is>
      </c>
      <c r="B1220" t="n">
        <v>2016</v>
      </c>
      <c r="C1220" t="n">
        <v>10</v>
      </c>
      <c r="D1220" t="n">
        <v>11503</v>
      </c>
      <c r="E1220" t="n">
        <v>295</v>
      </c>
      <c r="F1220" t="n">
        <v>16</v>
      </c>
      <c r="G1220" t="n">
        <v>11192</v>
      </c>
      <c r="H1220" t="n">
        <v>9612</v>
      </c>
      <c r="I1220" t="n">
        <v>15088</v>
      </c>
      <c r="J1220" t="n">
        <v>188770.7999999996</v>
      </c>
      <c r="K1220" t="n">
        <v>11484</v>
      </c>
      <c r="L1220" t="n">
        <v>21171</v>
      </c>
      <c r="M1220" t="n">
        <v>17412</v>
      </c>
      <c r="N1220" t="n">
        <v>69823</v>
      </c>
      <c r="O1220" t="n">
        <v>524</v>
      </c>
      <c r="P1220" t="n">
        <v>162</v>
      </c>
    </row>
    <row r="1221">
      <c r="A1221" t="inlineStr">
        <is>
          <t>NK</t>
        </is>
      </c>
      <c r="B1221" t="n">
        <v>2016</v>
      </c>
      <c r="C1221" t="n">
        <v>11</v>
      </c>
      <c r="D1221" t="n">
        <v>11607</v>
      </c>
      <c r="E1221" t="n">
        <v>38</v>
      </c>
      <c r="F1221" t="n">
        <v>7</v>
      </c>
      <c r="G1221" t="n">
        <v>11562</v>
      </c>
      <c r="H1221" t="n">
        <v>10033</v>
      </c>
      <c r="I1221" t="n">
        <v>-7672</v>
      </c>
      <c r="J1221" t="n">
        <v>188823.0999999997</v>
      </c>
      <c r="K1221" t="n">
        <v>11502</v>
      </c>
      <c r="L1221" t="n">
        <v>28600</v>
      </c>
      <c r="M1221" t="n">
        <v>21105</v>
      </c>
      <c r="N1221" t="n">
        <v>43120</v>
      </c>
      <c r="O1221" t="n">
        <v>1754</v>
      </c>
      <c r="P1221" t="n">
        <v>156</v>
      </c>
    </row>
    <row r="1222">
      <c r="A1222" t="inlineStr">
        <is>
          <t>NK</t>
        </is>
      </c>
      <c r="B1222" t="n">
        <v>2016</v>
      </c>
      <c r="C1222" t="n">
        <v>12</v>
      </c>
      <c r="D1222" t="n">
        <v>12426</v>
      </c>
      <c r="E1222" t="n">
        <v>286</v>
      </c>
      <c r="F1222" t="n">
        <v>15</v>
      </c>
      <c r="G1222" t="n">
        <v>12125</v>
      </c>
      <c r="H1222" t="n">
        <v>8961</v>
      </c>
      <c r="I1222" t="n">
        <v>141937</v>
      </c>
      <c r="J1222" t="n">
        <v>197523.1000000006</v>
      </c>
      <c r="K1222" t="n">
        <v>12425</v>
      </c>
      <c r="L1222" t="n">
        <v>66599</v>
      </c>
      <c r="M1222" t="n">
        <v>51770</v>
      </c>
      <c r="N1222" t="n">
        <v>88662</v>
      </c>
      <c r="O1222" t="n">
        <v>3618</v>
      </c>
      <c r="P1222" t="n">
        <v>250</v>
      </c>
    </row>
    <row r="1223">
      <c r="A1223" t="inlineStr">
        <is>
          <t>NK</t>
        </is>
      </c>
      <c r="B1223" t="n">
        <v>2017</v>
      </c>
      <c r="C1223" t="n">
        <v>1</v>
      </c>
      <c r="D1223" t="n">
        <v>12570</v>
      </c>
      <c r="E1223" t="n">
        <v>441</v>
      </c>
      <c r="F1223" t="n">
        <v>19</v>
      </c>
      <c r="G1223" t="n">
        <v>12110</v>
      </c>
      <c r="H1223" t="n">
        <v>9153</v>
      </c>
      <c r="I1223" t="n">
        <v>108913</v>
      </c>
      <c r="J1223" t="n">
        <v>208504.6000000011</v>
      </c>
      <c r="K1223" t="n">
        <v>12566</v>
      </c>
      <c r="L1223" t="n">
        <v>35892</v>
      </c>
      <c r="M1223" t="n">
        <v>26852</v>
      </c>
      <c r="N1223" t="n">
        <v>129635</v>
      </c>
      <c r="O1223" t="n">
        <v>2166</v>
      </c>
      <c r="P1223" t="n">
        <v>104</v>
      </c>
    </row>
    <row r="1224">
      <c r="A1224" t="inlineStr">
        <is>
          <t>NK</t>
        </is>
      </c>
      <c r="B1224" t="n">
        <v>2017</v>
      </c>
      <c r="C1224" t="n">
        <v>2</v>
      </c>
      <c r="D1224" t="n">
        <v>11443</v>
      </c>
      <c r="E1224" t="n">
        <v>199</v>
      </c>
      <c r="F1224" t="n">
        <v>16</v>
      </c>
      <c r="G1224" t="n">
        <v>11228</v>
      </c>
      <c r="H1224" t="n">
        <v>9335</v>
      </c>
      <c r="I1224" t="n">
        <v>27869</v>
      </c>
      <c r="J1224" t="n">
        <v>188788.2000000013</v>
      </c>
      <c r="K1224" t="n">
        <v>11385</v>
      </c>
      <c r="L1224" t="n">
        <v>32924</v>
      </c>
      <c r="M1224" t="n">
        <v>28591</v>
      </c>
      <c r="N1224" t="n">
        <v>56942</v>
      </c>
      <c r="O1224" t="n">
        <v>1616</v>
      </c>
      <c r="P1224" t="n">
        <v>167</v>
      </c>
    </row>
    <row r="1225">
      <c r="A1225" t="inlineStr">
        <is>
          <t>NK</t>
        </is>
      </c>
      <c r="B1225" t="n">
        <v>2017</v>
      </c>
      <c r="C1225" t="n">
        <v>3</v>
      </c>
      <c r="D1225" t="n">
        <v>12882</v>
      </c>
      <c r="E1225" t="n">
        <v>321</v>
      </c>
      <c r="F1225" t="n">
        <v>19</v>
      </c>
      <c r="G1225" t="n">
        <v>12542</v>
      </c>
      <c r="H1225" t="n">
        <v>9665</v>
      </c>
      <c r="I1225" t="n">
        <v>118529</v>
      </c>
      <c r="J1225" t="n">
        <v>222432.0999999994</v>
      </c>
      <c r="K1225" t="n">
        <v>12878</v>
      </c>
      <c r="L1225" t="n">
        <v>63441</v>
      </c>
      <c r="M1225" t="n">
        <v>50083</v>
      </c>
      <c r="N1225" t="n">
        <v>87269</v>
      </c>
      <c r="O1225" t="n">
        <v>3494</v>
      </c>
      <c r="P1225" t="n">
        <v>158</v>
      </c>
    </row>
    <row r="1226">
      <c r="A1226" t="inlineStr">
        <is>
          <t>NK</t>
        </is>
      </c>
      <c r="B1226" t="n">
        <v>2017</v>
      </c>
      <c r="C1226" t="n">
        <v>4</v>
      </c>
      <c r="D1226" t="n">
        <v>12544</v>
      </c>
      <c r="E1226" t="n">
        <v>229</v>
      </c>
      <c r="F1226" t="n">
        <v>17</v>
      </c>
      <c r="G1226" t="n">
        <v>12298</v>
      </c>
      <c r="H1226" t="n">
        <v>9663</v>
      </c>
      <c r="I1226" t="n">
        <v>97160</v>
      </c>
      <c r="J1226" t="n">
        <v>220010.4999999994</v>
      </c>
      <c r="K1226" t="n">
        <v>12532</v>
      </c>
      <c r="L1226" t="n">
        <v>61295</v>
      </c>
      <c r="M1226" t="n">
        <v>50024</v>
      </c>
      <c r="N1226" t="n">
        <v>81278</v>
      </c>
      <c r="O1226" t="n">
        <v>2513</v>
      </c>
      <c r="P1226" t="n">
        <v>341</v>
      </c>
    </row>
    <row r="1227">
      <c r="A1227" t="inlineStr">
        <is>
          <t>NK</t>
        </is>
      </c>
      <c r="B1227" t="n">
        <v>2017</v>
      </c>
      <c r="C1227" t="n">
        <v>5</v>
      </c>
      <c r="D1227" t="n">
        <v>13405</v>
      </c>
      <c r="E1227" t="n">
        <v>840</v>
      </c>
      <c r="F1227" t="n">
        <v>12</v>
      </c>
      <c r="G1227" t="n">
        <v>12553</v>
      </c>
      <c r="H1227" t="n">
        <v>9246</v>
      </c>
      <c r="I1227" t="n">
        <v>143647</v>
      </c>
      <c r="J1227" t="n">
        <v>218329.9999999991</v>
      </c>
      <c r="K1227" t="n">
        <v>13295</v>
      </c>
      <c r="L1227" t="n">
        <v>65892</v>
      </c>
      <c r="M1227" t="n">
        <v>54842</v>
      </c>
      <c r="N1227" t="n">
        <v>104179</v>
      </c>
      <c r="O1227" t="n">
        <v>4124</v>
      </c>
      <c r="P1227" t="n">
        <v>529</v>
      </c>
    </row>
    <row r="1228">
      <c r="A1228" t="inlineStr">
        <is>
          <t>NK</t>
        </is>
      </c>
      <c r="B1228" t="n">
        <v>2017</v>
      </c>
      <c r="C1228" t="n">
        <v>6</v>
      </c>
      <c r="D1228" t="n">
        <v>13486</v>
      </c>
      <c r="E1228" t="n">
        <v>549</v>
      </c>
      <c r="F1228" t="n">
        <v>25</v>
      </c>
      <c r="G1228" t="n">
        <v>12912</v>
      </c>
      <c r="H1228" t="n">
        <v>9211</v>
      </c>
      <c r="I1228" t="n">
        <v>192280</v>
      </c>
      <c r="J1228" t="n">
        <v>216889.7999999992</v>
      </c>
      <c r="K1228" t="n">
        <v>13418</v>
      </c>
      <c r="L1228" t="n">
        <v>90104</v>
      </c>
      <c r="M1228" t="n">
        <v>52594</v>
      </c>
      <c r="N1228" t="n">
        <v>119751</v>
      </c>
      <c r="O1228" t="n">
        <v>9251</v>
      </c>
      <c r="P1228" t="n">
        <v>1290</v>
      </c>
    </row>
    <row r="1229">
      <c r="A1229" t="inlineStr">
        <is>
          <t>NK</t>
        </is>
      </c>
      <c r="B1229" t="n">
        <v>2017</v>
      </c>
      <c r="C1229" t="n">
        <v>7</v>
      </c>
      <c r="D1229" t="n">
        <v>14212</v>
      </c>
      <c r="E1229" t="n">
        <v>416</v>
      </c>
      <c r="F1229" t="n">
        <v>32</v>
      </c>
      <c r="G1229" t="n">
        <v>13764</v>
      </c>
      <c r="H1229" t="n">
        <v>10446</v>
      </c>
      <c r="I1229" t="n">
        <v>134431</v>
      </c>
      <c r="J1229" t="n">
        <v>229159.2999999998</v>
      </c>
      <c r="K1229" t="n">
        <v>14194</v>
      </c>
      <c r="L1229" t="n">
        <v>38206</v>
      </c>
      <c r="M1229" t="n">
        <v>23125</v>
      </c>
      <c r="N1229" t="n">
        <v>169541</v>
      </c>
      <c r="O1229" t="n">
        <v>5241</v>
      </c>
      <c r="P1229" t="n">
        <v>330</v>
      </c>
    </row>
    <row r="1230">
      <c r="A1230" t="inlineStr">
        <is>
          <t>NK</t>
        </is>
      </c>
      <c r="B1230" t="n">
        <v>2017</v>
      </c>
      <c r="C1230" t="n">
        <v>8</v>
      </c>
      <c r="D1230" t="n">
        <v>14253</v>
      </c>
      <c r="E1230" t="n">
        <v>486</v>
      </c>
      <c r="F1230" t="n">
        <v>27</v>
      </c>
      <c r="G1230" t="n">
        <v>13740</v>
      </c>
      <c r="H1230" t="n">
        <v>10956</v>
      </c>
      <c r="I1230" t="n">
        <v>73210</v>
      </c>
      <c r="J1230" t="n">
        <v>225794.9000000004</v>
      </c>
      <c r="K1230" t="n">
        <v>14233</v>
      </c>
      <c r="L1230" t="n">
        <v>40231</v>
      </c>
      <c r="M1230" t="n">
        <v>27447</v>
      </c>
      <c r="N1230" t="n">
        <v>105983</v>
      </c>
      <c r="O1230" t="n">
        <v>5830</v>
      </c>
      <c r="P1230" t="n">
        <v>325</v>
      </c>
    </row>
    <row r="1231">
      <c r="A1231" t="inlineStr">
        <is>
          <t>NK</t>
        </is>
      </c>
      <c r="B1231" t="n">
        <v>2017</v>
      </c>
      <c r="C1231" t="n">
        <v>9</v>
      </c>
      <c r="D1231" t="n">
        <v>12919</v>
      </c>
      <c r="E1231" t="n">
        <v>1350</v>
      </c>
      <c r="F1231" t="n">
        <v>9</v>
      </c>
      <c r="G1231" t="n">
        <v>11560</v>
      </c>
      <c r="H1231" t="n">
        <v>9696</v>
      </c>
      <c r="I1231" t="n">
        <v>-4169</v>
      </c>
      <c r="J1231" t="n">
        <v>243562.5999999991</v>
      </c>
      <c r="K1231" t="n">
        <v>12839</v>
      </c>
      <c r="L1231" t="n">
        <v>40466</v>
      </c>
      <c r="M1231" t="n">
        <v>39892</v>
      </c>
      <c r="N1231" t="n">
        <v>46187</v>
      </c>
      <c r="O1231" t="n">
        <v>3715</v>
      </c>
      <c r="P1231" t="n">
        <v>286</v>
      </c>
    </row>
    <row r="1232">
      <c r="A1232" t="inlineStr">
        <is>
          <t>NK</t>
        </is>
      </c>
      <c r="B1232" t="n">
        <v>2017</v>
      </c>
      <c r="C1232" t="n">
        <v>10</v>
      </c>
      <c r="D1232" t="n">
        <v>13080</v>
      </c>
      <c r="E1232" t="n">
        <v>81</v>
      </c>
      <c r="F1232" t="n">
        <v>9</v>
      </c>
      <c r="G1232" t="n">
        <v>12990</v>
      </c>
      <c r="H1232" t="n">
        <v>11399</v>
      </c>
      <c r="I1232" t="n">
        <v>-36081</v>
      </c>
      <c r="J1232" t="n">
        <v>254711.8999999986</v>
      </c>
      <c r="K1232" t="n">
        <v>13034</v>
      </c>
      <c r="L1232" t="n">
        <v>38438</v>
      </c>
      <c r="M1232" t="n">
        <v>27016</v>
      </c>
      <c r="N1232" t="n">
        <v>45063</v>
      </c>
      <c r="O1232" t="n">
        <v>3109</v>
      </c>
      <c r="P1232" t="n">
        <v>915</v>
      </c>
    </row>
    <row r="1233">
      <c r="A1233" t="inlineStr">
        <is>
          <t>NK</t>
        </is>
      </c>
      <c r="B1233" t="n">
        <v>2017</v>
      </c>
      <c r="C1233" t="n">
        <v>11</v>
      </c>
      <c r="D1233" t="n">
        <v>12806</v>
      </c>
      <c r="E1233" t="n">
        <v>50</v>
      </c>
      <c r="F1233" t="n">
        <v>10</v>
      </c>
      <c r="G1233" t="n">
        <v>12746</v>
      </c>
      <c r="H1233" t="n">
        <v>11494</v>
      </c>
      <c r="I1233" t="n">
        <v>-67481</v>
      </c>
      <c r="J1233" t="n">
        <v>248489.4999999992</v>
      </c>
      <c r="K1233" t="n">
        <v>12761</v>
      </c>
      <c r="L1233" t="n">
        <v>24455</v>
      </c>
      <c r="M1233" t="n">
        <v>22022</v>
      </c>
      <c r="N1233" t="n">
        <v>31856</v>
      </c>
      <c r="O1233" t="n">
        <v>358</v>
      </c>
      <c r="P1233" t="n">
        <v>896</v>
      </c>
    </row>
    <row r="1234">
      <c r="A1234" t="inlineStr">
        <is>
          <t>NK</t>
        </is>
      </c>
      <c r="B1234" t="n">
        <v>2017</v>
      </c>
      <c r="C1234" t="n">
        <v>12</v>
      </c>
      <c r="D1234" t="n">
        <v>13218</v>
      </c>
      <c r="E1234" t="n">
        <v>179</v>
      </c>
      <c r="F1234" t="n">
        <v>14</v>
      </c>
      <c r="G1234" t="n">
        <v>13025</v>
      </c>
      <c r="H1234" t="n">
        <v>10622</v>
      </c>
      <c r="I1234" t="n">
        <v>57268</v>
      </c>
      <c r="J1234" t="n">
        <v>242469.100000001</v>
      </c>
      <c r="K1234" t="n">
        <v>13218</v>
      </c>
      <c r="L1234" t="n">
        <v>46045</v>
      </c>
      <c r="M1234" t="n">
        <v>40762</v>
      </c>
      <c r="N1234" t="n">
        <v>71130</v>
      </c>
      <c r="O1234" t="n">
        <v>5094</v>
      </c>
      <c r="P1234" t="n">
        <v>453</v>
      </c>
    </row>
    <row r="1235">
      <c r="A1235" t="inlineStr">
        <is>
          <t>NK</t>
        </is>
      </c>
      <c r="B1235" t="n">
        <v>2018</v>
      </c>
      <c r="C1235" t="n">
        <v>1</v>
      </c>
      <c r="D1235" t="n">
        <v>14180</v>
      </c>
      <c r="E1235" t="n">
        <v>369</v>
      </c>
      <c r="F1235" t="n">
        <v>12</v>
      </c>
      <c r="G1235" t="n">
        <v>13799</v>
      </c>
      <c r="H1235" t="n">
        <v>11757</v>
      </c>
      <c r="I1235" t="n">
        <v>-6723</v>
      </c>
      <c r="J1235" t="n">
        <v>288229.9000000015</v>
      </c>
      <c r="K1235" t="n">
        <v>14180</v>
      </c>
      <c r="L1235" t="n">
        <v>35425</v>
      </c>
      <c r="M1235" t="n">
        <v>35756</v>
      </c>
      <c r="N1235" t="n">
        <v>61505</v>
      </c>
      <c r="O1235" t="n">
        <v>2447</v>
      </c>
      <c r="P1235" t="n">
        <v>350</v>
      </c>
    </row>
    <row r="1236">
      <c r="A1236" t="inlineStr">
        <is>
          <t>NK</t>
        </is>
      </c>
      <c r="B1236" t="n">
        <v>2018</v>
      </c>
      <c r="C1236" t="n">
        <v>2</v>
      </c>
      <c r="D1236" t="n">
        <v>12971</v>
      </c>
      <c r="E1236" t="n">
        <v>177</v>
      </c>
      <c r="F1236" t="n">
        <v>18</v>
      </c>
      <c r="G1236" t="n">
        <v>12776</v>
      </c>
      <c r="H1236" t="n">
        <v>10627</v>
      </c>
      <c r="I1236" t="n">
        <v>60373</v>
      </c>
      <c r="J1236" t="n">
        <v>267186.7999999993</v>
      </c>
      <c r="K1236" t="n">
        <v>12945</v>
      </c>
      <c r="L1236" t="n">
        <v>54761</v>
      </c>
      <c r="M1236" t="n">
        <v>38193</v>
      </c>
      <c r="N1236" t="n">
        <v>78171</v>
      </c>
      <c r="O1236" t="n">
        <v>5287</v>
      </c>
      <c r="P1236" t="n">
        <v>250</v>
      </c>
    </row>
    <row r="1237">
      <c r="A1237" t="inlineStr">
        <is>
          <t>NK</t>
        </is>
      </c>
      <c r="B1237" t="n">
        <v>2018</v>
      </c>
      <c r="C1237" t="n">
        <v>3</v>
      </c>
      <c r="D1237" t="n">
        <v>14841</v>
      </c>
      <c r="E1237" t="n">
        <v>257</v>
      </c>
      <c r="F1237" t="n">
        <v>20</v>
      </c>
      <c r="G1237" t="n">
        <v>14564</v>
      </c>
      <c r="H1237" t="n">
        <v>12625</v>
      </c>
      <c r="I1237" t="n">
        <v>-6057</v>
      </c>
      <c r="J1237" t="n">
        <v>306208.4000000019</v>
      </c>
      <c r="K1237" t="n">
        <v>14828</v>
      </c>
      <c r="L1237" t="n">
        <v>38496</v>
      </c>
      <c r="M1237" t="n">
        <v>32262</v>
      </c>
      <c r="N1237" t="n">
        <v>58593</v>
      </c>
      <c r="O1237" t="n">
        <v>3657</v>
      </c>
      <c r="P1237" t="n">
        <v>167</v>
      </c>
    </row>
    <row r="1238">
      <c r="A1238" t="inlineStr">
        <is>
          <t>NK</t>
        </is>
      </c>
      <c r="B1238" t="n">
        <v>2018</v>
      </c>
      <c r="C1238" t="n">
        <v>4</v>
      </c>
      <c r="D1238" t="n">
        <v>14548</v>
      </c>
      <c r="E1238" t="n">
        <v>100</v>
      </c>
      <c r="F1238" t="n">
        <v>30</v>
      </c>
      <c r="G1238" t="n">
        <v>14418</v>
      </c>
      <c r="H1238" t="n">
        <v>11905</v>
      </c>
      <c r="I1238" t="n">
        <v>77987</v>
      </c>
      <c r="J1238" t="n">
        <v>272250.9000000001</v>
      </c>
      <c r="K1238" t="n">
        <v>14492</v>
      </c>
      <c r="L1238" t="n">
        <v>11065</v>
      </c>
      <c r="M1238" t="n">
        <v>6240</v>
      </c>
      <c r="N1238" t="n">
        <v>180069</v>
      </c>
      <c r="O1238" t="n">
        <v>232</v>
      </c>
      <c r="P1238" t="n">
        <v>58</v>
      </c>
    </row>
    <row r="1239">
      <c r="A1239" t="inlineStr">
        <is>
          <t>NK</t>
        </is>
      </c>
      <c r="B1239" t="n">
        <v>2018</v>
      </c>
      <c r="C1239" t="n">
        <v>5</v>
      </c>
      <c r="D1239" t="n">
        <v>14889</v>
      </c>
      <c r="E1239" t="n">
        <v>83</v>
      </c>
      <c r="F1239" t="n">
        <v>27</v>
      </c>
      <c r="G1239" t="n">
        <v>14779</v>
      </c>
      <c r="H1239" t="n">
        <v>11951</v>
      </c>
      <c r="I1239" t="n">
        <v>115456</v>
      </c>
      <c r="J1239" t="n">
        <v>261425.0999999989</v>
      </c>
      <c r="K1239" t="n">
        <v>14823</v>
      </c>
      <c r="L1239" t="n">
        <v>67642</v>
      </c>
      <c r="M1239" t="n">
        <v>37487</v>
      </c>
      <c r="N1239" t="n">
        <v>108324</v>
      </c>
      <c r="O1239" t="n">
        <v>11182</v>
      </c>
      <c r="P1239" t="n">
        <v>480</v>
      </c>
    </row>
    <row r="1240">
      <c r="A1240" t="inlineStr">
        <is>
          <t>NK</t>
        </is>
      </c>
      <c r="B1240" t="n">
        <v>2018</v>
      </c>
      <c r="C1240" t="n">
        <v>6</v>
      </c>
      <c r="D1240" t="n">
        <v>15433</v>
      </c>
      <c r="E1240" t="n">
        <v>83</v>
      </c>
      <c r="F1240" t="n">
        <v>41</v>
      </c>
      <c r="G1240" t="n">
        <v>15309</v>
      </c>
      <c r="H1240" t="n">
        <v>11849</v>
      </c>
      <c r="I1240" t="n">
        <v>153198</v>
      </c>
      <c r="J1240" t="n">
        <v>263304.4000000005</v>
      </c>
      <c r="K1240" t="n">
        <v>15394</v>
      </c>
      <c r="L1240" t="n">
        <v>40186</v>
      </c>
      <c r="M1240" t="n">
        <v>21839</v>
      </c>
      <c r="N1240" t="n">
        <v>180191</v>
      </c>
      <c r="O1240" t="n">
        <v>7893</v>
      </c>
      <c r="P1240" t="n">
        <v>269</v>
      </c>
    </row>
    <row r="1241">
      <c r="A1241" t="inlineStr">
        <is>
          <t>NK</t>
        </is>
      </c>
      <c r="B1241" t="n">
        <v>2018</v>
      </c>
      <c r="C1241" t="n">
        <v>7</v>
      </c>
      <c r="D1241" t="n">
        <v>16093</v>
      </c>
      <c r="E1241" t="n">
        <v>156</v>
      </c>
      <c r="F1241" t="n">
        <v>43</v>
      </c>
      <c r="G1241" t="n">
        <v>15894</v>
      </c>
      <c r="H1241" t="n">
        <v>11841</v>
      </c>
      <c r="I1241" t="n">
        <v>221425</v>
      </c>
      <c r="J1241" t="n">
        <v>263902.6999999994</v>
      </c>
      <c r="K1241" t="n">
        <v>16085</v>
      </c>
      <c r="L1241" t="n">
        <v>92565</v>
      </c>
      <c r="M1241" t="n">
        <v>54469</v>
      </c>
      <c r="N1241" t="n">
        <v>152653</v>
      </c>
      <c r="O1241" t="n">
        <v>16939</v>
      </c>
      <c r="P1241" t="n">
        <v>209</v>
      </c>
    </row>
    <row r="1242">
      <c r="A1242" t="inlineStr">
        <is>
          <t>NK</t>
        </is>
      </c>
      <c r="B1242" t="n">
        <v>2018</v>
      </c>
      <c r="C1242" t="n">
        <v>8</v>
      </c>
      <c r="D1242" t="n">
        <v>16095</v>
      </c>
      <c r="E1242" t="n">
        <v>210</v>
      </c>
      <c r="F1242" t="n">
        <v>37</v>
      </c>
      <c r="G1242" t="n">
        <v>15848</v>
      </c>
      <c r="H1242" t="n">
        <v>11790</v>
      </c>
      <c r="I1242" t="n">
        <v>240955</v>
      </c>
      <c r="J1242" t="n">
        <v>256281.5999999998</v>
      </c>
      <c r="K1242" t="n">
        <v>16085</v>
      </c>
      <c r="L1242" t="n">
        <v>109879</v>
      </c>
      <c r="M1242" t="n">
        <v>63047</v>
      </c>
      <c r="N1242" t="n">
        <v>148826</v>
      </c>
      <c r="O1242" t="n">
        <v>12322</v>
      </c>
      <c r="P1242" t="n">
        <v>981</v>
      </c>
    </row>
    <row r="1243">
      <c r="A1243" t="inlineStr">
        <is>
          <t>NK</t>
        </is>
      </c>
      <c r="B1243" t="n">
        <v>2018</v>
      </c>
      <c r="C1243" t="n">
        <v>9</v>
      </c>
      <c r="D1243" t="n">
        <v>13917</v>
      </c>
      <c r="E1243" t="n">
        <v>142</v>
      </c>
      <c r="F1243" t="n">
        <v>24</v>
      </c>
      <c r="G1243" t="n">
        <v>13751</v>
      </c>
      <c r="H1243" t="n">
        <v>11714</v>
      </c>
      <c r="I1243" t="n">
        <v>21877</v>
      </c>
      <c r="J1243" t="n">
        <v>262353.6999999995</v>
      </c>
      <c r="K1243" t="n">
        <v>13851</v>
      </c>
      <c r="L1243" t="n">
        <v>44044</v>
      </c>
      <c r="M1243" t="n">
        <v>33010</v>
      </c>
      <c r="N1243" t="n">
        <v>75568</v>
      </c>
      <c r="O1243" t="n">
        <v>4629</v>
      </c>
      <c r="P1243" t="n">
        <v>312</v>
      </c>
    </row>
    <row r="1244">
      <c r="A1244" t="inlineStr">
        <is>
          <t>NK</t>
        </is>
      </c>
      <c r="B1244" t="n">
        <v>2018</v>
      </c>
      <c r="C1244" t="n">
        <v>10</v>
      </c>
      <c r="D1244" t="n">
        <v>13780</v>
      </c>
      <c r="E1244" t="n">
        <v>32</v>
      </c>
      <c r="F1244" t="n">
        <v>23</v>
      </c>
      <c r="G1244" t="n">
        <v>13725</v>
      </c>
      <c r="H1244" t="n">
        <v>12258</v>
      </c>
      <c r="I1244" t="n">
        <v>-40085</v>
      </c>
      <c r="J1244" t="n">
        <v>268559.3999999983</v>
      </c>
      <c r="K1244" t="n">
        <v>13770</v>
      </c>
      <c r="L1244" t="n">
        <v>20695</v>
      </c>
      <c r="M1244" t="n">
        <v>18726</v>
      </c>
      <c r="N1244" t="n">
        <v>51721</v>
      </c>
      <c r="O1244" t="n">
        <v>1644</v>
      </c>
      <c r="P1244" t="n">
        <v>355</v>
      </c>
    </row>
    <row r="1245">
      <c r="A1245" t="inlineStr">
        <is>
          <t>NK</t>
        </is>
      </c>
      <c r="B1245" t="n">
        <v>2018</v>
      </c>
      <c r="C1245" t="n">
        <v>11</v>
      </c>
      <c r="D1245" t="n">
        <v>14418</v>
      </c>
      <c r="E1245" t="n">
        <v>76</v>
      </c>
      <c r="F1245" t="n">
        <v>16</v>
      </c>
      <c r="G1245" t="n">
        <v>14326</v>
      </c>
      <c r="H1245" t="n">
        <v>11836</v>
      </c>
      <c r="I1245" t="n">
        <v>51458</v>
      </c>
      <c r="J1245" t="n">
        <v>287859.0999999994</v>
      </c>
      <c r="K1245" t="n">
        <v>14380</v>
      </c>
      <c r="L1245" t="n">
        <v>38988</v>
      </c>
      <c r="M1245" t="n">
        <v>35480</v>
      </c>
      <c r="N1245" t="n">
        <v>83209</v>
      </c>
      <c r="O1245" t="n">
        <v>2194</v>
      </c>
      <c r="P1245" t="n">
        <v>1813</v>
      </c>
    </row>
    <row r="1246">
      <c r="A1246" t="inlineStr">
        <is>
          <t>NK</t>
        </is>
      </c>
      <c r="B1246" t="n">
        <v>2018</v>
      </c>
      <c r="C1246" t="n">
        <v>12</v>
      </c>
      <c r="D1246" t="n">
        <v>15013</v>
      </c>
      <c r="E1246" t="n">
        <v>52</v>
      </c>
      <c r="F1246" t="n">
        <v>21</v>
      </c>
      <c r="G1246" t="n">
        <v>14940</v>
      </c>
      <c r="H1246" t="n">
        <v>12691</v>
      </c>
      <c r="I1246" t="n">
        <v>10636</v>
      </c>
      <c r="J1246" t="n">
        <v>309820.2000000005</v>
      </c>
      <c r="K1246" t="n">
        <v>15002</v>
      </c>
      <c r="L1246" t="n">
        <v>35859</v>
      </c>
      <c r="M1246" t="n">
        <v>35778</v>
      </c>
      <c r="N1246" t="n">
        <v>65251</v>
      </c>
      <c r="O1246" t="n">
        <v>3176</v>
      </c>
      <c r="P1246" t="n">
        <v>246</v>
      </c>
    </row>
    <row r="1247">
      <c r="A1247" t="inlineStr">
        <is>
          <t>NK</t>
        </is>
      </c>
      <c r="B1247" t="n">
        <v>2019</v>
      </c>
      <c r="C1247" t="n">
        <v>1</v>
      </c>
      <c r="D1247" t="n">
        <v>15222</v>
      </c>
      <c r="E1247" t="n">
        <v>199</v>
      </c>
      <c r="F1247" t="n">
        <v>14</v>
      </c>
      <c r="G1247" t="n">
        <v>15009</v>
      </c>
      <c r="H1247" t="n">
        <v>12626</v>
      </c>
      <c r="I1247" t="n">
        <v>40858</v>
      </c>
      <c r="J1247" t="n">
        <v>312802.1000000002</v>
      </c>
      <c r="K1247" t="n">
        <v>15212</v>
      </c>
      <c r="L1247" t="n">
        <v>43570</v>
      </c>
      <c r="M1247" t="n">
        <v>34139</v>
      </c>
      <c r="N1247" t="n">
        <v>86446</v>
      </c>
      <c r="O1247" t="n">
        <v>11075</v>
      </c>
      <c r="P1247" t="n">
        <v>371</v>
      </c>
    </row>
    <row r="1248">
      <c r="A1248" t="inlineStr">
        <is>
          <t>NK</t>
        </is>
      </c>
      <c r="B1248" t="n">
        <v>2019</v>
      </c>
      <c r="C1248" t="n">
        <v>2</v>
      </c>
      <c r="D1248" t="n">
        <v>13654</v>
      </c>
      <c r="E1248" t="n">
        <v>207</v>
      </c>
      <c r="F1248" t="n">
        <v>11</v>
      </c>
      <c r="G1248" t="n">
        <v>13436</v>
      </c>
      <c r="H1248" t="n">
        <v>10612</v>
      </c>
      <c r="I1248" t="n">
        <v>101407</v>
      </c>
      <c r="J1248" t="n">
        <v>287430.4000000012</v>
      </c>
      <c r="K1248" t="n">
        <v>13615</v>
      </c>
      <c r="L1248" t="n">
        <v>58987</v>
      </c>
      <c r="M1248" t="n">
        <v>40989</v>
      </c>
      <c r="N1248" t="n">
        <v>95310</v>
      </c>
      <c r="O1248" t="n">
        <v>10221</v>
      </c>
      <c r="P1248" t="n">
        <v>349</v>
      </c>
    </row>
    <row r="1249">
      <c r="A1249" t="inlineStr">
        <is>
          <t>NK</t>
        </is>
      </c>
      <c r="B1249" t="n">
        <v>2019</v>
      </c>
      <c r="C1249" t="n">
        <v>3</v>
      </c>
      <c r="D1249" t="n">
        <v>17154</v>
      </c>
      <c r="E1249" t="n">
        <v>120</v>
      </c>
      <c r="F1249" t="n">
        <v>14</v>
      </c>
      <c r="G1249" t="n">
        <v>17020</v>
      </c>
      <c r="H1249" t="n">
        <v>14821</v>
      </c>
      <c r="I1249" t="n">
        <v>-14774</v>
      </c>
      <c r="J1249" t="n">
        <v>367051.2000000005</v>
      </c>
      <c r="K1249" t="n">
        <v>17116</v>
      </c>
      <c r="L1249" t="n">
        <v>41181</v>
      </c>
      <c r="M1249" t="n">
        <v>40947</v>
      </c>
      <c r="N1249" t="n">
        <v>57765</v>
      </c>
      <c r="O1249" t="n">
        <v>2546</v>
      </c>
      <c r="P1249" t="n">
        <v>424</v>
      </c>
    </row>
    <row r="1250">
      <c r="A1250" t="inlineStr">
        <is>
          <t>NK</t>
        </is>
      </c>
      <c r="B1250" t="n">
        <v>2019</v>
      </c>
      <c r="C1250" t="n">
        <v>4</v>
      </c>
      <c r="D1250" t="n">
        <v>16774</v>
      </c>
      <c r="E1250" t="n">
        <v>458</v>
      </c>
      <c r="F1250" t="n">
        <v>32</v>
      </c>
      <c r="G1250" t="n">
        <v>16284</v>
      </c>
      <c r="H1250" t="n">
        <v>13446</v>
      </c>
      <c r="I1250" t="n">
        <v>61243</v>
      </c>
      <c r="J1250" t="n">
        <v>357906.9999999981</v>
      </c>
      <c r="K1250" t="n">
        <v>16748</v>
      </c>
      <c r="L1250" t="n">
        <v>63863</v>
      </c>
      <c r="M1250" t="n">
        <v>51076</v>
      </c>
      <c r="N1250" t="n">
        <v>90078</v>
      </c>
      <c r="O1250" t="n">
        <v>7517</v>
      </c>
      <c r="P1250" t="n">
        <v>396</v>
      </c>
    </row>
    <row r="1251">
      <c r="A1251" t="inlineStr">
        <is>
          <t>NK</t>
        </is>
      </c>
      <c r="B1251" t="n">
        <v>2019</v>
      </c>
      <c r="C1251" t="n">
        <v>5</v>
      </c>
      <c r="D1251" t="n">
        <v>18055</v>
      </c>
      <c r="E1251" t="n">
        <v>241</v>
      </c>
      <c r="F1251" t="n">
        <v>52</v>
      </c>
      <c r="G1251" t="n">
        <v>17762</v>
      </c>
      <c r="H1251" t="n">
        <v>13728</v>
      </c>
      <c r="I1251" t="n">
        <v>154636</v>
      </c>
      <c r="J1251" t="n">
        <v>342187.7999999989</v>
      </c>
      <c r="K1251" t="n">
        <v>17946</v>
      </c>
      <c r="L1251" t="n">
        <v>91770</v>
      </c>
      <c r="M1251" t="n">
        <v>61329</v>
      </c>
      <c r="N1251" t="n">
        <v>122454</v>
      </c>
      <c r="O1251" t="n">
        <v>8280</v>
      </c>
      <c r="P1251" t="n">
        <v>486</v>
      </c>
    </row>
    <row r="1252">
      <c r="A1252" t="inlineStr">
        <is>
          <t>NK</t>
        </is>
      </c>
      <c r="B1252" t="n">
        <v>2019</v>
      </c>
      <c r="C1252" t="n">
        <v>6</v>
      </c>
      <c r="D1252" t="n">
        <v>17874</v>
      </c>
      <c r="E1252" t="n">
        <v>321</v>
      </c>
      <c r="F1252" t="n">
        <v>60</v>
      </c>
      <c r="G1252" t="n">
        <v>17493</v>
      </c>
      <c r="H1252" t="n">
        <v>12797</v>
      </c>
      <c r="I1252" t="n">
        <v>214797</v>
      </c>
      <c r="J1252" t="n">
        <v>334060.5000000023</v>
      </c>
      <c r="K1252" t="n">
        <v>17803</v>
      </c>
      <c r="L1252" t="n">
        <v>106113</v>
      </c>
      <c r="M1252" t="n">
        <v>52707</v>
      </c>
      <c r="N1252" t="n">
        <v>151463</v>
      </c>
      <c r="O1252" t="n">
        <v>12905</v>
      </c>
      <c r="P1252" t="n">
        <v>596</v>
      </c>
    </row>
    <row r="1253">
      <c r="A1253" t="inlineStr">
        <is>
          <t>NK</t>
        </is>
      </c>
      <c r="B1253" t="n">
        <v>2019</v>
      </c>
      <c r="C1253" t="n">
        <v>7</v>
      </c>
      <c r="D1253" t="n">
        <v>18845</v>
      </c>
      <c r="E1253" t="n">
        <v>417</v>
      </c>
      <c r="F1253" t="n">
        <v>61</v>
      </c>
      <c r="G1253" t="n">
        <v>18367</v>
      </c>
      <c r="H1253" t="n">
        <v>13959</v>
      </c>
      <c r="I1253" t="n">
        <v>191944</v>
      </c>
      <c r="J1253" t="n">
        <v>345283.8000000005</v>
      </c>
      <c r="K1253" t="n">
        <v>18778</v>
      </c>
      <c r="L1253" t="n">
        <v>102965</v>
      </c>
      <c r="M1253" t="n">
        <v>56235</v>
      </c>
      <c r="N1253" t="n">
        <v>141629</v>
      </c>
      <c r="O1253" t="n">
        <v>17971</v>
      </c>
      <c r="P1253" t="n">
        <v>551</v>
      </c>
    </row>
    <row r="1254">
      <c r="A1254" t="inlineStr">
        <is>
          <t>NK</t>
        </is>
      </c>
      <c r="B1254" t="n">
        <v>2019</v>
      </c>
      <c r="C1254" t="n">
        <v>8</v>
      </c>
      <c r="D1254" t="n">
        <v>18860</v>
      </c>
      <c r="E1254" t="n">
        <v>564</v>
      </c>
      <c r="F1254" t="n">
        <v>32</v>
      </c>
      <c r="G1254" t="n">
        <v>18264</v>
      </c>
      <c r="H1254" t="n">
        <v>13363</v>
      </c>
      <c r="I1254" t="n">
        <v>261062</v>
      </c>
      <c r="J1254" t="n">
        <v>327685.7000000005</v>
      </c>
      <c r="K1254" t="n">
        <v>18802</v>
      </c>
      <c r="L1254" t="n">
        <v>112721</v>
      </c>
      <c r="M1254" t="n">
        <v>80837</v>
      </c>
      <c r="N1254" t="n">
        <v>159581</v>
      </c>
      <c r="O1254" t="n">
        <v>10953</v>
      </c>
      <c r="P1254" t="n">
        <v>1045</v>
      </c>
    </row>
    <row r="1255">
      <c r="A1255" t="inlineStr">
        <is>
          <t>NK</t>
        </is>
      </c>
      <c r="B1255" t="n">
        <v>2019</v>
      </c>
      <c r="C1255" t="n">
        <v>9</v>
      </c>
      <c r="D1255" t="n">
        <v>16759</v>
      </c>
      <c r="E1255" t="n">
        <v>763</v>
      </c>
      <c r="F1255" t="n">
        <v>23</v>
      </c>
      <c r="G1255" t="n">
        <v>15973</v>
      </c>
      <c r="H1255" t="n">
        <v>14039</v>
      </c>
      <c r="I1255" t="n">
        <v>-35016</v>
      </c>
      <c r="J1255" t="n">
        <v>342615.2999999992</v>
      </c>
      <c r="K1255" t="n">
        <v>16706</v>
      </c>
      <c r="L1255" t="n">
        <v>36741</v>
      </c>
      <c r="M1255" t="n">
        <v>38205</v>
      </c>
      <c r="N1255" t="n">
        <v>55470</v>
      </c>
      <c r="O1255" t="n">
        <v>5315</v>
      </c>
      <c r="P1255" t="n">
        <v>247</v>
      </c>
    </row>
    <row r="1256">
      <c r="A1256" t="inlineStr">
        <is>
          <t>NK</t>
        </is>
      </c>
      <c r="B1256" t="n">
        <v>2019</v>
      </c>
      <c r="C1256" t="n">
        <v>10</v>
      </c>
      <c r="D1256" t="n">
        <v>16911</v>
      </c>
      <c r="E1256" t="n">
        <v>114</v>
      </c>
      <c r="F1256" t="n">
        <v>22</v>
      </c>
      <c r="G1256" t="n">
        <v>16775</v>
      </c>
      <c r="H1256" t="n">
        <v>14296</v>
      </c>
      <c r="I1256" t="n">
        <v>2548</v>
      </c>
      <c r="J1256" t="n">
        <v>340377.7999999995</v>
      </c>
      <c r="K1256" t="n">
        <v>16865</v>
      </c>
      <c r="L1256" t="n">
        <v>38018</v>
      </c>
      <c r="M1256" t="n">
        <v>37484</v>
      </c>
      <c r="N1256" t="n">
        <v>72238</v>
      </c>
      <c r="O1256" t="n">
        <v>3523</v>
      </c>
      <c r="P1256" t="n">
        <v>153</v>
      </c>
    </row>
    <row r="1257">
      <c r="A1257" t="inlineStr">
        <is>
          <t>NK</t>
        </is>
      </c>
      <c r="B1257" t="n">
        <v>2019</v>
      </c>
      <c r="C1257" t="n">
        <v>11</v>
      </c>
      <c r="D1257" t="n">
        <v>17438</v>
      </c>
      <c r="E1257" t="n">
        <v>88</v>
      </c>
      <c r="F1257" t="n">
        <v>18</v>
      </c>
      <c r="G1257" t="n">
        <v>17332</v>
      </c>
      <c r="H1257" t="n">
        <v>15160</v>
      </c>
      <c r="I1257" t="n">
        <v>-16446</v>
      </c>
      <c r="J1257" t="n">
        <v>343177.0999999995</v>
      </c>
      <c r="K1257" t="n">
        <v>17331</v>
      </c>
      <c r="L1257" t="n">
        <v>39942</v>
      </c>
      <c r="M1257" t="n">
        <v>38109</v>
      </c>
      <c r="N1257" t="n">
        <v>50681</v>
      </c>
      <c r="O1257" t="n">
        <v>1859</v>
      </c>
      <c r="P1257" t="n">
        <v>201</v>
      </c>
    </row>
    <row r="1258">
      <c r="A1258" t="inlineStr">
        <is>
          <t>NK</t>
        </is>
      </c>
      <c r="B1258" t="n">
        <v>2019</v>
      </c>
      <c r="C1258" t="n">
        <v>12</v>
      </c>
      <c r="D1258" t="n">
        <v>17299</v>
      </c>
      <c r="E1258" t="n">
        <v>98</v>
      </c>
      <c r="F1258" t="n">
        <v>25</v>
      </c>
      <c r="G1258" t="n">
        <v>17176</v>
      </c>
      <c r="H1258" t="n">
        <v>14052</v>
      </c>
      <c r="I1258" t="n">
        <v>62985</v>
      </c>
      <c r="J1258" t="n">
        <v>364297.1000000015</v>
      </c>
      <c r="K1258" t="n">
        <v>17268</v>
      </c>
      <c r="L1258" t="n">
        <v>58372</v>
      </c>
      <c r="M1258" t="n">
        <v>49635</v>
      </c>
      <c r="N1258" t="n">
        <v>88978</v>
      </c>
      <c r="O1258" t="n">
        <v>9233</v>
      </c>
      <c r="P1258" t="n">
        <v>943</v>
      </c>
    </row>
    <row r="1259">
      <c r="A1259" t="inlineStr">
        <is>
          <t>NK</t>
        </is>
      </c>
      <c r="B1259" t="n">
        <v>2020</v>
      </c>
      <c r="C1259" t="n">
        <v>1</v>
      </c>
      <c r="D1259" t="n">
        <v>17477</v>
      </c>
      <c r="E1259" t="n">
        <v>119</v>
      </c>
      <c r="F1259" t="n">
        <v>25</v>
      </c>
      <c r="G1259" t="n">
        <v>17333</v>
      </c>
      <c r="H1259" t="n">
        <v>14999</v>
      </c>
      <c r="I1259" t="n">
        <v>-27225</v>
      </c>
      <c r="J1259" t="n">
        <v>390045.6999999976</v>
      </c>
      <c r="K1259" t="n">
        <v>17471</v>
      </c>
      <c r="L1259" t="n">
        <v>42720</v>
      </c>
      <c r="M1259" t="n">
        <v>41033</v>
      </c>
      <c r="N1259" t="n">
        <v>63160</v>
      </c>
      <c r="O1259" t="n">
        <v>4139</v>
      </c>
      <c r="P1259" t="n">
        <v>676</v>
      </c>
    </row>
    <row r="1260">
      <c r="A1260" t="inlineStr">
        <is>
          <t>NK</t>
        </is>
      </c>
      <c r="B1260" t="n">
        <v>2020</v>
      </c>
      <c r="C1260" t="n">
        <v>2</v>
      </c>
      <c r="D1260" t="n">
        <v>17364</v>
      </c>
      <c r="E1260" t="n">
        <v>59</v>
      </c>
      <c r="F1260" t="n">
        <v>26</v>
      </c>
      <c r="G1260" t="n">
        <v>17279</v>
      </c>
      <c r="H1260" t="n">
        <v>14375</v>
      </c>
      <c r="I1260" t="n">
        <v>40920</v>
      </c>
      <c r="J1260" t="n">
        <v>376656.4000000002</v>
      </c>
      <c r="K1260" t="n">
        <v>17233</v>
      </c>
      <c r="L1260" t="n">
        <v>58293</v>
      </c>
      <c r="M1260" t="n">
        <v>48896</v>
      </c>
      <c r="N1260" t="n">
        <v>83170</v>
      </c>
      <c r="O1260" t="n">
        <v>3721</v>
      </c>
      <c r="P1260" t="n">
        <v>1067</v>
      </c>
    </row>
    <row r="1261">
      <c r="A1261" t="inlineStr">
        <is>
          <t>NK</t>
        </is>
      </c>
      <c r="B1261" t="n">
        <v>2020</v>
      </c>
      <c r="C1261" t="n">
        <v>3</v>
      </c>
      <c r="D1261" t="n">
        <v>19729</v>
      </c>
      <c r="E1261" t="n">
        <v>1458</v>
      </c>
      <c r="F1261" t="n">
        <v>20</v>
      </c>
      <c r="G1261" t="n">
        <v>18251</v>
      </c>
      <c r="H1261" t="n">
        <v>16098</v>
      </c>
      <c r="I1261" t="n">
        <v>-58315</v>
      </c>
      <c r="J1261" t="n">
        <v>426860.7000000003</v>
      </c>
      <c r="K1261" t="n">
        <v>19619</v>
      </c>
      <c r="L1261" t="n">
        <v>42754</v>
      </c>
      <c r="M1261" t="n">
        <v>47002</v>
      </c>
      <c r="N1261" t="n">
        <v>57887</v>
      </c>
      <c r="O1261" t="n">
        <v>1952</v>
      </c>
      <c r="P1261" t="n">
        <v>323</v>
      </c>
    </row>
    <row r="1262">
      <c r="A1262" t="inlineStr">
        <is>
          <t>NK</t>
        </is>
      </c>
      <c r="B1262" t="n">
        <v>2020</v>
      </c>
      <c r="C1262" t="n">
        <v>4</v>
      </c>
      <c r="D1262" t="n">
        <v>5543</v>
      </c>
      <c r="E1262" t="n">
        <v>1099</v>
      </c>
      <c r="F1262" t="n">
        <v>4</v>
      </c>
      <c r="G1262" t="n">
        <v>4440</v>
      </c>
      <c r="H1262" t="n">
        <v>4133</v>
      </c>
      <c r="I1262" t="n">
        <v>-56259</v>
      </c>
      <c r="J1262" t="n">
        <v>116371.5000000002</v>
      </c>
      <c r="K1262" t="n">
        <v>5496</v>
      </c>
      <c r="L1262" t="n">
        <v>4576</v>
      </c>
      <c r="M1262" t="n">
        <v>14393</v>
      </c>
      <c r="N1262" t="n">
        <v>1373</v>
      </c>
      <c r="O1262" t="n">
        <v>353</v>
      </c>
      <c r="P1262" t="n">
        <v>39</v>
      </c>
    </row>
    <row r="1263">
      <c r="A1263" t="inlineStr">
        <is>
          <t>NK</t>
        </is>
      </c>
      <c r="B1263" t="n">
        <v>2020</v>
      </c>
      <c r="C1263" t="n">
        <v>5</v>
      </c>
      <c r="D1263" t="n">
        <v>1410</v>
      </c>
      <c r="E1263" t="n">
        <v>0</v>
      </c>
      <c r="F1263" t="n">
        <v>2</v>
      </c>
      <c r="G1263" t="n">
        <v>1408</v>
      </c>
      <c r="H1263" t="n">
        <v>1365</v>
      </c>
      <c r="I1263" t="n">
        <v>-18752</v>
      </c>
      <c r="J1263" t="n">
        <v>23316.49999999997</v>
      </c>
      <c r="K1263" t="n">
        <v>1301</v>
      </c>
      <c r="L1263" t="n">
        <v>334</v>
      </c>
      <c r="M1263" t="n">
        <v>1170</v>
      </c>
      <c r="N1263" t="n">
        <v>379</v>
      </c>
      <c r="O1263" t="n">
        <v>142</v>
      </c>
      <c r="P1263" t="n">
        <v>0</v>
      </c>
    </row>
    <row r="1264">
      <c r="A1264" t="inlineStr">
        <is>
          <t>NK</t>
        </is>
      </c>
      <c r="B1264" t="n">
        <v>2020</v>
      </c>
      <c r="C1264" t="n">
        <v>6</v>
      </c>
      <c r="D1264" t="n">
        <v>4395</v>
      </c>
      <c r="E1264" t="n">
        <v>0</v>
      </c>
      <c r="F1264" t="n">
        <v>13</v>
      </c>
      <c r="G1264" t="n">
        <v>4382</v>
      </c>
      <c r="H1264" t="n">
        <v>4150</v>
      </c>
      <c r="I1264" t="n">
        <v>-43802</v>
      </c>
      <c r="J1264" t="n">
        <v>78939.39999999978</v>
      </c>
      <c r="K1264" t="n">
        <v>4322</v>
      </c>
      <c r="L1264" t="n">
        <v>2540</v>
      </c>
      <c r="M1264" t="n">
        <v>9620</v>
      </c>
      <c r="N1264" t="n">
        <v>2149</v>
      </c>
      <c r="O1264" t="n">
        <v>1261</v>
      </c>
      <c r="P1264" t="n">
        <v>0</v>
      </c>
    </row>
    <row r="1265">
      <c r="A1265" t="inlineStr">
        <is>
          <t>NK</t>
        </is>
      </c>
      <c r="B1265" t="n">
        <v>2020</v>
      </c>
      <c r="C1265" t="n">
        <v>7</v>
      </c>
      <c r="D1265" t="n">
        <v>15993</v>
      </c>
      <c r="E1265" t="n">
        <v>8</v>
      </c>
      <c r="F1265" t="n">
        <v>46</v>
      </c>
      <c r="G1265" t="n">
        <v>15939</v>
      </c>
      <c r="H1265" t="n">
        <v>14415</v>
      </c>
      <c r="I1265" t="n">
        <v>-79195</v>
      </c>
      <c r="J1265" t="n">
        <v>276022.1999999999</v>
      </c>
      <c r="K1265" t="n">
        <v>15953</v>
      </c>
      <c r="L1265" t="n">
        <v>28109</v>
      </c>
      <c r="M1265" t="n">
        <v>36066</v>
      </c>
      <c r="N1265" t="n">
        <v>15918</v>
      </c>
      <c r="O1265" t="n">
        <v>13017</v>
      </c>
      <c r="P1265" t="n">
        <v>1818</v>
      </c>
    </row>
    <row r="1266">
      <c r="A1266" t="inlineStr">
        <is>
          <t>NK</t>
        </is>
      </c>
      <c r="B1266" t="n">
        <v>2020</v>
      </c>
      <c r="C1266" t="n">
        <v>8</v>
      </c>
      <c r="D1266" t="n">
        <v>11578</v>
      </c>
      <c r="E1266" t="n">
        <v>63</v>
      </c>
      <c r="F1266" t="n">
        <v>35</v>
      </c>
      <c r="G1266" t="n">
        <v>11480</v>
      </c>
      <c r="H1266" t="n">
        <v>10565</v>
      </c>
      <c r="I1266" t="n">
        <v>-74903</v>
      </c>
      <c r="J1266" t="n">
        <v>203478.5999999994</v>
      </c>
      <c r="K1266" t="n">
        <v>11550</v>
      </c>
      <c r="L1266" t="n">
        <v>11945</v>
      </c>
      <c r="M1266" t="n">
        <v>18022</v>
      </c>
      <c r="N1266" t="n">
        <v>19220</v>
      </c>
      <c r="O1266" t="n">
        <v>7347</v>
      </c>
      <c r="P1266" t="n">
        <v>201</v>
      </c>
    </row>
    <row r="1267">
      <c r="A1267" t="inlineStr">
        <is>
          <t>NK</t>
        </is>
      </c>
      <c r="B1267" t="n">
        <v>2020</v>
      </c>
      <c r="C1267" t="n">
        <v>9</v>
      </c>
      <c r="D1267" t="n">
        <v>7460</v>
      </c>
      <c r="E1267" t="n">
        <v>0</v>
      </c>
      <c r="F1267" t="n">
        <v>20</v>
      </c>
      <c r="G1267" t="n">
        <v>7440</v>
      </c>
      <c r="H1267" t="n">
        <v>6881</v>
      </c>
      <c r="I1267" t="n">
        <v>-48308</v>
      </c>
      <c r="J1267" t="n">
        <v>123734.9</v>
      </c>
      <c r="K1267" t="n">
        <v>7358</v>
      </c>
      <c r="L1267" t="n">
        <v>6348</v>
      </c>
      <c r="M1267" t="n">
        <v>10535</v>
      </c>
      <c r="N1267" t="n">
        <v>10020</v>
      </c>
      <c r="O1267" t="n">
        <v>1395</v>
      </c>
      <c r="P1267" t="n">
        <v>364</v>
      </c>
    </row>
    <row r="1268">
      <c r="A1268" t="inlineStr">
        <is>
          <t>NK</t>
        </is>
      </c>
      <c r="B1268" t="n">
        <v>2020</v>
      </c>
      <c r="C1268" t="n">
        <v>10</v>
      </c>
      <c r="D1268" t="n">
        <v>9117</v>
      </c>
      <c r="E1268" t="n">
        <v>2</v>
      </c>
      <c r="F1268" t="n">
        <v>14</v>
      </c>
      <c r="G1268" t="n">
        <v>9101</v>
      </c>
      <c r="H1268" t="n">
        <v>8246</v>
      </c>
      <c r="I1268" t="n">
        <v>-28543</v>
      </c>
      <c r="J1268" t="n">
        <v>139109.0000000002</v>
      </c>
      <c r="K1268" t="n">
        <v>9097</v>
      </c>
      <c r="L1268" t="n">
        <v>11465</v>
      </c>
      <c r="M1268" t="n">
        <v>11168</v>
      </c>
      <c r="N1268" t="n">
        <v>19694</v>
      </c>
      <c r="O1268" t="n">
        <v>2208</v>
      </c>
      <c r="P1268" t="n">
        <v>810</v>
      </c>
    </row>
    <row r="1269">
      <c r="A1269" t="inlineStr">
        <is>
          <t>NK</t>
        </is>
      </c>
      <c r="B1269" t="n">
        <v>2020</v>
      </c>
      <c r="C1269" t="n">
        <v>11</v>
      </c>
      <c r="D1269" t="n">
        <v>12291</v>
      </c>
      <c r="E1269" t="n">
        <v>20</v>
      </c>
      <c r="F1269" t="n">
        <v>19</v>
      </c>
      <c r="G1269" t="n">
        <v>12252</v>
      </c>
      <c r="H1269" t="n">
        <v>11088</v>
      </c>
      <c r="I1269" t="n">
        <v>-37332</v>
      </c>
      <c r="J1269" t="n">
        <v>179656.7999999999</v>
      </c>
      <c r="K1269" t="n">
        <v>12163</v>
      </c>
      <c r="L1269" t="n">
        <v>15684</v>
      </c>
      <c r="M1269" t="n">
        <v>15099</v>
      </c>
      <c r="N1269" t="n">
        <v>22616</v>
      </c>
      <c r="O1269" t="n">
        <v>1462</v>
      </c>
      <c r="P1269" t="n">
        <v>684</v>
      </c>
    </row>
    <row r="1270">
      <c r="A1270" t="inlineStr">
        <is>
          <t>NK</t>
        </is>
      </c>
      <c r="B1270" t="n">
        <v>2020</v>
      </c>
      <c r="C1270" t="n">
        <v>12</v>
      </c>
      <c r="D1270" t="n">
        <v>12745</v>
      </c>
      <c r="E1270" t="n">
        <v>136</v>
      </c>
      <c r="F1270" t="n">
        <v>21</v>
      </c>
      <c r="G1270" t="n">
        <v>12588</v>
      </c>
      <c r="H1270" t="n">
        <v>10692</v>
      </c>
      <c r="I1270" t="n">
        <v>15852</v>
      </c>
      <c r="J1270" t="n">
        <v>178247.1000000002</v>
      </c>
      <c r="K1270" t="n">
        <v>12585</v>
      </c>
      <c r="L1270" t="n">
        <v>23864</v>
      </c>
      <c r="M1270" t="n">
        <v>23750</v>
      </c>
      <c r="N1270" t="n">
        <v>47981</v>
      </c>
      <c r="O1270" t="n">
        <v>3652</v>
      </c>
      <c r="P1270" t="n">
        <v>824</v>
      </c>
    </row>
    <row r="1271">
      <c r="A1271" t="inlineStr">
        <is>
          <t>NK</t>
        </is>
      </c>
      <c r="B1271" t="n">
        <v>2021</v>
      </c>
      <c r="C1271" t="n">
        <v>1</v>
      </c>
      <c r="D1271" t="n">
        <v>11202</v>
      </c>
      <c r="E1271" t="n">
        <v>99</v>
      </c>
      <c r="F1271" t="n">
        <v>14</v>
      </c>
      <c r="G1271" t="n">
        <v>11089</v>
      </c>
      <c r="H1271" t="n">
        <v>9950</v>
      </c>
      <c r="I1271" t="n">
        <v>-47304</v>
      </c>
      <c r="J1271" t="n">
        <v>181448.4</v>
      </c>
      <c r="K1271" t="n">
        <v>11093</v>
      </c>
      <c r="L1271" t="n">
        <v>11214</v>
      </c>
      <c r="M1271" t="n">
        <v>12542</v>
      </c>
      <c r="N1271" t="n">
        <v>37338</v>
      </c>
      <c r="O1271" t="n">
        <v>1644</v>
      </c>
      <c r="P1271" t="n">
        <v>859</v>
      </c>
    </row>
    <row r="1272">
      <c r="A1272" t="inlineStr">
        <is>
          <t>NK</t>
        </is>
      </c>
      <c r="B1272" t="n">
        <v>2021</v>
      </c>
      <c r="C1272" t="n">
        <v>2</v>
      </c>
      <c r="D1272" t="n">
        <v>10105</v>
      </c>
      <c r="E1272" t="n">
        <v>349</v>
      </c>
      <c r="F1272" t="n">
        <v>17</v>
      </c>
      <c r="G1272" t="n">
        <v>9739</v>
      </c>
      <c r="H1272" t="n">
        <v>8286</v>
      </c>
      <c r="I1272" t="n">
        <v>5552</v>
      </c>
      <c r="J1272" t="n">
        <v>147064.8000000007</v>
      </c>
      <c r="K1272" t="n">
        <v>9973</v>
      </c>
      <c r="L1272" t="n">
        <v>15702</v>
      </c>
      <c r="M1272" t="n">
        <v>18292</v>
      </c>
      <c r="N1272" t="n">
        <v>39771</v>
      </c>
      <c r="O1272" t="n">
        <v>6233</v>
      </c>
      <c r="P1272" t="n">
        <v>370</v>
      </c>
    </row>
    <row r="1273">
      <c r="A1273" t="inlineStr">
        <is>
          <t>NK</t>
        </is>
      </c>
      <c r="B1273" t="n">
        <v>2021</v>
      </c>
      <c r="C1273" t="n">
        <v>3</v>
      </c>
      <c r="D1273" t="n">
        <v>14687</v>
      </c>
      <c r="E1273" t="n">
        <v>56</v>
      </c>
      <c r="F1273" t="n">
        <v>20</v>
      </c>
      <c r="G1273" t="n">
        <v>14611</v>
      </c>
      <c r="H1273" t="n">
        <v>12462</v>
      </c>
      <c r="I1273" t="n">
        <v>24767</v>
      </c>
      <c r="J1273" t="n">
        <v>200729.8000000001</v>
      </c>
      <c r="K1273" t="n">
        <v>14595</v>
      </c>
      <c r="L1273" t="n">
        <v>24908</v>
      </c>
      <c r="M1273" t="n">
        <v>30020</v>
      </c>
      <c r="N1273" t="n">
        <v>47546</v>
      </c>
      <c r="O1273" t="n">
        <v>4648</v>
      </c>
      <c r="P1273" t="n">
        <v>1111</v>
      </c>
    </row>
    <row r="1274">
      <c r="A1274" t="inlineStr">
        <is>
          <t>NK</t>
        </is>
      </c>
      <c r="B1274" t="n">
        <v>2021</v>
      </c>
      <c r="C1274" t="n">
        <v>4</v>
      </c>
      <c r="D1274" t="n">
        <v>14487</v>
      </c>
      <c r="E1274" t="n">
        <v>232</v>
      </c>
      <c r="F1274" t="n">
        <v>34</v>
      </c>
      <c r="G1274" t="n">
        <v>14221</v>
      </c>
      <c r="H1274" t="n">
        <v>11019</v>
      </c>
      <c r="I1274" t="n">
        <v>161321</v>
      </c>
      <c r="J1274" t="n">
        <v>205904.9999999994</v>
      </c>
      <c r="K1274" t="n">
        <v>14292</v>
      </c>
      <c r="L1274" t="n">
        <v>79156</v>
      </c>
      <c r="M1274" t="n">
        <v>53314</v>
      </c>
      <c r="N1274" t="n">
        <v>77631</v>
      </c>
      <c r="O1274" t="n">
        <v>13451</v>
      </c>
      <c r="P1274" t="n">
        <v>12472</v>
      </c>
    </row>
    <row r="1275">
      <c r="A1275" t="inlineStr">
        <is>
          <t>NK</t>
        </is>
      </c>
      <c r="B1275" t="n">
        <v>2021</v>
      </c>
      <c r="C1275" t="n">
        <v>5</v>
      </c>
      <c r="D1275" t="n">
        <v>17032</v>
      </c>
      <c r="E1275" t="n">
        <v>20</v>
      </c>
      <c r="F1275" t="n">
        <v>44</v>
      </c>
      <c r="G1275" t="n">
        <v>16968</v>
      </c>
      <c r="H1275" t="n">
        <v>14370</v>
      </c>
      <c r="I1275" t="n">
        <v>43939</v>
      </c>
      <c r="J1275" t="n">
        <v>262628.4000000005</v>
      </c>
      <c r="K1275" t="n">
        <v>16696</v>
      </c>
      <c r="L1275" t="n">
        <v>54781</v>
      </c>
      <c r="M1275" t="n">
        <v>38769</v>
      </c>
      <c r="N1275" t="n">
        <v>53361</v>
      </c>
      <c r="O1275" t="n">
        <v>11879</v>
      </c>
      <c r="P1275" t="n">
        <v>2409</v>
      </c>
    </row>
    <row r="1276">
      <c r="A1276" t="inlineStr">
        <is>
          <t>NK</t>
        </is>
      </c>
      <c r="B1276" t="n">
        <v>2021</v>
      </c>
      <c r="C1276" t="n">
        <v>6</v>
      </c>
      <c r="D1276" t="n">
        <v>16608</v>
      </c>
      <c r="E1276" t="n">
        <v>105</v>
      </c>
      <c r="F1276" t="n">
        <v>68</v>
      </c>
      <c r="G1276" t="n">
        <v>16435</v>
      </c>
      <c r="H1276" t="n">
        <v>12307</v>
      </c>
      <c r="I1276" t="n">
        <v>174740</v>
      </c>
      <c r="J1276" t="n">
        <v>294670.6000000006</v>
      </c>
      <c r="K1276" t="n">
        <v>16252</v>
      </c>
      <c r="L1276" t="n">
        <v>90025</v>
      </c>
      <c r="M1276" t="n">
        <v>59301</v>
      </c>
      <c r="N1276" t="n">
        <v>103129</v>
      </c>
      <c r="O1276" t="n">
        <v>20350</v>
      </c>
      <c r="P1276" t="n">
        <v>2520</v>
      </c>
    </row>
    <row r="1277">
      <c r="A1277" t="inlineStr">
        <is>
          <t>NK</t>
        </is>
      </c>
      <c r="B1277" t="n">
        <v>2021</v>
      </c>
      <c r="C1277" t="n">
        <v>7</v>
      </c>
      <c r="D1277" t="n">
        <v>18993</v>
      </c>
      <c r="E1277" t="n">
        <v>333</v>
      </c>
      <c r="F1277" t="n">
        <v>83</v>
      </c>
      <c r="G1277" t="n">
        <v>18577</v>
      </c>
      <c r="H1277" t="n">
        <v>12205</v>
      </c>
      <c r="I1277" t="n">
        <v>386462</v>
      </c>
      <c r="J1277" t="n">
        <v>351790.4999999992</v>
      </c>
      <c r="K1277" t="n">
        <v>18618</v>
      </c>
      <c r="L1277" t="n">
        <v>170652</v>
      </c>
      <c r="M1277" t="n">
        <v>129784</v>
      </c>
      <c r="N1277" t="n">
        <v>141549</v>
      </c>
      <c r="O1277" t="n">
        <v>28096</v>
      </c>
      <c r="P1277" t="n">
        <v>5027</v>
      </c>
    </row>
    <row r="1278">
      <c r="A1278" t="inlineStr">
        <is>
          <t>NK</t>
        </is>
      </c>
      <c r="B1278" t="n">
        <v>2021</v>
      </c>
      <c r="C1278" t="n">
        <v>8</v>
      </c>
      <c r="D1278" t="n">
        <v>19096</v>
      </c>
      <c r="E1278" t="n">
        <v>2923</v>
      </c>
      <c r="F1278" t="n">
        <v>47</v>
      </c>
      <c r="G1278" t="n">
        <v>16126</v>
      </c>
      <c r="H1278" t="n">
        <v>11670</v>
      </c>
      <c r="I1278" t="n">
        <v>218284</v>
      </c>
      <c r="J1278" t="n">
        <v>354982.5999999997</v>
      </c>
      <c r="K1278" t="n">
        <v>18701</v>
      </c>
      <c r="L1278" t="n">
        <v>92542</v>
      </c>
      <c r="M1278" t="n">
        <v>100129</v>
      </c>
      <c r="N1278" t="n">
        <v>103163</v>
      </c>
      <c r="O1278" t="n">
        <v>20146</v>
      </c>
      <c r="P1278" t="n">
        <v>4115</v>
      </c>
    </row>
    <row r="1279">
      <c r="A1279" t="inlineStr">
        <is>
          <t>NK</t>
        </is>
      </c>
      <c r="B1279" t="n">
        <v>2021</v>
      </c>
      <c r="C1279" t="n">
        <v>9</v>
      </c>
      <c r="D1279" t="n">
        <v>16867</v>
      </c>
      <c r="E1279" t="n">
        <v>316</v>
      </c>
      <c r="F1279" t="n">
        <v>24</v>
      </c>
      <c r="G1279" t="n">
        <v>16527</v>
      </c>
      <c r="H1279" t="n">
        <v>13714</v>
      </c>
      <c r="I1279" t="n">
        <v>28876</v>
      </c>
      <c r="J1279" t="n">
        <v>333373.1999999979</v>
      </c>
      <c r="K1279" t="n">
        <v>16453</v>
      </c>
      <c r="L1279" t="n">
        <v>44066</v>
      </c>
      <c r="M1279" t="n">
        <v>56154</v>
      </c>
      <c r="N1279" t="n">
        <v>57916</v>
      </c>
      <c r="O1279" t="n">
        <v>8007</v>
      </c>
      <c r="P1279" t="n">
        <v>3473</v>
      </c>
    </row>
    <row r="1280">
      <c r="A1280" t="inlineStr">
        <is>
          <t>NK</t>
        </is>
      </c>
      <c r="B1280" t="n">
        <v>2021</v>
      </c>
      <c r="C1280" t="n">
        <v>10</v>
      </c>
      <c r="D1280" t="n">
        <v>16858</v>
      </c>
      <c r="E1280" t="n">
        <v>249</v>
      </c>
      <c r="F1280" t="n">
        <v>19</v>
      </c>
      <c r="G1280" t="n">
        <v>16590</v>
      </c>
      <c r="H1280" t="n">
        <v>13872</v>
      </c>
      <c r="I1280" t="n">
        <v>33143</v>
      </c>
      <c r="J1280" t="n">
        <v>335469.4999999992</v>
      </c>
      <c r="K1280" t="n">
        <v>16562</v>
      </c>
      <c r="L1280" t="n">
        <v>46282</v>
      </c>
      <c r="M1280" t="n">
        <v>57618</v>
      </c>
      <c r="N1280" t="n">
        <v>58800</v>
      </c>
      <c r="O1280" t="n">
        <v>7877</v>
      </c>
      <c r="P1280" t="n">
        <v>1458</v>
      </c>
    </row>
    <row r="1281">
      <c r="A1281" t="inlineStr">
        <is>
          <t>NK</t>
        </is>
      </c>
      <c r="B1281" t="n">
        <v>2021</v>
      </c>
      <c r="C1281" t="n">
        <v>11</v>
      </c>
      <c r="D1281" t="n">
        <v>17441</v>
      </c>
      <c r="E1281" t="n">
        <v>108</v>
      </c>
      <c r="F1281" t="n">
        <v>17</v>
      </c>
      <c r="G1281" t="n">
        <v>17316</v>
      </c>
      <c r="H1281" t="n">
        <v>14305</v>
      </c>
      <c r="I1281" t="n">
        <v>55123</v>
      </c>
      <c r="J1281" t="n">
        <v>330509.299999998</v>
      </c>
      <c r="K1281" t="n">
        <v>16854</v>
      </c>
      <c r="L1281" t="n">
        <v>56400</v>
      </c>
      <c r="M1281" t="n">
        <v>61316</v>
      </c>
      <c r="N1281" t="n">
        <v>54337</v>
      </c>
      <c r="O1281" t="n">
        <v>3216</v>
      </c>
      <c r="P1281" t="n">
        <v>2376</v>
      </c>
    </row>
    <row r="1282">
      <c r="A1282" t="inlineStr">
        <is>
          <t>NK</t>
        </is>
      </c>
      <c r="B1282" t="n">
        <v>2021</v>
      </c>
      <c r="C1282" t="n">
        <v>12</v>
      </c>
      <c r="D1282" t="n">
        <v>17985</v>
      </c>
      <c r="E1282" t="n">
        <v>871</v>
      </c>
      <c r="F1282" t="n">
        <v>27</v>
      </c>
      <c r="G1282" t="n">
        <v>17087</v>
      </c>
      <c r="H1282" t="n">
        <v>12686</v>
      </c>
      <c r="I1282" t="n">
        <v>146545</v>
      </c>
      <c r="J1282" t="n">
        <v>360670.6999999983</v>
      </c>
      <c r="K1282" t="n">
        <v>17776</v>
      </c>
      <c r="L1282" t="n">
        <v>80929</v>
      </c>
      <c r="M1282" t="n">
        <v>92695</v>
      </c>
      <c r="N1282" t="n">
        <v>83376</v>
      </c>
      <c r="O1282" t="n">
        <v>4608</v>
      </c>
      <c r="P1282" t="n">
        <v>2547</v>
      </c>
    </row>
    <row r="1283">
      <c r="A1283" t="inlineStr">
        <is>
          <t>NK</t>
        </is>
      </c>
      <c r="B1283" t="n">
        <v>2022</v>
      </c>
      <c r="C1283" t="n">
        <v>1</v>
      </c>
      <c r="D1283" t="n">
        <v>17554</v>
      </c>
      <c r="E1283" t="n">
        <v>601</v>
      </c>
      <c r="F1283" t="n">
        <v>20</v>
      </c>
      <c r="G1283" t="n">
        <v>16933</v>
      </c>
      <c r="H1283" t="n">
        <v>13004</v>
      </c>
      <c r="I1283" t="n">
        <v>144272</v>
      </c>
      <c r="J1283" t="n">
        <v>319889.1000000016</v>
      </c>
      <c r="K1283" t="n">
        <v>17427</v>
      </c>
      <c r="L1283" t="n">
        <v>77322</v>
      </c>
      <c r="M1283" t="n">
        <v>80329</v>
      </c>
      <c r="N1283" t="n">
        <v>85852</v>
      </c>
      <c r="O1283" t="n">
        <v>8140</v>
      </c>
      <c r="P1283" t="n">
        <v>2385</v>
      </c>
    </row>
    <row r="1284">
      <c r="A1284" t="inlineStr">
        <is>
          <t>NK</t>
        </is>
      </c>
      <c r="B1284" t="n">
        <v>2022</v>
      </c>
      <c r="C1284" t="n">
        <v>2</v>
      </c>
      <c r="D1284" t="n">
        <v>16729</v>
      </c>
      <c r="E1284" t="n">
        <v>559</v>
      </c>
      <c r="F1284" t="n">
        <v>37</v>
      </c>
      <c r="G1284" t="n">
        <v>16133</v>
      </c>
      <c r="H1284" t="n">
        <v>11916</v>
      </c>
      <c r="I1284" t="n">
        <v>188930</v>
      </c>
      <c r="J1284" t="n">
        <v>282289.6000000032</v>
      </c>
      <c r="K1284" t="n">
        <v>16421</v>
      </c>
      <c r="L1284" t="n">
        <v>82980</v>
      </c>
      <c r="M1284" t="n">
        <v>95211</v>
      </c>
      <c r="N1284" t="n">
        <v>94051</v>
      </c>
      <c r="O1284" t="n">
        <v>5544</v>
      </c>
      <c r="P1284" t="n">
        <v>1606</v>
      </c>
    </row>
    <row r="1285">
      <c r="A1285" t="inlineStr">
        <is>
          <t>NK</t>
        </is>
      </c>
      <c r="B1285" t="n">
        <v>2022</v>
      </c>
      <c r="C1285" t="n">
        <v>3</v>
      </c>
      <c r="D1285" t="n">
        <v>19236</v>
      </c>
      <c r="E1285" t="n">
        <v>410</v>
      </c>
      <c r="F1285" t="n">
        <v>33</v>
      </c>
      <c r="G1285" t="n">
        <v>18793</v>
      </c>
      <c r="H1285" t="n">
        <v>13178</v>
      </c>
      <c r="I1285" t="n">
        <v>297829</v>
      </c>
      <c r="J1285" t="n">
        <v>307905.2999999995</v>
      </c>
      <c r="K1285" t="n">
        <v>18675</v>
      </c>
      <c r="L1285" t="n">
        <v>108255</v>
      </c>
      <c r="M1285" t="n">
        <v>93444</v>
      </c>
      <c r="N1285" t="n">
        <v>156933</v>
      </c>
      <c r="O1285" t="n">
        <v>12896</v>
      </c>
      <c r="P1285" t="n">
        <v>3494</v>
      </c>
    </row>
    <row r="1286">
      <c r="A1286" t="inlineStr">
        <is>
          <t>NK</t>
        </is>
      </c>
      <c r="B1286" t="n">
        <v>2022</v>
      </c>
      <c r="C1286" t="n">
        <v>4</v>
      </c>
      <c r="D1286" t="n">
        <v>18653</v>
      </c>
      <c r="E1286" t="n">
        <v>1920</v>
      </c>
      <c r="F1286" t="n">
        <v>41</v>
      </c>
      <c r="G1286" t="n">
        <v>16692</v>
      </c>
      <c r="H1286" t="n">
        <v>10907</v>
      </c>
      <c r="I1286" t="n">
        <v>362423</v>
      </c>
      <c r="J1286" t="n">
        <v>293494.5999999995</v>
      </c>
      <c r="K1286" t="n">
        <v>18130</v>
      </c>
      <c r="L1286" t="n">
        <v>125718</v>
      </c>
      <c r="M1286" t="n">
        <v>130685</v>
      </c>
      <c r="N1286" t="n">
        <v>147201</v>
      </c>
      <c r="O1286" t="n">
        <v>19570</v>
      </c>
      <c r="P1286" t="n">
        <v>2505</v>
      </c>
    </row>
    <row r="1287">
      <c r="A1287" t="inlineStr">
        <is>
          <t>NK</t>
        </is>
      </c>
      <c r="B1287" t="n">
        <v>2022</v>
      </c>
      <c r="C1287" t="n">
        <v>5</v>
      </c>
      <c r="D1287" t="n">
        <v>19089</v>
      </c>
      <c r="E1287" t="n">
        <v>413</v>
      </c>
      <c r="F1287" t="n">
        <v>41</v>
      </c>
      <c r="G1287" t="n">
        <v>18635</v>
      </c>
      <c r="H1287" t="n">
        <v>13139</v>
      </c>
      <c r="I1287" t="n">
        <v>254016</v>
      </c>
      <c r="J1287" t="n">
        <v>300249.3999999985</v>
      </c>
      <c r="K1287" t="n">
        <v>18399</v>
      </c>
      <c r="L1287" t="n">
        <v>88975</v>
      </c>
      <c r="M1287" t="n">
        <v>97393</v>
      </c>
      <c r="N1287" t="n">
        <v>127705</v>
      </c>
      <c r="O1287" t="n">
        <v>18601</v>
      </c>
      <c r="P1287" t="n">
        <v>2197</v>
      </c>
    </row>
    <row r="1288">
      <c r="A1288" t="inlineStr">
        <is>
          <t>NK</t>
        </is>
      </c>
      <c r="B1288" t="n">
        <v>2022</v>
      </c>
      <c r="C1288" t="n">
        <v>6</v>
      </c>
      <c r="D1288" t="n">
        <v>18555</v>
      </c>
      <c r="E1288" t="n">
        <v>227</v>
      </c>
      <c r="F1288" t="n">
        <v>46</v>
      </c>
      <c r="G1288" t="n">
        <v>18282</v>
      </c>
      <c r="H1288" t="n">
        <v>13970</v>
      </c>
      <c r="I1288" t="n">
        <v>165948</v>
      </c>
      <c r="J1288" t="n">
        <v>381489.6000000006</v>
      </c>
      <c r="K1288" t="n">
        <v>18370</v>
      </c>
      <c r="L1288" t="n">
        <v>73765</v>
      </c>
      <c r="M1288" t="n">
        <v>81490</v>
      </c>
      <c r="N1288" t="n">
        <v>128616</v>
      </c>
      <c r="O1288" t="n">
        <v>16656</v>
      </c>
      <c r="P1288" t="n">
        <v>1519</v>
      </c>
    </row>
    <row r="1289">
      <c r="A1289" t="inlineStr">
        <is>
          <t>NK</t>
        </is>
      </c>
      <c r="B1289" t="n">
        <v>2022</v>
      </c>
      <c r="C1289" t="n">
        <v>7</v>
      </c>
      <c r="D1289" t="n">
        <v>19392</v>
      </c>
      <c r="E1289" t="n">
        <v>68</v>
      </c>
      <c r="F1289" t="n">
        <v>32</v>
      </c>
      <c r="G1289" t="n">
        <v>19292</v>
      </c>
      <c r="H1289" t="n">
        <v>15277</v>
      </c>
      <c r="I1289" t="n">
        <v>113009</v>
      </c>
      <c r="J1289" t="n">
        <v>411059.4999999999</v>
      </c>
      <c r="K1289" t="n">
        <v>19352</v>
      </c>
      <c r="L1289" t="n">
        <v>68126</v>
      </c>
      <c r="M1289" t="n">
        <v>69817</v>
      </c>
      <c r="N1289" t="n">
        <v>119769</v>
      </c>
      <c r="O1289" t="n">
        <v>19233</v>
      </c>
      <c r="P1289" t="n">
        <v>2340</v>
      </c>
    </row>
    <row r="1290">
      <c r="A1290" t="inlineStr">
        <is>
          <t>NK</t>
        </is>
      </c>
      <c r="B1290" t="n">
        <v>2022</v>
      </c>
      <c r="C1290" t="n">
        <v>8</v>
      </c>
      <c r="D1290" t="n">
        <v>19581</v>
      </c>
      <c r="E1290" t="n">
        <v>176</v>
      </c>
      <c r="F1290" t="n">
        <v>43</v>
      </c>
      <c r="G1290" t="n">
        <v>19362</v>
      </c>
      <c r="H1290" t="n">
        <v>15980</v>
      </c>
      <c r="I1290" t="n">
        <v>58395</v>
      </c>
      <c r="J1290" t="n">
        <v>401146.3000000006</v>
      </c>
      <c r="K1290" t="n">
        <v>19463</v>
      </c>
      <c r="L1290" t="n">
        <v>58758</v>
      </c>
      <c r="M1290" t="n">
        <v>54834</v>
      </c>
      <c r="N1290" t="n">
        <v>100960</v>
      </c>
      <c r="O1290" t="n">
        <v>18945</v>
      </c>
      <c r="P1290" t="n">
        <v>3751</v>
      </c>
    </row>
    <row r="1291">
      <c r="A1291" t="inlineStr">
        <is>
          <t>NK</t>
        </is>
      </c>
      <c r="B1291" t="n">
        <v>2022</v>
      </c>
      <c r="C1291" t="n">
        <v>9</v>
      </c>
      <c r="D1291" t="n">
        <v>20123</v>
      </c>
      <c r="E1291" t="n">
        <v>714</v>
      </c>
      <c r="F1291" t="n">
        <v>44</v>
      </c>
      <c r="G1291" t="n">
        <v>19365</v>
      </c>
      <c r="H1291" t="n">
        <v>15721</v>
      </c>
      <c r="I1291" t="n">
        <v>77354</v>
      </c>
      <c r="J1291" t="n">
        <v>390040.5000000001</v>
      </c>
      <c r="K1291" t="n">
        <v>19963</v>
      </c>
      <c r="L1291" t="n">
        <v>68312</v>
      </c>
      <c r="M1291" t="n">
        <v>55504</v>
      </c>
      <c r="N1291" t="n">
        <v>100258</v>
      </c>
      <c r="O1291" t="n">
        <v>10698</v>
      </c>
      <c r="P1291" t="n">
        <v>1230</v>
      </c>
    </row>
    <row r="1292">
      <c r="A1292" t="inlineStr">
        <is>
          <t>NK</t>
        </is>
      </c>
      <c r="B1292" t="n">
        <v>2022</v>
      </c>
      <c r="C1292" t="n">
        <v>10</v>
      </c>
      <c r="D1292" t="n">
        <v>21317</v>
      </c>
      <c r="E1292" t="n">
        <v>488</v>
      </c>
      <c r="F1292" t="n">
        <v>22</v>
      </c>
      <c r="G1292" t="n">
        <v>20807</v>
      </c>
      <c r="H1292" t="n">
        <v>17289</v>
      </c>
      <c r="I1292" t="n">
        <v>62361</v>
      </c>
      <c r="J1292" t="n">
        <v>428766.0999999999</v>
      </c>
      <c r="K1292" t="n">
        <v>21273</v>
      </c>
      <c r="L1292" t="n">
        <v>64977</v>
      </c>
      <c r="M1292" t="n">
        <v>75716</v>
      </c>
      <c r="N1292" t="n">
        <v>79570</v>
      </c>
      <c r="O1292" t="n">
        <v>7287</v>
      </c>
      <c r="P1292" t="n">
        <v>1281</v>
      </c>
    </row>
    <row r="1293">
      <c r="A1293" t="inlineStr">
        <is>
          <t>NK</t>
        </is>
      </c>
      <c r="B1293" t="n">
        <v>2022</v>
      </c>
      <c r="C1293" t="n">
        <v>11</v>
      </c>
      <c r="D1293" t="n">
        <v>20935</v>
      </c>
      <c r="E1293" t="n">
        <v>403</v>
      </c>
      <c r="F1293" t="n">
        <v>25</v>
      </c>
      <c r="G1293" t="n">
        <v>20507</v>
      </c>
      <c r="H1293" t="n">
        <v>15376</v>
      </c>
      <c r="I1293" t="n">
        <v>207148</v>
      </c>
      <c r="J1293" t="n">
        <v>396149.6000000006</v>
      </c>
      <c r="K1293" t="n">
        <v>20553</v>
      </c>
      <c r="L1293" t="n">
        <v>95542</v>
      </c>
      <c r="M1293" t="n">
        <v>103791</v>
      </c>
      <c r="N1293" t="n">
        <v>110343</v>
      </c>
      <c r="O1293" t="n">
        <v>4809</v>
      </c>
      <c r="P1293" t="n">
        <v>1610</v>
      </c>
    </row>
    <row r="1294">
      <c r="A1294" t="inlineStr">
        <is>
          <t>NK</t>
        </is>
      </c>
      <c r="B1294" t="n">
        <v>2022</v>
      </c>
      <c r="C1294" t="n">
        <v>12</v>
      </c>
      <c r="D1294" t="n">
        <v>21236</v>
      </c>
      <c r="E1294" t="n">
        <v>994</v>
      </c>
      <c r="F1294" t="n">
        <v>11</v>
      </c>
      <c r="G1294" t="n">
        <v>20231</v>
      </c>
      <c r="H1294" t="n">
        <v>13795</v>
      </c>
      <c r="I1294" t="n">
        <v>343524</v>
      </c>
      <c r="J1294" t="n">
        <v>398353.7000000046</v>
      </c>
      <c r="K1294" t="n">
        <v>20550</v>
      </c>
      <c r="L1294" t="n">
        <v>132896</v>
      </c>
      <c r="M1294" t="n">
        <v>156110</v>
      </c>
      <c r="N1294" t="n">
        <v>133105</v>
      </c>
      <c r="O1294" t="n">
        <v>16009</v>
      </c>
      <c r="P1294" t="n">
        <v>2514</v>
      </c>
    </row>
    <row r="1295">
      <c r="A1295" t="inlineStr">
        <is>
          <t>NK</t>
        </is>
      </c>
      <c r="B1295" t="n">
        <v>2023</v>
      </c>
      <c r="C1295" t="n">
        <v>1</v>
      </c>
      <c r="D1295" t="n">
        <v>21876</v>
      </c>
      <c r="E1295" t="n">
        <v>507</v>
      </c>
      <c r="F1295" t="n">
        <v>21</v>
      </c>
      <c r="G1295" t="n">
        <v>21348</v>
      </c>
      <c r="H1295" t="n">
        <v>15139</v>
      </c>
      <c r="I1295" t="n">
        <v>296634</v>
      </c>
      <c r="J1295" t="n">
        <v>437547.2999999984</v>
      </c>
      <c r="K1295" t="n">
        <v>20925</v>
      </c>
      <c r="L1295" t="n">
        <v>115151</v>
      </c>
      <c r="M1295" t="n">
        <v>137335</v>
      </c>
      <c r="N1295" t="n">
        <v>168227</v>
      </c>
      <c r="O1295" t="n">
        <v>9439</v>
      </c>
      <c r="P1295" t="n">
        <v>2985</v>
      </c>
    </row>
    <row r="1296">
      <c r="A1296" t="inlineStr">
        <is>
          <t>NK</t>
        </is>
      </c>
      <c r="B1296" t="n">
        <v>2023</v>
      </c>
      <c r="C1296" t="n">
        <v>2</v>
      </c>
      <c r="D1296" t="n">
        <v>20192</v>
      </c>
      <c r="E1296" t="n">
        <v>272</v>
      </c>
      <c r="F1296" t="n">
        <v>25</v>
      </c>
      <c r="G1296" t="n">
        <v>19895</v>
      </c>
      <c r="H1296" t="n">
        <v>15129</v>
      </c>
      <c r="I1296" t="n">
        <v>200262</v>
      </c>
      <c r="J1296" t="n">
        <v>410008.2999999993</v>
      </c>
      <c r="K1296" t="n">
        <v>19196</v>
      </c>
      <c r="L1296" t="n">
        <v>104239</v>
      </c>
      <c r="M1296" t="n">
        <v>106720</v>
      </c>
      <c r="N1296" t="n">
        <v>123261</v>
      </c>
      <c r="O1296" t="n">
        <v>8908</v>
      </c>
      <c r="P1296" t="n">
        <v>2034</v>
      </c>
    </row>
    <row r="1297">
      <c r="A1297" t="inlineStr">
        <is>
          <t>NK</t>
        </is>
      </c>
      <c r="B1297" t="n">
        <v>2023</v>
      </c>
      <c r="C1297" t="n">
        <v>3</v>
      </c>
      <c r="D1297" t="n">
        <v>22613</v>
      </c>
      <c r="E1297" t="n">
        <v>381</v>
      </c>
      <c r="F1297" t="n">
        <v>35</v>
      </c>
      <c r="G1297" t="n">
        <v>22197</v>
      </c>
      <c r="H1297" t="n">
        <v>14475</v>
      </c>
      <c r="I1297" t="n">
        <v>451866</v>
      </c>
      <c r="J1297" t="n">
        <v>457737.7000000014</v>
      </c>
      <c r="K1297" t="n">
        <v>21438</v>
      </c>
      <c r="L1297" t="n">
        <v>155302</v>
      </c>
      <c r="M1297" t="n">
        <v>158406</v>
      </c>
      <c r="N1297" t="n">
        <v>230068</v>
      </c>
      <c r="O1297" t="n">
        <v>9172</v>
      </c>
      <c r="P1297" t="n">
        <v>3498</v>
      </c>
    </row>
    <row r="1298">
      <c r="A1298" t="inlineStr">
        <is>
          <t>NK</t>
        </is>
      </c>
      <c r="B1298" t="n">
        <v>2023</v>
      </c>
      <c r="C1298" t="n">
        <v>4</v>
      </c>
      <c r="D1298" t="n">
        <v>22751</v>
      </c>
      <c r="E1298" t="n">
        <v>815</v>
      </c>
      <c r="F1298" t="n">
        <v>49</v>
      </c>
      <c r="G1298" t="n">
        <v>21887</v>
      </c>
      <c r="H1298" t="n">
        <v>13808</v>
      </c>
      <c r="I1298" t="n">
        <v>517576</v>
      </c>
      <c r="J1298" t="n">
        <v>423527.200000003</v>
      </c>
      <c r="K1298" t="n">
        <v>21400</v>
      </c>
      <c r="L1298" t="n">
        <v>172133</v>
      </c>
      <c r="M1298" t="n">
        <v>158257</v>
      </c>
      <c r="N1298" t="n">
        <v>251127</v>
      </c>
      <c r="O1298" t="n">
        <v>22223</v>
      </c>
      <c r="P1298" t="n">
        <v>4825</v>
      </c>
    </row>
    <row r="1299">
      <c r="A1299" t="inlineStr">
        <is>
          <t>NK</t>
        </is>
      </c>
      <c r="B1299" t="n">
        <v>2023</v>
      </c>
      <c r="C1299" t="n">
        <v>5</v>
      </c>
      <c r="D1299" t="n">
        <v>22506</v>
      </c>
      <c r="E1299" t="n">
        <v>172</v>
      </c>
      <c r="F1299" t="n">
        <v>55</v>
      </c>
      <c r="G1299" t="n">
        <v>22279</v>
      </c>
      <c r="H1299" t="n">
        <v>16620</v>
      </c>
      <c r="I1299" t="n">
        <v>234478</v>
      </c>
      <c r="J1299" t="n">
        <v>392359.2999999992</v>
      </c>
      <c r="K1299" t="n">
        <v>20902</v>
      </c>
      <c r="L1299" t="n">
        <v>104058</v>
      </c>
      <c r="M1299" t="n">
        <v>101612</v>
      </c>
      <c r="N1299" t="n">
        <v>139559</v>
      </c>
      <c r="O1299" t="n">
        <v>18095</v>
      </c>
      <c r="P1299" t="n">
        <v>3099</v>
      </c>
    </row>
    <row r="1300">
      <c r="A1300" t="inlineStr">
        <is>
          <t>NK</t>
        </is>
      </c>
      <c r="B1300" t="n">
        <v>2023</v>
      </c>
      <c r="C1300" t="n">
        <v>6</v>
      </c>
      <c r="D1300" t="n">
        <v>21155</v>
      </c>
      <c r="E1300" t="n">
        <v>697</v>
      </c>
      <c r="F1300" t="n">
        <v>105</v>
      </c>
      <c r="G1300" t="n">
        <v>20353</v>
      </c>
      <c r="H1300" t="n">
        <v>12432</v>
      </c>
      <c r="I1300" t="n">
        <v>563844</v>
      </c>
      <c r="J1300" t="n">
        <v>382891.7000000015</v>
      </c>
      <c r="K1300" t="n">
        <v>19849</v>
      </c>
      <c r="L1300" t="n">
        <v>211443</v>
      </c>
      <c r="M1300" t="n">
        <v>183947</v>
      </c>
      <c r="N1300" t="n">
        <v>218264</v>
      </c>
      <c r="O1300" t="n">
        <v>37551</v>
      </c>
      <c r="P1300" t="n">
        <v>4421</v>
      </c>
    </row>
    <row r="1301">
      <c r="A1301" t="inlineStr">
        <is>
          <t>NK</t>
        </is>
      </c>
      <c r="B1301" t="n">
        <v>2023</v>
      </c>
      <c r="C1301" t="n">
        <v>7</v>
      </c>
      <c r="D1301" t="n">
        <v>21187</v>
      </c>
      <c r="E1301" t="n">
        <v>467</v>
      </c>
      <c r="F1301" t="n">
        <v>70</v>
      </c>
      <c r="G1301" t="n">
        <v>20650</v>
      </c>
      <c r="H1301" t="n">
        <v>12881</v>
      </c>
      <c r="I1301" t="n">
        <v>526281</v>
      </c>
      <c r="J1301" t="n">
        <v>389837.8999999989</v>
      </c>
      <c r="K1301" t="n">
        <v>19991</v>
      </c>
      <c r="L1301" t="n">
        <v>161369</v>
      </c>
      <c r="M1301" t="n">
        <v>151516</v>
      </c>
      <c r="N1301" t="n">
        <v>265290</v>
      </c>
      <c r="O1301" t="n">
        <v>43511</v>
      </c>
      <c r="P1301" t="n">
        <v>4508</v>
      </c>
    </row>
    <row r="1302">
      <c r="A1302" t="inlineStr">
        <is>
          <t>NK</t>
        </is>
      </c>
      <c r="B1302" t="n">
        <v>2023</v>
      </c>
      <c r="C1302" t="n">
        <v>8</v>
      </c>
      <c r="D1302" t="n">
        <v>21514</v>
      </c>
      <c r="E1302" t="n">
        <v>297</v>
      </c>
      <c r="F1302" t="n">
        <v>68</v>
      </c>
      <c r="G1302" t="n">
        <v>21149</v>
      </c>
      <c r="H1302" t="n">
        <v>14111</v>
      </c>
      <c r="I1302" t="n">
        <v>415622</v>
      </c>
      <c r="J1302" t="n">
        <v>396611.4000000014</v>
      </c>
      <c r="K1302" t="n">
        <v>20296</v>
      </c>
      <c r="L1302" t="n">
        <v>148155</v>
      </c>
      <c r="M1302" t="n">
        <v>154856</v>
      </c>
      <c r="N1302" t="n">
        <v>198414</v>
      </c>
      <c r="O1302" t="n">
        <v>24515</v>
      </c>
      <c r="P1302" t="n">
        <v>6487</v>
      </c>
    </row>
    <row r="1303">
      <c r="A1303" t="inlineStr">
        <is>
          <t>NK</t>
        </is>
      </c>
      <c r="B1303" t="n">
        <v>2023</v>
      </c>
      <c r="C1303" t="n">
        <v>9</v>
      </c>
      <c r="D1303" t="n">
        <v>21036</v>
      </c>
      <c r="E1303" t="n">
        <v>334</v>
      </c>
      <c r="F1303" t="n">
        <v>59</v>
      </c>
      <c r="G1303" t="n">
        <v>20643</v>
      </c>
      <c r="H1303" t="n">
        <v>15736</v>
      </c>
      <c r="I1303" t="n">
        <v>176938</v>
      </c>
      <c r="J1303" t="n">
        <v>439458.2000000001</v>
      </c>
      <c r="K1303" t="n">
        <v>19706</v>
      </c>
      <c r="L1303" t="n">
        <v>86684</v>
      </c>
      <c r="M1303" t="n">
        <v>89704</v>
      </c>
      <c r="N1303" t="n">
        <v>142319</v>
      </c>
      <c r="O1303" t="n">
        <v>16818</v>
      </c>
      <c r="P1303" t="n">
        <v>2228</v>
      </c>
    </row>
    <row r="1304">
      <c r="A1304" t="inlineStr">
        <is>
          <t>NK</t>
        </is>
      </c>
      <c r="B1304" t="n">
        <v>2023</v>
      </c>
      <c r="C1304" t="n">
        <v>10</v>
      </c>
      <c r="D1304" t="n">
        <v>23294</v>
      </c>
      <c r="E1304" t="n">
        <v>362</v>
      </c>
      <c r="F1304" t="n">
        <v>23</v>
      </c>
      <c r="G1304" t="n">
        <v>22909</v>
      </c>
      <c r="H1304" t="n">
        <v>18554</v>
      </c>
      <c r="I1304" t="n">
        <v>70778</v>
      </c>
      <c r="J1304" t="n">
        <v>496933.5000000015</v>
      </c>
      <c r="K1304" t="n">
        <v>21758</v>
      </c>
      <c r="L1304" t="n">
        <v>87662</v>
      </c>
      <c r="M1304" t="n">
        <v>88982</v>
      </c>
      <c r="N1304" t="n">
        <v>80711</v>
      </c>
      <c r="O1304" t="n">
        <v>4238</v>
      </c>
      <c r="P1304" t="n">
        <v>2289</v>
      </c>
    </row>
    <row r="1305">
      <c r="A1305" t="inlineStr">
        <is>
          <t>NK</t>
        </is>
      </c>
      <c r="B1305" t="n">
        <v>2023</v>
      </c>
      <c r="C1305" t="n">
        <v>11</v>
      </c>
      <c r="D1305" t="n">
        <v>23164</v>
      </c>
      <c r="E1305" t="n">
        <v>84</v>
      </c>
      <c r="F1305" t="n">
        <v>13</v>
      </c>
      <c r="G1305" t="n">
        <v>23067</v>
      </c>
      <c r="H1305" t="n">
        <v>17506</v>
      </c>
      <c r="I1305" t="n">
        <v>184279</v>
      </c>
      <c r="J1305" t="n">
        <v>489110.3000000027</v>
      </c>
      <c r="K1305" t="n">
        <v>21526</v>
      </c>
      <c r="L1305" t="n">
        <v>129610</v>
      </c>
      <c r="M1305" t="n">
        <v>107955</v>
      </c>
      <c r="N1305" t="n">
        <v>95855</v>
      </c>
      <c r="O1305" t="n">
        <v>3040</v>
      </c>
      <c r="P1305" t="n">
        <v>3768</v>
      </c>
    </row>
    <row r="1306">
      <c r="A1306" t="inlineStr">
        <is>
          <t>NK</t>
        </is>
      </c>
      <c r="B1306" t="n">
        <v>2023</v>
      </c>
      <c r="C1306" t="n">
        <v>12</v>
      </c>
      <c r="D1306" t="n">
        <v>22583</v>
      </c>
      <c r="E1306" t="n">
        <v>98</v>
      </c>
      <c r="F1306" t="n">
        <v>24</v>
      </c>
      <c r="G1306" t="n">
        <v>22461</v>
      </c>
      <c r="H1306" t="n">
        <v>17019</v>
      </c>
      <c r="I1306" t="n">
        <v>155827</v>
      </c>
      <c r="J1306" t="n">
        <v>509448.5000000021</v>
      </c>
      <c r="K1306" t="n">
        <v>20771</v>
      </c>
      <c r="L1306" t="n">
        <v>119032</v>
      </c>
      <c r="M1306" t="n">
        <v>100238</v>
      </c>
      <c r="N1306" t="n">
        <v>108203</v>
      </c>
      <c r="O1306" t="n">
        <v>2572</v>
      </c>
      <c r="P1306" t="n">
        <v>4391</v>
      </c>
    </row>
    <row r="1307">
      <c r="A1307" t="inlineStr">
        <is>
          <t>NK</t>
        </is>
      </c>
      <c r="B1307" t="n">
        <v>2024</v>
      </c>
      <c r="C1307" t="n">
        <v>1</v>
      </c>
      <c r="D1307" t="n">
        <v>20415</v>
      </c>
      <c r="E1307" t="n">
        <v>303</v>
      </c>
      <c r="F1307" t="n">
        <v>31</v>
      </c>
      <c r="G1307" t="n">
        <v>20081</v>
      </c>
      <c r="H1307" t="n">
        <v>14807</v>
      </c>
      <c r="I1307" t="n">
        <v>194472</v>
      </c>
      <c r="J1307" t="n">
        <v>447924.9000000001</v>
      </c>
      <c r="K1307" t="n">
        <v>18822</v>
      </c>
      <c r="L1307" t="n">
        <v>96935</v>
      </c>
      <c r="M1307" t="n">
        <v>89128</v>
      </c>
      <c r="N1307" t="n">
        <v>141686</v>
      </c>
      <c r="O1307" t="n">
        <v>13001</v>
      </c>
      <c r="P1307" t="n">
        <v>3442</v>
      </c>
    </row>
    <row r="1308">
      <c r="A1308" t="inlineStr">
        <is>
          <t>NK</t>
        </is>
      </c>
      <c r="B1308" t="n">
        <v>2024</v>
      </c>
      <c r="C1308" t="n">
        <v>2</v>
      </c>
      <c r="D1308" t="n">
        <v>19929</v>
      </c>
      <c r="E1308" t="n">
        <v>138</v>
      </c>
      <c r="F1308" t="n">
        <v>26</v>
      </c>
      <c r="G1308" t="n">
        <v>19765</v>
      </c>
      <c r="H1308" t="n">
        <v>15501</v>
      </c>
      <c r="I1308" t="n">
        <v>96726</v>
      </c>
      <c r="J1308" t="n">
        <v>411271.7000000052</v>
      </c>
      <c r="K1308" t="n">
        <v>18424</v>
      </c>
      <c r="L1308" t="n">
        <v>81918</v>
      </c>
      <c r="M1308" t="n">
        <v>73427</v>
      </c>
      <c r="N1308" t="n">
        <v>100255</v>
      </c>
      <c r="O1308" t="n">
        <v>4697</v>
      </c>
      <c r="P1308" t="n">
        <v>2269</v>
      </c>
    </row>
    <row r="1309">
      <c r="A1309" t="inlineStr">
        <is>
          <t>NK</t>
        </is>
      </c>
      <c r="B1309" t="n">
        <v>2024</v>
      </c>
      <c r="C1309" t="n">
        <v>3</v>
      </c>
      <c r="D1309" t="n">
        <v>22885</v>
      </c>
      <c r="E1309" t="n">
        <v>394</v>
      </c>
      <c r="F1309" t="n">
        <v>32</v>
      </c>
      <c r="G1309" t="n">
        <v>22459</v>
      </c>
      <c r="H1309" t="n">
        <v>15931</v>
      </c>
      <c r="I1309" t="n">
        <v>285540</v>
      </c>
      <c r="J1309" t="n">
        <v>477989.7000000042</v>
      </c>
      <c r="K1309" t="n">
        <v>21147</v>
      </c>
      <c r="L1309" t="n">
        <v>106403</v>
      </c>
      <c r="M1309" t="n">
        <v>97157</v>
      </c>
      <c r="N1309" t="n">
        <v>226294</v>
      </c>
      <c r="O1309" t="n">
        <v>10022</v>
      </c>
      <c r="P1309" t="n">
        <v>2598</v>
      </c>
    </row>
    <row r="1310">
      <c r="A1310" t="inlineStr">
        <is>
          <t>NK</t>
        </is>
      </c>
      <c r="B1310" t="n">
        <v>2024</v>
      </c>
      <c r="C1310" t="n">
        <v>4</v>
      </c>
      <c r="D1310" t="n">
        <v>21998</v>
      </c>
      <c r="E1310" t="n">
        <v>239</v>
      </c>
      <c r="F1310" t="n">
        <v>36</v>
      </c>
      <c r="G1310" t="n">
        <v>21723</v>
      </c>
      <c r="H1310" t="n">
        <v>17905</v>
      </c>
      <c r="I1310" t="n">
        <v>44515</v>
      </c>
      <c r="J1310" t="n">
        <v>449194.2000000013</v>
      </c>
      <c r="K1310" t="n">
        <v>20341</v>
      </c>
      <c r="L1310" t="n">
        <v>64947</v>
      </c>
      <c r="M1310" t="n">
        <v>66985</v>
      </c>
      <c r="N1310" t="n">
        <v>113744</v>
      </c>
      <c r="O1310" t="n">
        <v>6629</v>
      </c>
      <c r="P1310" t="n">
        <v>1448</v>
      </c>
    </row>
    <row r="1311">
      <c r="A1311" t="inlineStr">
        <is>
          <t>NK</t>
        </is>
      </c>
      <c r="B1311" t="n">
        <v>2024</v>
      </c>
      <c r="C1311" t="n">
        <v>5</v>
      </c>
      <c r="D1311" t="n">
        <v>23298</v>
      </c>
      <c r="E1311" t="n">
        <v>259</v>
      </c>
      <c r="F1311" t="n">
        <v>88</v>
      </c>
      <c r="G1311" t="n">
        <v>22951</v>
      </c>
      <c r="H1311" t="n">
        <v>16744</v>
      </c>
      <c r="I1311" t="n">
        <v>301294</v>
      </c>
      <c r="J1311" t="n">
        <v>436826.7000000043</v>
      </c>
      <c r="K1311" t="n">
        <v>21487</v>
      </c>
      <c r="L1311" t="n">
        <v>123397</v>
      </c>
      <c r="M1311" t="n">
        <v>113287</v>
      </c>
      <c r="N1311" t="n">
        <v>215247</v>
      </c>
      <c r="O1311" t="n">
        <v>12124</v>
      </c>
      <c r="P1311" t="n">
        <v>1948</v>
      </c>
    </row>
    <row r="1312">
      <c r="A1312" t="inlineStr">
        <is>
          <t>NK</t>
        </is>
      </c>
      <c r="B1312" t="n">
        <v>2024</v>
      </c>
      <c r="C1312" t="n">
        <v>6</v>
      </c>
      <c r="D1312" t="n">
        <v>23437</v>
      </c>
      <c r="E1312" t="n">
        <v>600</v>
      </c>
      <c r="F1312" t="n">
        <v>67</v>
      </c>
      <c r="G1312" t="n">
        <v>22770</v>
      </c>
      <c r="H1312" t="n">
        <v>16581</v>
      </c>
      <c r="I1312" t="n">
        <v>272103</v>
      </c>
      <c r="J1312" t="n">
        <v>459395.2999999995</v>
      </c>
      <c r="K1312" t="n">
        <v>21555</v>
      </c>
      <c r="L1312" t="n">
        <v>139102</v>
      </c>
      <c r="M1312" t="n">
        <v>110089</v>
      </c>
      <c r="N1312" t="n">
        <v>180378</v>
      </c>
      <c r="O1312" t="n">
        <v>14643</v>
      </c>
      <c r="P1312" t="n">
        <v>3007</v>
      </c>
    </row>
    <row r="1313">
      <c r="A1313" t="inlineStr">
        <is>
          <t>NK</t>
        </is>
      </c>
      <c r="B1313" t="n">
        <v>2024</v>
      </c>
      <c r="C1313" t="n">
        <v>7</v>
      </c>
      <c r="D1313" t="n">
        <v>24769</v>
      </c>
      <c r="E1313" t="n">
        <v>1278</v>
      </c>
      <c r="F1313" t="n">
        <v>55</v>
      </c>
      <c r="G1313" t="n">
        <v>23436</v>
      </c>
      <c r="H1313" t="n">
        <v>15127</v>
      </c>
      <c r="I1313" t="n">
        <v>502741</v>
      </c>
      <c r="J1313" t="n">
        <v>487729.1999999969</v>
      </c>
      <c r="K1313" t="n">
        <v>22884</v>
      </c>
      <c r="L1313" t="n">
        <v>202551</v>
      </c>
      <c r="M1313" t="n">
        <v>197467</v>
      </c>
      <c r="N1313" t="n">
        <v>233153</v>
      </c>
      <c r="O1313" t="n">
        <v>19283</v>
      </c>
      <c r="P1313" t="n">
        <v>2381</v>
      </c>
    </row>
    <row r="1314">
      <c r="A1314" t="inlineStr">
        <is>
          <t>NK</t>
        </is>
      </c>
      <c r="B1314" t="n">
        <v>2024</v>
      </c>
      <c r="C1314" t="n">
        <v>8</v>
      </c>
      <c r="D1314" t="n">
        <v>24676</v>
      </c>
      <c r="E1314" t="n">
        <v>977</v>
      </c>
      <c r="F1314" t="n">
        <v>65</v>
      </c>
      <c r="G1314" t="n">
        <v>23634</v>
      </c>
      <c r="H1314" t="n">
        <v>16563</v>
      </c>
      <c r="I1314" t="n">
        <v>382654</v>
      </c>
      <c r="J1314" t="n">
        <v>458269.8999999993</v>
      </c>
      <c r="K1314" t="n">
        <v>22744</v>
      </c>
      <c r="L1314" t="n">
        <v>152913</v>
      </c>
      <c r="M1314" t="n">
        <v>133083</v>
      </c>
      <c r="N1314" t="n">
        <v>239647</v>
      </c>
      <c r="O1314" t="n">
        <v>18586</v>
      </c>
      <c r="P1314" t="n">
        <v>1577</v>
      </c>
    </row>
    <row r="1315">
      <c r="A1315" t="inlineStr">
        <is>
          <t>NK</t>
        </is>
      </c>
      <c r="B1315" t="n">
        <v>2024</v>
      </c>
      <c r="C1315" t="n">
        <v>9</v>
      </c>
      <c r="D1315" t="n">
        <v>20399</v>
      </c>
      <c r="E1315" t="n">
        <v>236</v>
      </c>
      <c r="F1315" t="n">
        <v>16</v>
      </c>
      <c r="G1315" t="n">
        <v>20147</v>
      </c>
      <c r="H1315" t="n">
        <v>16651</v>
      </c>
      <c r="I1315" t="n">
        <v>20964</v>
      </c>
      <c r="J1315" t="n">
        <v>406351.0999999997</v>
      </c>
      <c r="K1315" t="n">
        <v>18910</v>
      </c>
      <c r="L1315" t="n">
        <v>57036</v>
      </c>
      <c r="M1315" t="n">
        <v>66665</v>
      </c>
      <c r="N1315" t="n">
        <v>95035</v>
      </c>
      <c r="O1315" t="n">
        <v>6413</v>
      </c>
      <c r="P1315" t="n">
        <v>911</v>
      </c>
    </row>
    <row r="1316">
      <c r="A1316" t="inlineStr">
        <is>
          <t>NK</t>
        </is>
      </c>
      <c r="B1316" t="n">
        <v>2024</v>
      </c>
      <c r="C1316" t="n">
        <v>10</v>
      </c>
      <c r="D1316" t="n">
        <v>21176</v>
      </c>
      <c r="E1316" t="n">
        <v>421</v>
      </c>
      <c r="F1316" t="n">
        <v>22</v>
      </c>
      <c r="G1316" t="n">
        <v>20733</v>
      </c>
      <c r="H1316" t="n">
        <v>17663</v>
      </c>
      <c r="I1316" t="n">
        <v>-31649</v>
      </c>
      <c r="J1316" t="n">
        <v>426352.2999999977</v>
      </c>
      <c r="K1316" t="n">
        <v>19659</v>
      </c>
      <c r="L1316" t="n">
        <v>54064</v>
      </c>
      <c r="M1316" t="n">
        <v>61910</v>
      </c>
      <c r="N1316" t="n">
        <v>78265</v>
      </c>
      <c r="O1316" t="n">
        <v>1148</v>
      </c>
      <c r="P1316" t="n">
        <v>1201</v>
      </c>
    </row>
    <row r="1317">
      <c r="A1317" t="inlineStr">
        <is>
          <t>NK</t>
        </is>
      </c>
      <c r="B1317" t="n">
        <v>2024</v>
      </c>
      <c r="C1317" t="n">
        <v>11</v>
      </c>
      <c r="D1317" t="n">
        <v>19459</v>
      </c>
      <c r="E1317" t="n">
        <v>55</v>
      </c>
      <c r="F1317" t="n">
        <v>13</v>
      </c>
      <c r="G1317" t="n">
        <v>19391</v>
      </c>
      <c r="H1317" t="n">
        <v>16616</v>
      </c>
      <c r="I1317" t="n">
        <v>-42687</v>
      </c>
      <c r="J1317" t="n">
        <v>391051.8000000013</v>
      </c>
      <c r="K1317" t="n">
        <v>17935</v>
      </c>
      <c r="L1317" t="n">
        <v>43703</v>
      </c>
      <c r="M1317" t="n">
        <v>52016</v>
      </c>
      <c r="N1317" t="n">
        <v>75263</v>
      </c>
      <c r="O1317" t="n">
        <v>1564</v>
      </c>
      <c r="P1317" t="n">
        <v>351</v>
      </c>
    </row>
    <row r="1318">
      <c r="A1318" t="inlineStr">
        <is>
          <t>NK</t>
        </is>
      </c>
      <c r="B1318" t="n">
        <v>2024</v>
      </c>
      <c r="C1318" t="n">
        <v>12</v>
      </c>
      <c r="D1318" t="n">
        <v>18662</v>
      </c>
      <c r="E1318" t="n">
        <v>98</v>
      </c>
      <c r="F1318" t="n">
        <v>21</v>
      </c>
      <c r="G1318" t="n">
        <v>18543</v>
      </c>
      <c r="H1318" t="n">
        <v>14381</v>
      </c>
      <c r="I1318" t="n">
        <v>124560</v>
      </c>
      <c r="J1318" t="n">
        <v>382496.6000000001</v>
      </c>
      <c r="K1318" t="n">
        <v>17153</v>
      </c>
      <c r="L1318" t="n">
        <v>88297</v>
      </c>
      <c r="M1318" t="n">
        <v>79019</v>
      </c>
      <c r="N1318" t="n">
        <v>110029</v>
      </c>
      <c r="O1318" t="n">
        <v>5296</v>
      </c>
      <c r="P1318" t="n">
        <v>1469</v>
      </c>
    </row>
    <row r="1319">
      <c r="A1319" t="inlineStr">
        <is>
          <t>NK</t>
        </is>
      </c>
      <c r="B1319" t="n">
        <v>2025</v>
      </c>
      <c r="C1319" t="n">
        <v>1</v>
      </c>
      <c r="D1319" t="n">
        <v>17544</v>
      </c>
      <c r="E1319" t="n">
        <v>572</v>
      </c>
      <c r="F1319" t="n">
        <v>26</v>
      </c>
      <c r="G1319" t="n">
        <v>16946</v>
      </c>
      <c r="H1319" t="n">
        <v>13882</v>
      </c>
      <c r="I1319" t="n">
        <v>10939</v>
      </c>
      <c r="J1319" t="n">
        <v>371526.0000000019</v>
      </c>
      <c r="K1319" t="n">
        <v>16400</v>
      </c>
      <c r="L1319" t="n">
        <v>49986</v>
      </c>
      <c r="M1319" t="n">
        <v>49519</v>
      </c>
      <c r="N1319" t="n">
        <v>76094</v>
      </c>
      <c r="O1319" t="n">
        <v>2946</v>
      </c>
      <c r="P1319" t="n">
        <v>860</v>
      </c>
    </row>
    <row r="1320">
      <c r="A1320" t="inlineStr">
        <is>
          <t>NK</t>
        </is>
      </c>
      <c r="B1320" t="n">
        <v>2025</v>
      </c>
      <c r="C1320" t="n">
        <v>2</v>
      </c>
      <c r="D1320" t="n">
        <v>16232</v>
      </c>
      <c r="E1320" t="n">
        <v>179</v>
      </c>
      <c r="F1320" t="n">
        <v>12</v>
      </c>
      <c r="G1320" t="n">
        <v>16041</v>
      </c>
      <c r="H1320" t="n">
        <v>13048</v>
      </c>
      <c r="I1320" t="n">
        <v>39169</v>
      </c>
      <c r="J1320" t="n">
        <v>340977.6000000002</v>
      </c>
      <c r="K1320" t="n">
        <v>15063</v>
      </c>
      <c r="L1320" t="n">
        <v>45516</v>
      </c>
      <c r="M1320" t="n">
        <v>48618</v>
      </c>
      <c r="N1320" t="n">
        <v>114943</v>
      </c>
      <c r="O1320" t="n">
        <v>2469</v>
      </c>
      <c r="P1320" t="n">
        <v>494</v>
      </c>
    </row>
    <row r="1321">
      <c r="A1321" t="inlineStr">
        <is>
          <t>NK</t>
        </is>
      </c>
      <c r="B1321" t="n">
        <v>2025</v>
      </c>
      <c r="C1321" t="n">
        <v>3</v>
      </c>
      <c r="D1321" t="n">
        <v>19828</v>
      </c>
      <c r="E1321" t="n">
        <v>215</v>
      </c>
      <c r="F1321" t="n">
        <v>36</v>
      </c>
      <c r="G1321" t="n">
        <v>19577</v>
      </c>
      <c r="H1321" t="n">
        <v>15885</v>
      </c>
      <c r="I1321" t="n">
        <v>76248</v>
      </c>
      <c r="J1321" t="n">
        <v>434112.9000000034</v>
      </c>
      <c r="K1321" t="n">
        <v>18333</v>
      </c>
      <c r="L1321" t="n">
        <v>61033</v>
      </c>
      <c r="M1321" t="n">
        <v>67492</v>
      </c>
      <c r="N1321" t="n">
        <v>146176</v>
      </c>
      <c r="O1321" t="n">
        <v>9757</v>
      </c>
      <c r="P1321" t="n">
        <v>458</v>
      </c>
    </row>
    <row r="1322">
      <c r="A1322" t="inlineStr">
        <is>
          <t>NK</t>
        </is>
      </c>
      <c r="B1322" t="n">
        <v>2025</v>
      </c>
      <c r="C1322" t="n">
        <v>4</v>
      </c>
      <c r="D1322" t="n">
        <v>18303</v>
      </c>
      <c r="E1322" t="n">
        <v>81</v>
      </c>
      <c r="F1322" t="n">
        <v>27</v>
      </c>
      <c r="G1322" t="n">
        <v>18195</v>
      </c>
      <c r="H1322" t="n">
        <v>15100</v>
      </c>
      <c r="I1322" t="n">
        <v>42804</v>
      </c>
      <c r="J1322" t="n">
        <v>365327.0000000006</v>
      </c>
      <c r="K1322" t="n">
        <v>16860</v>
      </c>
      <c r="L1322" t="n">
        <v>61610</v>
      </c>
      <c r="M1322" t="n">
        <v>59143</v>
      </c>
      <c r="N1322" t="n">
        <v>103233</v>
      </c>
      <c r="O1322" t="n">
        <v>5274</v>
      </c>
      <c r="P1322" t="n">
        <v>625</v>
      </c>
    </row>
    <row r="1323">
      <c r="A1323" t="inlineStr">
        <is>
          <t>NK</t>
        </is>
      </c>
      <c r="B1323" t="n">
        <v>2025</v>
      </c>
      <c r="C1323" t="n">
        <v>5</v>
      </c>
      <c r="D1323" t="n">
        <v>17744</v>
      </c>
      <c r="E1323" t="n">
        <v>220</v>
      </c>
      <c r="F1323" t="n">
        <v>43</v>
      </c>
      <c r="G1323" t="n">
        <v>17481</v>
      </c>
      <c r="H1323" t="n">
        <v>13116</v>
      </c>
      <c r="I1323" t="n">
        <v>208554</v>
      </c>
      <c r="J1323" t="n">
        <v>317575.3</v>
      </c>
      <c r="K1323" t="n">
        <v>16525</v>
      </c>
      <c r="L1323" t="n">
        <v>71459</v>
      </c>
      <c r="M1323" t="n">
        <v>62719</v>
      </c>
      <c r="N1323" t="n">
        <v>196521</v>
      </c>
      <c r="O1323" t="n">
        <v>9745</v>
      </c>
      <c r="P1323" t="n">
        <v>942</v>
      </c>
    </row>
    <row r="1324">
      <c r="A1324" t="inlineStr">
        <is>
          <t>NK</t>
        </is>
      </c>
      <c r="B1324" t="n">
        <v>2025</v>
      </c>
      <c r="C1324" t="n">
        <v>6</v>
      </c>
      <c r="D1324" t="n">
        <v>17623</v>
      </c>
      <c r="E1324" t="n">
        <v>242</v>
      </c>
      <c r="F1324" t="n">
        <v>52</v>
      </c>
      <c r="G1324" t="n">
        <v>17329</v>
      </c>
      <c r="H1324" t="n">
        <v>13005</v>
      </c>
      <c r="I1324" t="n">
        <v>179441</v>
      </c>
      <c r="J1324" t="n">
        <v>320438.4000000008</v>
      </c>
      <c r="K1324" t="n">
        <v>16139</v>
      </c>
      <c r="L1324" t="n">
        <v>80248</v>
      </c>
      <c r="M1324" t="n">
        <v>81962</v>
      </c>
      <c r="N1324" t="n">
        <v>144348</v>
      </c>
      <c r="O1324" t="n">
        <v>12703</v>
      </c>
      <c r="P1324" t="n">
        <v>1597</v>
      </c>
    </row>
    <row r="1325">
      <c r="A1325" t="inlineStr">
        <is>
          <t>NK</t>
        </is>
      </c>
      <c r="B1325" t="n">
        <v>2025</v>
      </c>
      <c r="C1325" t="n">
        <v>7</v>
      </c>
      <c r="D1325" t="n">
        <v>17307</v>
      </c>
      <c r="E1325" t="n">
        <v>329</v>
      </c>
      <c r="F1325" t="n">
        <v>54</v>
      </c>
      <c r="G1325" t="n">
        <v>16924</v>
      </c>
      <c r="H1325" t="n">
        <v>12711</v>
      </c>
      <c r="I1325" t="n">
        <v>184612</v>
      </c>
      <c r="J1325" t="n">
        <v>317684.1999999999</v>
      </c>
      <c r="K1325" t="n">
        <v>15725</v>
      </c>
      <c r="L1325" t="n">
        <v>76338</v>
      </c>
      <c r="M1325" t="n">
        <v>76716</v>
      </c>
      <c r="N1325" t="n">
        <v>160830</v>
      </c>
      <c r="O1325" t="n">
        <v>15239</v>
      </c>
      <c r="P1325" t="n">
        <v>908</v>
      </c>
    </row>
    <row r="1326">
      <c r="A1326" t="inlineStr">
        <is>
          <t>NK</t>
        </is>
      </c>
      <c r="B1326" t="n">
        <v>2025</v>
      </c>
      <c r="C1326" t="n">
        <v>8</v>
      </c>
      <c r="D1326" t="n">
        <v>17155</v>
      </c>
      <c r="E1326" t="n">
        <v>93</v>
      </c>
      <c r="F1326" t="n">
        <v>63</v>
      </c>
      <c r="G1326" t="n">
        <v>16999</v>
      </c>
      <c r="H1326" t="n">
        <v>13185</v>
      </c>
      <c r="I1326" t="n">
        <v>135433</v>
      </c>
      <c r="J1326" t="n">
        <v>296230.1000000011</v>
      </c>
      <c r="K1326" t="n">
        <v>15487</v>
      </c>
      <c r="L1326" t="n">
        <v>79394</v>
      </c>
      <c r="M1326" t="n">
        <v>65263</v>
      </c>
      <c r="N1326" t="n">
        <v>121159</v>
      </c>
      <c r="O1326" t="n">
        <v>15901</v>
      </c>
      <c r="P1326" t="n">
        <v>931</v>
      </c>
    </row>
    <row r="1327">
      <c r="A1327" t="inlineStr">
        <is>
          <t>NK</t>
        </is>
      </c>
      <c r="B1327" t="n">
        <v>2025</v>
      </c>
      <c r="C1327" t="n">
        <v>9</v>
      </c>
      <c r="D1327" t="n">
        <v>15058</v>
      </c>
      <c r="E1327" t="n">
        <v>130</v>
      </c>
      <c r="F1327" t="n">
        <v>44</v>
      </c>
      <c r="G1327" t="n">
        <v>14884</v>
      </c>
      <c r="H1327" t="n">
        <v>12526</v>
      </c>
      <c r="I1327" t="n">
        <v>14191</v>
      </c>
      <c r="J1327" t="n">
        <v>307441.9000000001</v>
      </c>
      <c r="K1327" t="n">
        <v>13815</v>
      </c>
      <c r="L1327" t="n">
        <v>55447</v>
      </c>
      <c r="M1327" t="n">
        <v>58244</v>
      </c>
      <c r="N1327" t="n">
        <v>65566</v>
      </c>
      <c r="O1327" t="n">
        <v>6925</v>
      </c>
      <c r="P1327" t="n">
        <v>211</v>
      </c>
    </row>
    <row r="1328">
      <c r="A1328" t="inlineStr">
        <is>
          <t>NK</t>
        </is>
      </c>
      <c r="B1328" t="n">
        <v>2025</v>
      </c>
      <c r="C1328" t="n">
        <v>10</v>
      </c>
      <c r="D1328" t="n">
        <v>14128</v>
      </c>
      <c r="E1328" t="n">
        <v>156</v>
      </c>
      <c r="F1328" t="n">
        <v>14</v>
      </c>
      <c r="G1328" t="n">
        <v>13958</v>
      </c>
      <c r="H1328" t="n">
        <v>11231</v>
      </c>
      <c r="I1328" t="n">
        <v>66604</v>
      </c>
      <c r="J1328" t="n">
        <v>266885.2999999998</v>
      </c>
      <c r="K1328" t="n">
        <v>13307</v>
      </c>
      <c r="L1328" t="n">
        <v>44459</v>
      </c>
      <c r="M1328" t="n">
        <v>58315</v>
      </c>
      <c r="N1328" t="n">
        <v>82842</v>
      </c>
      <c r="O1328" t="n">
        <v>2224</v>
      </c>
      <c r="P1328" t="n">
        <v>535</v>
      </c>
    </row>
    <row r="1329">
      <c r="A1329" t="inlineStr">
        <is>
          <t>NK</t>
        </is>
      </c>
      <c r="B1329" t="n">
        <v>2025</v>
      </c>
      <c r="C1329" t="n">
        <v>11</v>
      </c>
      <c r="D1329" t="n">
        <v>11793</v>
      </c>
      <c r="E1329" t="n">
        <v>270</v>
      </c>
      <c r="F1329" t="n">
        <v>10</v>
      </c>
      <c r="G1329" t="n">
        <v>11513</v>
      </c>
      <c r="H1329" t="n">
        <v>9048</v>
      </c>
      <c r="I1329" t="n">
        <v>83957</v>
      </c>
      <c r="J1329" t="n">
        <v>238240.7999999995</v>
      </c>
      <c r="K1329" t="n">
        <v>11042</v>
      </c>
      <c r="L1329" t="n">
        <v>46472</v>
      </c>
      <c r="M1329" t="n">
        <v>46469</v>
      </c>
      <c r="N1329" t="n">
        <v>94852</v>
      </c>
      <c r="O1329" t="n">
        <v>2171</v>
      </c>
      <c r="P1329" t="n">
        <v>539</v>
      </c>
    </row>
    <row r="1330">
      <c r="A1330" t="inlineStr">
        <is>
          <t>NK</t>
        </is>
      </c>
      <c r="B1330" t="n">
        <v>2025</v>
      </c>
      <c r="C1330" t="n">
        <v>12</v>
      </c>
      <c r="D1330" t="n">
        <v>11800</v>
      </c>
      <c r="E1330" t="n">
        <v>440</v>
      </c>
      <c r="F1330" t="n">
        <v>16</v>
      </c>
      <c r="G1330" t="n">
        <v>11344</v>
      </c>
      <c r="H1330" t="n">
        <v>7523</v>
      </c>
      <c r="I1330" t="n">
        <v>219884</v>
      </c>
      <c r="J1330" t="n">
        <v>240721.9999999998</v>
      </c>
      <c r="K1330" t="n">
        <v>10890</v>
      </c>
      <c r="L1330" t="n">
        <v>93646</v>
      </c>
      <c r="M1330" t="n">
        <v>91619</v>
      </c>
      <c r="N1330" t="n">
        <v>106157</v>
      </c>
      <c r="O1330" t="n">
        <v>4771</v>
      </c>
      <c r="P1330" t="n">
        <v>1306</v>
      </c>
    </row>
    <row r="1331">
      <c r="A1331" t="inlineStr">
        <is>
          <t>NK</t>
        </is>
      </c>
      <c r="B1331" t="n">
        <v>2026</v>
      </c>
      <c r="C1331" t="n">
        <v>1</v>
      </c>
      <c r="D1331" t="n">
        <v>11915</v>
      </c>
      <c r="E1331" t="n">
        <v>857</v>
      </c>
      <c r="F1331" t="n">
        <v>11</v>
      </c>
      <c r="G1331" t="n">
        <v>11047</v>
      </c>
      <c r="H1331" t="n">
        <v>7940</v>
      </c>
      <c r="I1331" t="n">
        <v>114910</v>
      </c>
      <c r="J1331" t="n">
        <v>254008.8000000012</v>
      </c>
      <c r="K1331" t="n">
        <v>11187</v>
      </c>
      <c r="L1331" t="n">
        <v>70963</v>
      </c>
      <c r="M1331" t="n">
        <v>72937</v>
      </c>
      <c r="N1331" t="n">
        <v>62377</v>
      </c>
      <c r="O1331" t="n">
        <v>3639</v>
      </c>
      <c r="P1331" t="n">
        <v>498</v>
      </c>
    </row>
    <row r="1332">
      <c r="A1332" t="inlineStr">
        <is>
          <t>NK</t>
        </is>
      </c>
      <c r="B1332" t="n">
        <v>2026</v>
      </c>
      <c r="C1332" t="n">
        <v>2</v>
      </c>
      <c r="D1332" t="n">
        <v>11512</v>
      </c>
      <c r="E1332" t="n">
        <v>921</v>
      </c>
      <c r="F1332" t="n">
        <v>12</v>
      </c>
      <c r="G1332" t="n">
        <v>10579</v>
      </c>
      <c r="H1332" t="n">
        <v>7228</v>
      </c>
      <c r="I1332" t="n">
        <v>163347</v>
      </c>
      <c r="J1332" t="n">
        <v>242919.3000000002</v>
      </c>
      <c r="K1332" t="n">
        <v>10796</v>
      </c>
      <c r="L1332" t="n">
        <v>83056</v>
      </c>
      <c r="M1332" t="n">
        <v>89323</v>
      </c>
      <c r="N1332" t="n">
        <v>67934</v>
      </c>
      <c r="O1332" t="n">
        <v>2631</v>
      </c>
      <c r="P1332" t="n">
        <v>422</v>
      </c>
    </row>
    <row r="1333">
      <c r="A1333" t="inlineStr">
        <is>
          <t>NK</t>
        </is>
      </c>
      <c r="B1333" t="n">
        <v>2026</v>
      </c>
      <c r="C1333" t="n">
        <v>3</v>
      </c>
      <c r="D1333" t="n">
        <v>12952</v>
      </c>
      <c r="E1333" t="n">
        <v>1345</v>
      </c>
      <c r="F1333" t="n">
        <v>32</v>
      </c>
      <c r="G1333" t="n">
        <v>11575</v>
      </c>
      <c r="H1333" t="n">
        <v>6272</v>
      </c>
      <c r="I1333" t="n">
        <v>374521</v>
      </c>
      <c r="J1333" t="n">
        <v>239937.8000000006</v>
      </c>
      <c r="K1333" t="n">
        <v>12283</v>
      </c>
      <c r="L1333" t="n">
        <v>138176</v>
      </c>
      <c r="M1333" t="n">
        <v>133621</v>
      </c>
      <c r="N1333" t="n">
        <v>149308</v>
      </c>
      <c r="O1333" t="n">
        <v>4964</v>
      </c>
      <c r="P1333" t="n">
        <v>1152</v>
      </c>
    </row>
    <row r="1334">
      <c r="A1334" t="inlineStr">
        <is>
          <t>NK</t>
        </is>
      </c>
      <c r="B1334" t="n">
        <v>2026</v>
      </c>
      <c r="C1334" t="n">
        <v>4</v>
      </c>
      <c r="D1334" t="n">
        <v>10469</v>
      </c>
      <c r="E1334" t="n">
        <v>352</v>
      </c>
      <c r="F1334" t="n">
        <v>21</v>
      </c>
      <c r="G1334" t="n">
        <v>10096</v>
      </c>
      <c r="H1334" t="n">
        <v>6598</v>
      </c>
      <c r="I1334" t="n">
        <v>193027</v>
      </c>
      <c r="J1334" t="n">
        <v>177463.5000000008</v>
      </c>
      <c r="K1334" t="n">
        <v>9885</v>
      </c>
      <c r="L1334" t="n">
        <v>70900</v>
      </c>
      <c r="M1334" t="n">
        <v>79118</v>
      </c>
      <c r="N1334" t="n">
        <v>88077</v>
      </c>
      <c r="O1334" t="n">
        <v>3246</v>
      </c>
      <c r="P1334" t="n">
        <v>419</v>
      </c>
    </row>
    <row r="1335">
      <c r="A1335" t="inlineStr">
        <is>
          <t>NK</t>
        </is>
      </c>
      <c r="B1335" t="n">
        <v>2026</v>
      </c>
      <c r="C1335" t="n">
        <v>5</v>
      </c>
      <c r="D1335" t="n">
        <v>354</v>
      </c>
      <c r="E1335" t="n">
        <v>50</v>
      </c>
      <c r="F1335" t="n">
        <v>0</v>
      </c>
      <c r="G1335" t="n">
        <v>304</v>
      </c>
      <c r="H1335" t="n">
        <v>208</v>
      </c>
      <c r="I1335" t="n">
        <v>5140</v>
      </c>
      <c r="J1335" t="n">
        <v>5806.200000000001</v>
      </c>
      <c r="K1335" t="n">
        <v>329</v>
      </c>
      <c r="L1335" t="n">
        <v>2786</v>
      </c>
      <c r="M1335" t="n">
        <v>993</v>
      </c>
      <c r="N1335" t="n">
        <v>2736</v>
      </c>
      <c r="O1335" t="n">
        <v>35</v>
      </c>
      <c r="P1335" t="n">
        <v>50</v>
      </c>
    </row>
    <row r="1336">
      <c r="A1336" t="inlineStr">
        <is>
          <t>OH</t>
        </is>
      </c>
      <c r="B1336" t="n">
        <v>2018</v>
      </c>
      <c r="C1336" t="n">
        <v>1</v>
      </c>
      <c r="D1336" t="n">
        <v>22210</v>
      </c>
      <c r="E1336" t="n">
        <v>1553</v>
      </c>
      <c r="F1336" t="n">
        <v>56</v>
      </c>
      <c r="G1336" t="n">
        <v>20601</v>
      </c>
      <c r="H1336" t="n">
        <v>15594</v>
      </c>
      <c r="I1336" t="n">
        <v>219325</v>
      </c>
      <c r="J1336" t="n">
        <v>328854.5000000009</v>
      </c>
      <c r="K1336" t="n">
        <v>22106</v>
      </c>
      <c r="L1336" t="n">
        <v>160979</v>
      </c>
      <c r="M1336" t="n">
        <v>90271</v>
      </c>
      <c r="N1336" t="n">
        <v>46462</v>
      </c>
      <c r="O1336" t="n">
        <v>16394</v>
      </c>
      <c r="P1336" t="n">
        <v>680</v>
      </c>
    </row>
    <row r="1337">
      <c r="A1337" t="inlineStr">
        <is>
          <t>OH</t>
        </is>
      </c>
      <c r="B1337" t="n">
        <v>2018</v>
      </c>
      <c r="C1337" t="n">
        <v>2</v>
      </c>
      <c r="D1337" t="n">
        <v>20546</v>
      </c>
      <c r="E1337" t="n">
        <v>550</v>
      </c>
      <c r="F1337" t="n">
        <v>77</v>
      </c>
      <c r="G1337" t="n">
        <v>19919</v>
      </c>
      <c r="H1337" t="n">
        <v>14813</v>
      </c>
      <c r="I1337" t="n">
        <v>248873</v>
      </c>
      <c r="J1337" t="n">
        <v>304266.2000000036</v>
      </c>
      <c r="K1337" t="n">
        <v>20454</v>
      </c>
      <c r="L1337" t="n">
        <v>189805</v>
      </c>
      <c r="M1337" t="n">
        <v>77890</v>
      </c>
      <c r="N1337" t="n">
        <v>41751</v>
      </c>
      <c r="O1337" t="n">
        <v>27006</v>
      </c>
      <c r="P1337" t="n">
        <v>625</v>
      </c>
    </row>
    <row r="1338">
      <c r="A1338" t="inlineStr">
        <is>
          <t>OH</t>
        </is>
      </c>
      <c r="B1338" t="n">
        <v>2018</v>
      </c>
      <c r="C1338" t="n">
        <v>3</v>
      </c>
      <c r="D1338" t="n">
        <v>23295</v>
      </c>
      <c r="E1338" t="n">
        <v>1231</v>
      </c>
      <c r="F1338" t="n">
        <v>43</v>
      </c>
      <c r="G1338" t="n">
        <v>22021</v>
      </c>
      <c r="H1338" t="n">
        <v>17577</v>
      </c>
      <c r="I1338" t="n">
        <v>123412</v>
      </c>
      <c r="J1338" t="n">
        <v>365739.5999999999</v>
      </c>
      <c r="K1338" t="n">
        <v>23094</v>
      </c>
      <c r="L1338" t="n">
        <v>116535</v>
      </c>
      <c r="M1338" t="n">
        <v>76193</v>
      </c>
      <c r="N1338" t="n">
        <v>33568</v>
      </c>
      <c r="O1338" t="n">
        <v>8570</v>
      </c>
      <c r="P1338" t="n">
        <v>259</v>
      </c>
    </row>
    <row r="1339">
      <c r="A1339" t="inlineStr">
        <is>
          <t>OH</t>
        </is>
      </c>
      <c r="B1339" t="n">
        <v>2018</v>
      </c>
      <c r="C1339" t="n">
        <v>4</v>
      </c>
      <c r="D1339" t="n">
        <v>23303</v>
      </c>
      <c r="E1339" t="n">
        <v>454</v>
      </c>
      <c r="F1339" t="n">
        <v>60</v>
      </c>
      <c r="G1339" t="n">
        <v>22789</v>
      </c>
      <c r="H1339" t="n">
        <v>18496</v>
      </c>
      <c r="I1339" t="n">
        <v>146156</v>
      </c>
      <c r="J1339" t="n">
        <v>344034.299999999</v>
      </c>
      <c r="K1339" t="n">
        <v>23087</v>
      </c>
      <c r="L1339" t="n">
        <v>129289</v>
      </c>
      <c r="M1339" t="n">
        <v>72821</v>
      </c>
      <c r="N1339" t="n">
        <v>40138</v>
      </c>
      <c r="O1339" t="n">
        <v>10526</v>
      </c>
      <c r="P1339" t="n">
        <v>689</v>
      </c>
    </row>
    <row r="1340">
      <c r="A1340" t="inlineStr">
        <is>
          <t>OH</t>
        </is>
      </c>
      <c r="B1340" t="n">
        <v>2018</v>
      </c>
      <c r="C1340" t="n">
        <v>5</v>
      </c>
      <c r="D1340" t="n">
        <v>23869</v>
      </c>
      <c r="E1340" t="n">
        <v>557</v>
      </c>
      <c r="F1340" t="n">
        <v>82</v>
      </c>
      <c r="G1340" t="n">
        <v>23230</v>
      </c>
      <c r="H1340" t="n">
        <v>17900</v>
      </c>
      <c r="I1340" t="n">
        <v>252684</v>
      </c>
      <c r="J1340" t="n">
        <v>349276.7999999989</v>
      </c>
      <c r="K1340" t="n">
        <v>23506</v>
      </c>
      <c r="L1340" t="n">
        <v>182650</v>
      </c>
      <c r="M1340" t="n">
        <v>87887</v>
      </c>
      <c r="N1340" t="n">
        <v>63966</v>
      </c>
      <c r="O1340" t="n">
        <v>32139</v>
      </c>
      <c r="P1340" t="n">
        <v>457</v>
      </c>
    </row>
    <row r="1341">
      <c r="A1341" t="inlineStr">
        <is>
          <t>OH</t>
        </is>
      </c>
      <c r="B1341" t="n">
        <v>2018</v>
      </c>
      <c r="C1341" t="n">
        <v>6</v>
      </c>
      <c r="D1341" t="n">
        <v>23760</v>
      </c>
      <c r="E1341" t="n">
        <v>3300</v>
      </c>
      <c r="F1341" t="n">
        <v>63</v>
      </c>
      <c r="G1341" t="n">
        <v>20397</v>
      </c>
      <c r="H1341" t="n">
        <v>14648</v>
      </c>
      <c r="I1341" t="n">
        <v>383480</v>
      </c>
      <c r="J1341" t="n">
        <v>348927.8000000002</v>
      </c>
      <c r="K1341" t="n">
        <v>23600</v>
      </c>
      <c r="L1341" t="n">
        <v>218555</v>
      </c>
      <c r="M1341" t="n">
        <v>164448</v>
      </c>
      <c r="N1341" t="n">
        <v>60034</v>
      </c>
      <c r="O1341" t="n">
        <v>26287</v>
      </c>
      <c r="P1341" t="n">
        <v>434</v>
      </c>
    </row>
    <row r="1342">
      <c r="A1342" t="inlineStr">
        <is>
          <t>OH</t>
        </is>
      </c>
      <c r="B1342" t="n">
        <v>2018</v>
      </c>
      <c r="C1342" t="n">
        <v>7</v>
      </c>
      <c r="D1342" t="n">
        <v>24352</v>
      </c>
      <c r="E1342" t="n">
        <v>628</v>
      </c>
      <c r="F1342" t="n">
        <v>98</v>
      </c>
      <c r="G1342" t="n">
        <v>23626</v>
      </c>
      <c r="H1342" t="n">
        <v>18021</v>
      </c>
      <c r="I1342" t="n">
        <v>266917</v>
      </c>
      <c r="J1342" t="n">
        <v>366081.0000000015</v>
      </c>
      <c r="K1342" t="n">
        <v>24299</v>
      </c>
      <c r="L1342" t="n">
        <v>195943</v>
      </c>
      <c r="M1342" t="n">
        <v>85098</v>
      </c>
      <c r="N1342" t="n">
        <v>69855</v>
      </c>
      <c r="O1342" t="n">
        <v>36449</v>
      </c>
      <c r="P1342" t="n">
        <v>430</v>
      </c>
    </row>
    <row r="1343">
      <c r="A1343" t="inlineStr">
        <is>
          <t>OH</t>
        </is>
      </c>
      <c r="B1343" t="n">
        <v>2018</v>
      </c>
      <c r="C1343" t="n">
        <v>8</v>
      </c>
      <c r="D1343" t="n">
        <v>24387</v>
      </c>
      <c r="E1343" t="n">
        <v>555</v>
      </c>
      <c r="F1343" t="n">
        <v>75</v>
      </c>
      <c r="G1343" t="n">
        <v>23757</v>
      </c>
      <c r="H1343" t="n">
        <v>18035</v>
      </c>
      <c r="I1343" t="n">
        <v>265733</v>
      </c>
      <c r="J1343" t="n">
        <v>380032.6000000001</v>
      </c>
      <c r="K1343" t="n">
        <v>24256</v>
      </c>
      <c r="L1343" t="n">
        <v>195733</v>
      </c>
      <c r="M1343" t="n">
        <v>90980</v>
      </c>
      <c r="N1343" t="n">
        <v>82306</v>
      </c>
      <c r="O1343" t="n">
        <v>38347</v>
      </c>
      <c r="P1343" t="n">
        <v>213</v>
      </c>
    </row>
    <row r="1344">
      <c r="A1344" t="inlineStr">
        <is>
          <t>OH</t>
        </is>
      </c>
      <c r="B1344" t="n">
        <v>2018</v>
      </c>
      <c r="C1344" t="n">
        <v>9</v>
      </c>
      <c r="D1344" t="n">
        <v>22939</v>
      </c>
      <c r="E1344" t="n">
        <v>1224</v>
      </c>
      <c r="F1344" t="n">
        <v>73</v>
      </c>
      <c r="G1344" t="n">
        <v>21642</v>
      </c>
      <c r="H1344" t="n">
        <v>17846</v>
      </c>
      <c r="I1344" t="n">
        <v>79425</v>
      </c>
      <c r="J1344" t="n">
        <v>367523.8</v>
      </c>
      <c r="K1344" t="n">
        <v>22819</v>
      </c>
      <c r="L1344" t="n">
        <v>119228</v>
      </c>
      <c r="M1344" t="n">
        <v>59692</v>
      </c>
      <c r="N1344" t="n">
        <v>46224</v>
      </c>
      <c r="O1344" t="n">
        <v>20828</v>
      </c>
      <c r="P1344" t="n">
        <v>239</v>
      </c>
    </row>
    <row r="1345">
      <c r="A1345" t="inlineStr">
        <is>
          <t>OH</t>
        </is>
      </c>
      <c r="B1345" t="n">
        <v>2018</v>
      </c>
      <c r="C1345" t="n">
        <v>10</v>
      </c>
      <c r="D1345" t="n">
        <v>23969</v>
      </c>
      <c r="E1345" t="n">
        <v>441</v>
      </c>
      <c r="F1345" t="n">
        <v>69</v>
      </c>
      <c r="G1345" t="n">
        <v>23459</v>
      </c>
      <c r="H1345" t="n">
        <v>20250</v>
      </c>
      <c r="I1345" t="n">
        <v>15425</v>
      </c>
      <c r="J1345" t="n">
        <v>388586.0000000013</v>
      </c>
      <c r="K1345" t="n">
        <v>23949</v>
      </c>
      <c r="L1345" t="n">
        <v>96207</v>
      </c>
      <c r="M1345" t="n">
        <v>65835</v>
      </c>
      <c r="N1345" t="n">
        <v>29475</v>
      </c>
      <c r="O1345" t="n">
        <v>6540</v>
      </c>
      <c r="P1345" t="n">
        <v>173</v>
      </c>
    </row>
    <row r="1346">
      <c r="A1346" t="inlineStr">
        <is>
          <t>OH</t>
        </is>
      </c>
      <c r="B1346" t="n">
        <v>2018</v>
      </c>
      <c r="C1346" t="n">
        <v>11</v>
      </c>
      <c r="D1346" t="n">
        <v>22766</v>
      </c>
      <c r="E1346" t="n">
        <v>358</v>
      </c>
      <c r="F1346" t="n">
        <v>55</v>
      </c>
      <c r="G1346" t="n">
        <v>22353</v>
      </c>
      <c r="H1346" t="n">
        <v>18330</v>
      </c>
      <c r="I1346" t="n">
        <v>119663</v>
      </c>
      <c r="J1346" t="n">
        <v>382866.7999999993</v>
      </c>
      <c r="K1346" t="n">
        <v>22490</v>
      </c>
      <c r="L1346" t="n">
        <v>137345</v>
      </c>
      <c r="M1346" t="n">
        <v>72291</v>
      </c>
      <c r="N1346" t="n">
        <v>36924</v>
      </c>
      <c r="O1346" t="n">
        <v>7803</v>
      </c>
      <c r="P1346" t="n">
        <v>322</v>
      </c>
    </row>
    <row r="1347">
      <c r="A1347" t="inlineStr">
        <is>
          <t>OH</t>
        </is>
      </c>
      <c r="B1347" t="n">
        <v>2018</v>
      </c>
      <c r="C1347" t="n">
        <v>12</v>
      </c>
      <c r="D1347" t="n">
        <v>23061</v>
      </c>
      <c r="E1347" t="n">
        <v>1019</v>
      </c>
      <c r="F1347" t="n">
        <v>52</v>
      </c>
      <c r="G1347" t="n">
        <v>21990</v>
      </c>
      <c r="H1347" t="n">
        <v>18114</v>
      </c>
      <c r="I1347" t="n">
        <v>68263</v>
      </c>
      <c r="J1347" t="n">
        <v>370870.6000000018</v>
      </c>
      <c r="K1347" t="n">
        <v>22826</v>
      </c>
      <c r="L1347" t="n">
        <v>109234</v>
      </c>
      <c r="M1347" t="n">
        <v>67195</v>
      </c>
      <c r="N1347" t="n">
        <v>33860</v>
      </c>
      <c r="O1347" t="n">
        <v>9239</v>
      </c>
      <c r="P1347" t="n">
        <v>552</v>
      </c>
    </row>
    <row r="1348">
      <c r="A1348" t="inlineStr">
        <is>
          <t>OH</t>
        </is>
      </c>
      <c r="B1348" t="n">
        <v>2019</v>
      </c>
      <c r="C1348" t="n">
        <v>1</v>
      </c>
      <c r="D1348" t="n">
        <v>23169</v>
      </c>
      <c r="E1348" t="n">
        <v>751</v>
      </c>
      <c r="F1348" t="n">
        <v>49</v>
      </c>
      <c r="G1348" t="n">
        <v>22369</v>
      </c>
      <c r="H1348" t="n">
        <v>18894</v>
      </c>
      <c r="I1348" t="n">
        <v>36626</v>
      </c>
      <c r="J1348" t="n">
        <v>396109.8000000005</v>
      </c>
      <c r="K1348" t="n">
        <v>23067</v>
      </c>
      <c r="L1348" t="n">
        <v>93702</v>
      </c>
      <c r="M1348" t="n">
        <v>64567</v>
      </c>
      <c r="N1348" t="n">
        <v>34598</v>
      </c>
      <c r="O1348" t="n">
        <v>10881</v>
      </c>
      <c r="P1348" t="n">
        <v>371</v>
      </c>
    </row>
    <row r="1349">
      <c r="A1349" t="inlineStr">
        <is>
          <t>OH</t>
        </is>
      </c>
      <c r="B1349" t="n">
        <v>2019</v>
      </c>
      <c r="C1349" t="n">
        <v>2</v>
      </c>
      <c r="D1349" t="n">
        <v>21465</v>
      </c>
      <c r="E1349" t="n">
        <v>1013</v>
      </c>
      <c r="F1349" t="n">
        <v>86</v>
      </c>
      <c r="G1349" t="n">
        <v>20366</v>
      </c>
      <c r="H1349" t="n">
        <v>16060</v>
      </c>
      <c r="I1349" t="n">
        <v>143691</v>
      </c>
      <c r="J1349" t="n">
        <v>373968.600000001</v>
      </c>
      <c r="K1349" t="n">
        <v>21397</v>
      </c>
      <c r="L1349" t="n">
        <v>148694</v>
      </c>
      <c r="M1349" t="n">
        <v>81790</v>
      </c>
      <c r="N1349" t="n">
        <v>38731</v>
      </c>
      <c r="O1349" t="n">
        <v>14866</v>
      </c>
      <c r="P1349" t="n">
        <v>311</v>
      </c>
    </row>
    <row r="1350">
      <c r="A1350" t="inlineStr">
        <is>
          <t>OH</t>
        </is>
      </c>
      <c r="B1350" t="n">
        <v>2019</v>
      </c>
      <c r="C1350" t="n">
        <v>3</v>
      </c>
      <c r="D1350" t="n">
        <v>24446</v>
      </c>
      <c r="E1350" t="n">
        <v>414</v>
      </c>
      <c r="F1350" t="n">
        <v>41</v>
      </c>
      <c r="G1350" t="n">
        <v>23991</v>
      </c>
      <c r="H1350" t="n">
        <v>19933</v>
      </c>
      <c r="I1350" t="n">
        <v>73002</v>
      </c>
      <c r="J1350" t="n">
        <v>424249.9000000039</v>
      </c>
      <c r="K1350" t="n">
        <v>24382</v>
      </c>
      <c r="L1350" t="n">
        <v>118541</v>
      </c>
      <c r="M1350" t="n">
        <v>82703</v>
      </c>
      <c r="N1350" t="n">
        <v>30906</v>
      </c>
      <c r="O1350" t="n">
        <v>3466</v>
      </c>
      <c r="P1350" t="n">
        <v>384</v>
      </c>
    </row>
    <row r="1351">
      <c r="A1351" t="inlineStr">
        <is>
          <t>OH</t>
        </is>
      </c>
      <c r="B1351" t="n">
        <v>2019</v>
      </c>
      <c r="C1351" t="n">
        <v>4</v>
      </c>
      <c r="D1351" t="n">
        <v>23984</v>
      </c>
      <c r="E1351" t="n">
        <v>550</v>
      </c>
      <c r="F1351" t="n">
        <v>86</v>
      </c>
      <c r="G1351" t="n">
        <v>23348</v>
      </c>
      <c r="H1351" t="n">
        <v>18022</v>
      </c>
      <c r="I1351" t="n">
        <v>242031</v>
      </c>
      <c r="J1351" t="n">
        <v>415629.8000000032</v>
      </c>
      <c r="K1351" t="n">
        <v>23927</v>
      </c>
      <c r="L1351" t="n">
        <v>207302</v>
      </c>
      <c r="M1351" t="n">
        <v>83559</v>
      </c>
      <c r="N1351" t="n">
        <v>60550</v>
      </c>
      <c r="O1351" t="n">
        <v>34261</v>
      </c>
      <c r="P1351" t="n">
        <v>399</v>
      </c>
    </row>
    <row r="1352">
      <c r="A1352" t="inlineStr">
        <is>
          <t>OH</t>
        </is>
      </c>
      <c r="B1352" t="n">
        <v>2019</v>
      </c>
      <c r="C1352" t="n">
        <v>5</v>
      </c>
      <c r="D1352" t="n">
        <v>24783</v>
      </c>
      <c r="E1352" t="n">
        <v>523</v>
      </c>
      <c r="F1352" t="n">
        <v>78</v>
      </c>
      <c r="G1352" t="n">
        <v>24182</v>
      </c>
      <c r="H1352" t="n">
        <v>19907</v>
      </c>
      <c r="I1352" t="n">
        <v>140281</v>
      </c>
      <c r="J1352" t="n">
        <v>400561.4000000026</v>
      </c>
      <c r="K1352" t="n">
        <v>24508</v>
      </c>
      <c r="L1352" t="n">
        <v>144244</v>
      </c>
      <c r="M1352" t="n">
        <v>72830</v>
      </c>
      <c r="N1352" t="n">
        <v>59270</v>
      </c>
      <c r="O1352" t="n">
        <v>21808</v>
      </c>
      <c r="P1352" t="n">
        <v>299</v>
      </c>
    </row>
    <row r="1353">
      <c r="A1353" t="inlineStr">
        <is>
          <t>OH</t>
        </is>
      </c>
      <c r="B1353" t="n">
        <v>2019</v>
      </c>
      <c r="C1353" t="n">
        <v>6</v>
      </c>
      <c r="D1353" t="n">
        <v>24681</v>
      </c>
      <c r="E1353" t="n">
        <v>502</v>
      </c>
      <c r="F1353" t="n">
        <v>100</v>
      </c>
      <c r="G1353" t="n">
        <v>24079</v>
      </c>
      <c r="H1353" t="n">
        <v>18578</v>
      </c>
      <c r="I1353" t="n">
        <v>262446</v>
      </c>
      <c r="J1353" t="n">
        <v>396187.9999999988</v>
      </c>
      <c r="K1353" t="n">
        <v>24549</v>
      </c>
      <c r="L1353" t="n">
        <v>200474</v>
      </c>
      <c r="M1353" t="n">
        <v>95412</v>
      </c>
      <c r="N1353" t="n">
        <v>72088</v>
      </c>
      <c r="O1353" t="n">
        <v>26622</v>
      </c>
      <c r="P1353" t="n">
        <v>429</v>
      </c>
    </row>
    <row r="1354">
      <c r="A1354" t="inlineStr">
        <is>
          <t>OH</t>
        </is>
      </c>
      <c r="B1354" t="n">
        <v>2019</v>
      </c>
      <c r="C1354" t="n">
        <v>7</v>
      </c>
      <c r="D1354" t="n">
        <v>25249</v>
      </c>
      <c r="E1354" t="n">
        <v>846</v>
      </c>
      <c r="F1354" t="n">
        <v>88</v>
      </c>
      <c r="G1354" t="n">
        <v>24315</v>
      </c>
      <c r="H1354" t="n">
        <v>19153</v>
      </c>
      <c r="I1354" t="n">
        <v>228835</v>
      </c>
      <c r="J1354" t="n">
        <v>408610.0000000015</v>
      </c>
      <c r="K1354" t="n">
        <v>25176</v>
      </c>
      <c r="L1354" t="n">
        <v>189675</v>
      </c>
      <c r="M1354" t="n">
        <v>90346</v>
      </c>
      <c r="N1354" t="n">
        <v>73840</v>
      </c>
      <c r="O1354" t="n">
        <v>34236</v>
      </c>
      <c r="P1354" t="n">
        <v>315</v>
      </c>
    </row>
    <row r="1355">
      <c r="A1355" t="inlineStr">
        <is>
          <t>OH</t>
        </is>
      </c>
      <c r="B1355" t="n">
        <v>2019</v>
      </c>
      <c r="C1355" t="n">
        <v>8</v>
      </c>
      <c r="D1355" t="n">
        <v>25452</v>
      </c>
      <c r="E1355" t="n">
        <v>956</v>
      </c>
      <c r="F1355" t="n">
        <v>89</v>
      </c>
      <c r="G1355" t="n">
        <v>24407</v>
      </c>
      <c r="H1355" t="n">
        <v>18464</v>
      </c>
      <c r="I1355" t="n">
        <v>301999</v>
      </c>
      <c r="J1355" t="n">
        <v>423979.5000000005</v>
      </c>
      <c r="K1355" t="n">
        <v>25369</v>
      </c>
      <c r="L1355" t="n">
        <v>235576</v>
      </c>
      <c r="M1355" t="n">
        <v>96942</v>
      </c>
      <c r="N1355" t="n">
        <v>85683</v>
      </c>
      <c r="O1355" t="n">
        <v>41308</v>
      </c>
      <c r="P1355" t="n">
        <v>410</v>
      </c>
    </row>
    <row r="1356">
      <c r="A1356" t="inlineStr">
        <is>
          <t>OH</t>
        </is>
      </c>
      <c r="B1356" t="n">
        <v>2019</v>
      </c>
      <c r="C1356" t="n">
        <v>9</v>
      </c>
      <c r="D1356" t="n">
        <v>23683</v>
      </c>
      <c r="E1356" t="n">
        <v>475</v>
      </c>
      <c r="F1356" t="n">
        <v>47</v>
      </c>
      <c r="G1356" t="n">
        <v>23161</v>
      </c>
      <c r="H1356" t="n">
        <v>19791</v>
      </c>
      <c r="I1356" t="n">
        <v>17536</v>
      </c>
      <c r="J1356" t="n">
        <v>408637.3999999943</v>
      </c>
      <c r="K1356" t="n">
        <v>23613</v>
      </c>
      <c r="L1356" t="n">
        <v>118197</v>
      </c>
      <c r="M1356" t="n">
        <v>66768</v>
      </c>
      <c r="N1356" t="n">
        <v>28894</v>
      </c>
      <c r="O1356" t="n">
        <v>7572</v>
      </c>
      <c r="P1356" t="n">
        <v>284</v>
      </c>
    </row>
    <row r="1357">
      <c r="A1357" t="inlineStr">
        <is>
          <t>OH</t>
        </is>
      </c>
      <c r="B1357" t="n">
        <v>2019</v>
      </c>
      <c r="C1357" t="n">
        <v>10</v>
      </c>
      <c r="D1357" t="n">
        <v>24514</v>
      </c>
      <c r="E1357" t="n">
        <v>316</v>
      </c>
      <c r="F1357" t="n">
        <v>51</v>
      </c>
      <c r="G1357" t="n">
        <v>24147</v>
      </c>
      <c r="H1357" t="n">
        <v>19742</v>
      </c>
      <c r="I1357" t="n">
        <v>94695</v>
      </c>
      <c r="J1357" t="n">
        <v>428032.5999999951</v>
      </c>
      <c r="K1357" t="n">
        <v>24453</v>
      </c>
      <c r="L1357" t="n">
        <v>147683</v>
      </c>
      <c r="M1357" t="n">
        <v>71574</v>
      </c>
      <c r="N1357" t="n">
        <v>36361</v>
      </c>
      <c r="O1357" t="n">
        <v>8209</v>
      </c>
      <c r="P1357" t="n">
        <v>368</v>
      </c>
    </row>
    <row r="1358">
      <c r="A1358" t="inlineStr">
        <is>
          <t>OH</t>
        </is>
      </c>
      <c r="B1358" t="n">
        <v>2019</v>
      </c>
      <c r="C1358" t="n">
        <v>11</v>
      </c>
      <c r="D1358" t="n">
        <v>23602</v>
      </c>
      <c r="E1358" t="n">
        <v>207</v>
      </c>
      <c r="F1358" t="n">
        <v>44</v>
      </c>
      <c r="G1358" t="n">
        <v>23351</v>
      </c>
      <c r="H1358" t="n">
        <v>19214</v>
      </c>
      <c r="I1358" t="n">
        <v>92924</v>
      </c>
      <c r="J1358" t="n">
        <v>448546.7000000012</v>
      </c>
      <c r="K1358" t="n">
        <v>23370</v>
      </c>
      <c r="L1358" t="n">
        <v>157406</v>
      </c>
      <c r="M1358" t="n">
        <v>90459</v>
      </c>
      <c r="N1358" t="n">
        <v>28767</v>
      </c>
      <c r="O1358" t="n">
        <v>2781</v>
      </c>
      <c r="P1358" t="n">
        <v>460</v>
      </c>
    </row>
    <row r="1359">
      <c r="A1359" t="inlineStr">
        <is>
          <t>OH</t>
        </is>
      </c>
      <c r="B1359" t="n">
        <v>2019</v>
      </c>
      <c r="C1359" t="n">
        <v>12</v>
      </c>
      <c r="D1359" t="n">
        <v>24276</v>
      </c>
      <c r="E1359" t="n">
        <v>273</v>
      </c>
      <c r="F1359" t="n">
        <v>72</v>
      </c>
      <c r="G1359" t="n">
        <v>23931</v>
      </c>
      <c r="H1359" t="n">
        <v>18162</v>
      </c>
      <c r="I1359" t="n">
        <v>254749</v>
      </c>
      <c r="J1359" t="n">
        <v>411317.6000000007</v>
      </c>
      <c r="K1359" t="n">
        <v>23831</v>
      </c>
      <c r="L1359" t="n">
        <v>220241</v>
      </c>
      <c r="M1359" t="n">
        <v>101718</v>
      </c>
      <c r="N1359" t="n">
        <v>58039</v>
      </c>
      <c r="O1359" t="n">
        <v>12629</v>
      </c>
      <c r="P1359" t="n">
        <v>349</v>
      </c>
    </row>
    <row r="1360">
      <c r="A1360" t="inlineStr">
        <is>
          <t>OH</t>
        </is>
      </c>
      <c r="B1360" t="n">
        <v>2020</v>
      </c>
      <c r="C1360" t="n">
        <v>1</v>
      </c>
      <c r="D1360" t="n">
        <v>24309</v>
      </c>
      <c r="E1360" t="n">
        <v>262</v>
      </c>
      <c r="F1360" t="n">
        <v>48</v>
      </c>
      <c r="G1360" t="n">
        <v>23999</v>
      </c>
      <c r="H1360" t="n">
        <v>18833</v>
      </c>
      <c r="I1360" t="n">
        <v>187887</v>
      </c>
      <c r="J1360" t="n">
        <v>437686.3000000028</v>
      </c>
      <c r="K1360" t="n">
        <v>24151</v>
      </c>
      <c r="L1360" t="n">
        <v>188908</v>
      </c>
      <c r="M1360" t="n">
        <v>106803</v>
      </c>
      <c r="N1360" t="n">
        <v>44495</v>
      </c>
      <c r="O1360" t="n">
        <v>8465</v>
      </c>
      <c r="P1360" t="n">
        <v>488</v>
      </c>
    </row>
    <row r="1361">
      <c r="A1361" t="inlineStr">
        <is>
          <t>OH</t>
        </is>
      </c>
      <c r="B1361" t="n">
        <v>2020</v>
      </c>
      <c r="C1361" t="n">
        <v>2</v>
      </c>
      <c r="D1361" t="n">
        <v>22902</v>
      </c>
      <c r="E1361" t="n">
        <v>1051</v>
      </c>
      <c r="F1361" t="n">
        <v>94</v>
      </c>
      <c r="G1361" t="n">
        <v>21757</v>
      </c>
      <c r="H1361" t="n">
        <v>15526</v>
      </c>
      <c r="I1361" t="n">
        <v>386065</v>
      </c>
      <c r="J1361" t="n">
        <v>421536.9000000024</v>
      </c>
      <c r="K1361" t="n">
        <v>22712</v>
      </c>
      <c r="L1361" t="n">
        <v>300190</v>
      </c>
      <c r="M1361" t="n">
        <v>128053</v>
      </c>
      <c r="N1361" t="n">
        <v>66631</v>
      </c>
      <c r="O1361" t="n">
        <v>23382</v>
      </c>
      <c r="P1361" t="n">
        <v>241</v>
      </c>
    </row>
    <row r="1362">
      <c r="A1362" t="inlineStr">
        <is>
          <t>OH</t>
        </is>
      </c>
      <c r="B1362" t="n">
        <v>2020</v>
      </c>
      <c r="C1362" t="n">
        <v>3</v>
      </c>
      <c r="D1362" t="n">
        <v>25215</v>
      </c>
      <c r="E1362" t="n">
        <v>3585</v>
      </c>
      <c r="F1362" t="n">
        <v>36</v>
      </c>
      <c r="G1362" t="n">
        <v>21594</v>
      </c>
      <c r="H1362" t="n">
        <v>18333</v>
      </c>
      <c r="I1362" t="n">
        <v>-4417</v>
      </c>
      <c r="J1362" t="n">
        <v>446286.2000000062</v>
      </c>
      <c r="K1362" t="n">
        <v>25004</v>
      </c>
      <c r="L1362" t="n">
        <v>105478</v>
      </c>
      <c r="M1362" t="n">
        <v>67341</v>
      </c>
      <c r="N1362" t="n">
        <v>30107</v>
      </c>
      <c r="O1362" t="n">
        <v>2976</v>
      </c>
      <c r="P1362" t="n">
        <v>214</v>
      </c>
    </row>
    <row r="1363">
      <c r="A1363" t="inlineStr">
        <is>
          <t>OH</t>
        </is>
      </c>
      <c r="B1363" t="n">
        <v>2020</v>
      </c>
      <c r="C1363" t="n">
        <v>4</v>
      </c>
      <c r="D1363" t="n">
        <v>18155</v>
      </c>
      <c r="E1363" t="n">
        <v>8657</v>
      </c>
      <c r="F1363" t="n">
        <v>10</v>
      </c>
      <c r="G1363" t="n">
        <v>9488</v>
      </c>
      <c r="H1363" t="n">
        <v>8984</v>
      </c>
      <c r="I1363" t="n">
        <v>-153794</v>
      </c>
      <c r="J1363" t="n">
        <v>336944.0000000009</v>
      </c>
      <c r="K1363" t="n">
        <v>18009</v>
      </c>
      <c r="L1363" t="n">
        <v>8658</v>
      </c>
      <c r="M1363" t="n">
        <v>22897</v>
      </c>
      <c r="N1363" t="n">
        <v>2992</v>
      </c>
      <c r="O1363" t="n">
        <v>2103</v>
      </c>
      <c r="P1363" t="n">
        <v>195</v>
      </c>
    </row>
    <row r="1364">
      <c r="A1364" t="inlineStr">
        <is>
          <t>OH</t>
        </is>
      </c>
      <c r="B1364" t="n">
        <v>2020</v>
      </c>
      <c r="C1364" t="n">
        <v>5</v>
      </c>
      <c r="D1364" t="n">
        <v>8678</v>
      </c>
      <c r="E1364" t="n">
        <v>135</v>
      </c>
      <c r="F1364" t="n">
        <v>15</v>
      </c>
      <c r="G1364" t="n">
        <v>8528</v>
      </c>
      <c r="H1364" t="n">
        <v>8063</v>
      </c>
      <c r="I1364" t="n">
        <v>-115316</v>
      </c>
      <c r="J1364" t="n">
        <v>158964.0999999993</v>
      </c>
      <c r="K1364" t="n">
        <v>8563</v>
      </c>
      <c r="L1364" t="n">
        <v>7963</v>
      </c>
      <c r="M1364" t="n">
        <v>17368</v>
      </c>
      <c r="N1364" t="n">
        <v>2425</v>
      </c>
      <c r="O1364" t="n">
        <v>1953</v>
      </c>
      <c r="P1364" t="n">
        <v>95</v>
      </c>
    </row>
    <row r="1365">
      <c r="A1365" t="inlineStr">
        <is>
          <t>OH</t>
        </is>
      </c>
      <c r="B1365" t="n">
        <v>2020</v>
      </c>
      <c r="C1365" t="n">
        <v>6</v>
      </c>
      <c r="D1365" t="n">
        <v>9330</v>
      </c>
      <c r="E1365" t="n">
        <v>21</v>
      </c>
      <c r="F1365" t="n">
        <v>27</v>
      </c>
      <c r="G1365" t="n">
        <v>9282</v>
      </c>
      <c r="H1365" t="n">
        <v>8552</v>
      </c>
      <c r="I1365" t="n">
        <v>-57768</v>
      </c>
      <c r="J1365" t="n">
        <v>132321.6999999997</v>
      </c>
      <c r="K1365" t="n">
        <v>9305</v>
      </c>
      <c r="L1365" t="n">
        <v>15639</v>
      </c>
      <c r="M1365" t="n">
        <v>20318</v>
      </c>
      <c r="N1365" t="n">
        <v>5742</v>
      </c>
      <c r="O1365" t="n">
        <v>5275</v>
      </c>
      <c r="P1365" t="n">
        <v>179</v>
      </c>
    </row>
    <row r="1366">
      <c r="A1366" t="inlineStr">
        <is>
          <t>OH</t>
        </is>
      </c>
      <c r="B1366" t="n">
        <v>2020</v>
      </c>
      <c r="C1366" t="n">
        <v>7</v>
      </c>
      <c r="D1366" t="n">
        <v>13932</v>
      </c>
      <c r="E1366" t="n">
        <v>33</v>
      </c>
      <c r="F1366" t="n">
        <v>56</v>
      </c>
      <c r="G1366" t="n">
        <v>13843</v>
      </c>
      <c r="H1366" t="n">
        <v>11961</v>
      </c>
      <c r="I1366" t="n">
        <v>30055</v>
      </c>
      <c r="J1366" t="n">
        <v>192976.9999999998</v>
      </c>
      <c r="K1366" t="n">
        <v>13804</v>
      </c>
      <c r="L1366" t="n">
        <v>47745</v>
      </c>
      <c r="M1366" t="n">
        <v>36074</v>
      </c>
      <c r="N1366" t="n">
        <v>30317</v>
      </c>
      <c r="O1366" t="n">
        <v>27856</v>
      </c>
      <c r="P1366" t="n">
        <v>289</v>
      </c>
    </row>
    <row r="1367">
      <c r="A1367" t="inlineStr">
        <is>
          <t>OH</t>
        </is>
      </c>
      <c r="B1367" t="n">
        <v>2020</v>
      </c>
      <c r="C1367" t="n">
        <v>8</v>
      </c>
      <c r="D1367" t="n">
        <v>14671</v>
      </c>
      <c r="E1367" t="n">
        <v>117</v>
      </c>
      <c r="F1367" t="n">
        <v>49</v>
      </c>
      <c r="G1367" t="n">
        <v>14505</v>
      </c>
      <c r="H1367" t="n">
        <v>12355</v>
      </c>
      <c r="I1367" t="n">
        <v>22101</v>
      </c>
      <c r="J1367" t="n">
        <v>207248.7999999999</v>
      </c>
      <c r="K1367" t="n">
        <v>14665</v>
      </c>
      <c r="L1367" t="n">
        <v>46215</v>
      </c>
      <c r="M1367" t="n">
        <v>32803</v>
      </c>
      <c r="N1367" t="n">
        <v>32167</v>
      </c>
      <c r="O1367" t="n">
        <v>19619</v>
      </c>
      <c r="P1367" t="n">
        <v>276</v>
      </c>
    </row>
    <row r="1368">
      <c r="A1368" t="inlineStr">
        <is>
          <t>OH</t>
        </is>
      </c>
      <c r="B1368" t="n">
        <v>2020</v>
      </c>
      <c r="C1368" t="n">
        <v>9</v>
      </c>
      <c r="D1368" t="n">
        <v>13378</v>
      </c>
      <c r="E1368" t="n">
        <v>124</v>
      </c>
      <c r="F1368" t="n">
        <v>13</v>
      </c>
      <c r="G1368" t="n">
        <v>13241</v>
      </c>
      <c r="H1368" t="n">
        <v>12167</v>
      </c>
      <c r="I1368" t="n">
        <v>-50746</v>
      </c>
      <c r="J1368" t="n">
        <v>176375.0000000006</v>
      </c>
      <c r="K1368" t="n">
        <v>13332</v>
      </c>
      <c r="L1368" t="n">
        <v>19032</v>
      </c>
      <c r="M1368" t="n">
        <v>19276</v>
      </c>
      <c r="N1368" t="n">
        <v>13276</v>
      </c>
      <c r="O1368" t="n">
        <v>2825</v>
      </c>
      <c r="P1368" t="n">
        <v>512</v>
      </c>
    </row>
    <row r="1369">
      <c r="A1369" t="inlineStr">
        <is>
          <t>OH</t>
        </is>
      </c>
      <c r="B1369" t="n">
        <v>2020</v>
      </c>
      <c r="C1369" t="n">
        <v>10</v>
      </c>
      <c r="D1369" t="n">
        <v>14081</v>
      </c>
      <c r="E1369" t="n">
        <v>44</v>
      </c>
      <c r="F1369" t="n">
        <v>30</v>
      </c>
      <c r="G1369" t="n">
        <v>14007</v>
      </c>
      <c r="H1369" t="n">
        <v>12650</v>
      </c>
      <c r="I1369" t="n">
        <v>-33416</v>
      </c>
      <c r="J1369" t="n">
        <v>195567.1999999997</v>
      </c>
      <c r="K1369" t="n">
        <v>13886</v>
      </c>
      <c r="L1369" t="n">
        <v>25817</v>
      </c>
      <c r="M1369" t="n">
        <v>27385</v>
      </c>
      <c r="N1369" t="n">
        <v>16883</v>
      </c>
      <c r="O1369" t="n">
        <v>4363</v>
      </c>
      <c r="P1369" t="n">
        <v>211</v>
      </c>
    </row>
    <row r="1370">
      <c r="A1370" t="inlineStr">
        <is>
          <t>OH</t>
        </is>
      </c>
      <c r="B1370" t="n">
        <v>2020</v>
      </c>
      <c r="C1370" t="n">
        <v>11</v>
      </c>
      <c r="D1370" t="n">
        <v>13672</v>
      </c>
      <c r="E1370" t="n">
        <v>15</v>
      </c>
      <c r="F1370" t="n">
        <v>27</v>
      </c>
      <c r="G1370" t="n">
        <v>13630</v>
      </c>
      <c r="H1370" t="n">
        <v>12498</v>
      </c>
      <c r="I1370" t="n">
        <v>-72373</v>
      </c>
      <c r="J1370" t="n">
        <v>231429.1999999993</v>
      </c>
      <c r="K1370" t="n">
        <v>13502</v>
      </c>
      <c r="L1370" t="n">
        <v>22717</v>
      </c>
      <c r="M1370" t="n">
        <v>25377</v>
      </c>
      <c r="N1370" t="n">
        <v>12635</v>
      </c>
      <c r="O1370" t="n">
        <v>3323</v>
      </c>
      <c r="P1370" t="n">
        <v>338</v>
      </c>
    </row>
    <row r="1371">
      <c r="A1371" t="inlineStr">
        <is>
          <t>OH</t>
        </is>
      </c>
      <c r="B1371" t="n">
        <v>2020</v>
      </c>
      <c r="C1371" t="n">
        <v>12</v>
      </c>
      <c r="D1371" t="n">
        <v>14291</v>
      </c>
      <c r="E1371" t="n">
        <v>64</v>
      </c>
      <c r="F1371" t="n">
        <v>17</v>
      </c>
      <c r="G1371" t="n">
        <v>14210</v>
      </c>
      <c r="H1371" t="n">
        <v>12817</v>
      </c>
      <c r="I1371" t="n">
        <v>-44142</v>
      </c>
      <c r="J1371" t="n">
        <v>251993.3000000021</v>
      </c>
      <c r="K1371" t="n">
        <v>14123</v>
      </c>
      <c r="L1371" t="n">
        <v>29475</v>
      </c>
      <c r="M1371" t="n">
        <v>36183</v>
      </c>
      <c r="N1371" t="n">
        <v>15421</v>
      </c>
      <c r="O1371" t="n">
        <v>5459</v>
      </c>
      <c r="P1371" t="n">
        <v>438</v>
      </c>
    </row>
    <row r="1372">
      <c r="A1372" t="inlineStr">
        <is>
          <t>OH</t>
        </is>
      </c>
      <c r="B1372" t="n">
        <v>2021</v>
      </c>
      <c r="C1372" t="n">
        <v>1</v>
      </c>
      <c r="D1372" t="n">
        <v>12615</v>
      </c>
      <c r="E1372" t="n">
        <v>373</v>
      </c>
      <c r="F1372" t="n">
        <v>16</v>
      </c>
      <c r="G1372" t="n">
        <v>12226</v>
      </c>
      <c r="H1372" t="n">
        <v>10762</v>
      </c>
      <c r="I1372" t="n">
        <v>-25366</v>
      </c>
      <c r="J1372" t="n">
        <v>255392.0000000034</v>
      </c>
      <c r="K1372" t="n">
        <v>12566</v>
      </c>
      <c r="L1372" t="n">
        <v>33194</v>
      </c>
      <c r="M1372" t="n">
        <v>41751</v>
      </c>
      <c r="N1372" t="n">
        <v>23632</v>
      </c>
      <c r="O1372" t="n">
        <v>5500</v>
      </c>
      <c r="P1372" t="n">
        <v>257</v>
      </c>
    </row>
    <row r="1373">
      <c r="A1373" t="inlineStr">
        <is>
          <t>OH</t>
        </is>
      </c>
      <c r="B1373" t="n">
        <v>2021</v>
      </c>
      <c r="C1373" t="n">
        <v>2</v>
      </c>
      <c r="D1373" t="n">
        <v>11491</v>
      </c>
      <c r="E1373" t="n">
        <v>354</v>
      </c>
      <c r="F1373" t="n">
        <v>32</v>
      </c>
      <c r="G1373" t="n">
        <v>11105</v>
      </c>
      <c r="H1373" t="n">
        <v>9609</v>
      </c>
      <c r="I1373" t="n">
        <v>-11332</v>
      </c>
      <c r="J1373" t="n">
        <v>243522.0000000018</v>
      </c>
      <c r="K1373" t="n">
        <v>11444</v>
      </c>
      <c r="L1373" t="n">
        <v>33357</v>
      </c>
      <c r="M1373" t="n">
        <v>24317</v>
      </c>
      <c r="N1373" t="n">
        <v>21305</v>
      </c>
      <c r="O1373" t="n">
        <v>14099</v>
      </c>
      <c r="P1373" t="n">
        <v>276</v>
      </c>
    </row>
    <row r="1374">
      <c r="A1374" t="inlineStr">
        <is>
          <t>OH</t>
        </is>
      </c>
      <c r="B1374" t="n">
        <v>2021</v>
      </c>
      <c r="C1374" t="n">
        <v>3</v>
      </c>
      <c r="D1374" t="n">
        <v>15943</v>
      </c>
      <c r="E1374" t="n">
        <v>21</v>
      </c>
      <c r="F1374" t="n">
        <v>58</v>
      </c>
      <c r="G1374" t="n">
        <v>15864</v>
      </c>
      <c r="H1374" t="n">
        <v>14358</v>
      </c>
      <c r="I1374" t="n">
        <v>-94332</v>
      </c>
      <c r="J1374" t="n">
        <v>390019.0999999992</v>
      </c>
      <c r="K1374" t="n">
        <v>15833</v>
      </c>
      <c r="L1374" t="n">
        <v>39580</v>
      </c>
      <c r="M1374" t="n">
        <v>22877</v>
      </c>
      <c r="N1374" t="n">
        <v>21896</v>
      </c>
      <c r="O1374" t="n">
        <v>11224</v>
      </c>
      <c r="P1374" t="n">
        <v>374</v>
      </c>
    </row>
    <row r="1375">
      <c r="A1375" t="inlineStr">
        <is>
          <t>OH</t>
        </is>
      </c>
      <c r="B1375" t="n">
        <v>2021</v>
      </c>
      <c r="C1375" t="n">
        <v>4</v>
      </c>
      <c r="D1375" t="n">
        <v>18090</v>
      </c>
      <c r="E1375" t="n">
        <v>8</v>
      </c>
      <c r="F1375" t="n">
        <v>10</v>
      </c>
      <c r="G1375" t="n">
        <v>18072</v>
      </c>
      <c r="H1375" t="n">
        <v>16851</v>
      </c>
      <c r="I1375" t="n">
        <v>-130856</v>
      </c>
      <c r="J1375" t="n">
        <v>392044.6999999998</v>
      </c>
      <c r="K1375" t="n">
        <v>18059</v>
      </c>
      <c r="L1375" t="n">
        <v>17817</v>
      </c>
      <c r="M1375" t="n">
        <v>27286</v>
      </c>
      <c r="N1375" t="n">
        <v>12041</v>
      </c>
      <c r="O1375" t="n">
        <v>1560</v>
      </c>
      <c r="P1375" t="n">
        <v>804</v>
      </c>
    </row>
    <row r="1376">
      <c r="A1376" t="inlineStr">
        <is>
          <t>OH</t>
        </is>
      </c>
      <c r="B1376" t="n">
        <v>2021</v>
      </c>
      <c r="C1376" t="n">
        <v>5</v>
      </c>
      <c r="D1376" t="n">
        <v>20681</v>
      </c>
      <c r="E1376" t="n">
        <v>105</v>
      </c>
      <c r="F1376" t="n">
        <v>42</v>
      </c>
      <c r="G1376" t="n">
        <v>20534</v>
      </c>
      <c r="H1376" t="n">
        <v>18242</v>
      </c>
      <c r="I1376" t="n">
        <v>-25705</v>
      </c>
      <c r="J1376" t="n">
        <v>396250.0000000035</v>
      </c>
      <c r="K1376" t="n">
        <v>20542</v>
      </c>
      <c r="L1376" t="n">
        <v>69504</v>
      </c>
      <c r="M1376" t="n">
        <v>57388</v>
      </c>
      <c r="N1376" t="n">
        <v>24709</v>
      </c>
      <c r="O1376" t="n">
        <v>13074</v>
      </c>
      <c r="P1376" t="n">
        <v>317</v>
      </c>
    </row>
    <row r="1377">
      <c r="A1377" t="inlineStr">
        <is>
          <t>OH</t>
        </is>
      </c>
      <c r="B1377" t="n">
        <v>2021</v>
      </c>
      <c r="C1377" t="n">
        <v>6</v>
      </c>
      <c r="D1377" t="n">
        <v>20396</v>
      </c>
      <c r="E1377" t="n">
        <v>146</v>
      </c>
      <c r="F1377" t="n">
        <v>47</v>
      </c>
      <c r="G1377" t="n">
        <v>20203</v>
      </c>
      <c r="H1377" t="n">
        <v>16294</v>
      </c>
      <c r="I1377" t="n">
        <v>132392</v>
      </c>
      <c r="J1377" t="n">
        <v>366492.7999999992</v>
      </c>
      <c r="K1377" t="n">
        <v>20275</v>
      </c>
      <c r="L1377" t="n">
        <v>115588</v>
      </c>
      <c r="M1377" t="n">
        <v>82065</v>
      </c>
      <c r="N1377" t="n">
        <v>52125</v>
      </c>
      <c r="O1377" t="n">
        <v>28339</v>
      </c>
      <c r="P1377" t="n">
        <v>781</v>
      </c>
    </row>
    <row r="1378">
      <c r="A1378" t="inlineStr">
        <is>
          <t>OH</t>
        </is>
      </c>
      <c r="B1378" t="n">
        <v>2021</v>
      </c>
      <c r="C1378" t="n">
        <v>7</v>
      </c>
      <c r="D1378" t="n">
        <v>21269</v>
      </c>
      <c r="E1378" t="n">
        <v>368</v>
      </c>
      <c r="F1378" t="n">
        <v>73</v>
      </c>
      <c r="G1378" t="n">
        <v>20828</v>
      </c>
      <c r="H1378" t="n">
        <v>16395</v>
      </c>
      <c r="I1378" t="n">
        <v>182593</v>
      </c>
      <c r="J1378" t="n">
        <v>381102.8999999972</v>
      </c>
      <c r="K1378" t="n">
        <v>21217</v>
      </c>
      <c r="L1378" t="n">
        <v>147954</v>
      </c>
      <c r="M1378" t="n">
        <v>93229</v>
      </c>
      <c r="N1378" t="n">
        <v>54916</v>
      </c>
      <c r="O1378" t="n">
        <v>28728</v>
      </c>
      <c r="P1378" t="n">
        <v>415</v>
      </c>
    </row>
    <row r="1379">
      <c r="A1379" t="inlineStr">
        <is>
          <t>OH</t>
        </is>
      </c>
      <c r="B1379" t="n">
        <v>2021</v>
      </c>
      <c r="C1379" t="n">
        <v>8</v>
      </c>
      <c r="D1379" t="n">
        <v>21381</v>
      </c>
      <c r="E1379" t="n">
        <v>538</v>
      </c>
      <c r="F1379" t="n">
        <v>75</v>
      </c>
      <c r="G1379" t="n">
        <v>20768</v>
      </c>
      <c r="H1379" t="n">
        <v>16508</v>
      </c>
      <c r="I1379" t="n">
        <v>182385</v>
      </c>
      <c r="J1379" t="n">
        <v>368345.000000004</v>
      </c>
      <c r="K1379" t="n">
        <v>21210</v>
      </c>
      <c r="L1379" t="n">
        <v>148064</v>
      </c>
      <c r="M1379" t="n">
        <v>92424</v>
      </c>
      <c r="N1379" t="n">
        <v>60515</v>
      </c>
      <c r="O1379" t="n">
        <v>34567</v>
      </c>
      <c r="P1379" t="n">
        <v>756</v>
      </c>
    </row>
    <row r="1380">
      <c r="A1380" t="inlineStr">
        <is>
          <t>OH</t>
        </is>
      </c>
      <c r="B1380" t="n">
        <v>2021</v>
      </c>
      <c r="C1380" t="n">
        <v>9</v>
      </c>
      <c r="D1380" t="n">
        <v>19618</v>
      </c>
      <c r="E1380" t="n">
        <v>202</v>
      </c>
      <c r="F1380" t="n">
        <v>38</v>
      </c>
      <c r="G1380" t="n">
        <v>19378</v>
      </c>
      <c r="H1380" t="n">
        <v>16985</v>
      </c>
      <c r="I1380" t="n">
        <v>-7314</v>
      </c>
      <c r="J1380" t="n">
        <v>317066.7000000005</v>
      </c>
      <c r="K1380" t="n">
        <v>19476</v>
      </c>
      <c r="L1380" t="n">
        <v>67804</v>
      </c>
      <c r="M1380" t="n">
        <v>50335</v>
      </c>
      <c r="N1380" t="n">
        <v>32366</v>
      </c>
      <c r="O1380" t="n">
        <v>10505</v>
      </c>
      <c r="P1380" t="n">
        <v>873</v>
      </c>
    </row>
    <row r="1381">
      <c r="A1381" t="inlineStr">
        <is>
          <t>OH</t>
        </is>
      </c>
      <c r="B1381" t="n">
        <v>2021</v>
      </c>
      <c r="C1381" t="n">
        <v>10</v>
      </c>
      <c r="D1381" t="n">
        <v>20865</v>
      </c>
      <c r="E1381" t="n">
        <v>40</v>
      </c>
      <c r="F1381" t="n">
        <v>47</v>
      </c>
      <c r="G1381" t="n">
        <v>20778</v>
      </c>
      <c r="H1381" t="n">
        <v>18340</v>
      </c>
      <c r="I1381" t="n">
        <v>-24718</v>
      </c>
      <c r="J1381" t="n">
        <v>366966.9999999998</v>
      </c>
      <c r="K1381" t="n">
        <v>20725</v>
      </c>
      <c r="L1381" t="n">
        <v>76961</v>
      </c>
      <c r="M1381" t="n">
        <v>56506</v>
      </c>
      <c r="N1381" t="n">
        <v>23557</v>
      </c>
      <c r="O1381" t="n">
        <v>5645</v>
      </c>
      <c r="P1381" t="n">
        <v>452</v>
      </c>
    </row>
    <row r="1382">
      <c r="A1382" t="inlineStr">
        <is>
          <t>OH</t>
        </is>
      </c>
      <c r="B1382" t="n">
        <v>2021</v>
      </c>
      <c r="C1382" t="n">
        <v>11</v>
      </c>
      <c r="D1382" t="n">
        <v>19727</v>
      </c>
      <c r="E1382" t="n">
        <v>51</v>
      </c>
      <c r="F1382" t="n">
        <v>16</v>
      </c>
      <c r="G1382" t="n">
        <v>19660</v>
      </c>
      <c r="H1382" t="n">
        <v>16971</v>
      </c>
      <c r="I1382" t="n">
        <v>-13501</v>
      </c>
      <c r="J1382" t="n">
        <v>379526.9999999993</v>
      </c>
      <c r="K1382" t="n">
        <v>19159</v>
      </c>
      <c r="L1382" t="n">
        <v>88450</v>
      </c>
      <c r="M1382" t="n">
        <v>59067</v>
      </c>
      <c r="N1382" t="n">
        <v>22429</v>
      </c>
      <c r="O1382" t="n">
        <v>1972</v>
      </c>
      <c r="P1382" t="n">
        <v>783</v>
      </c>
    </row>
    <row r="1383">
      <c r="A1383" t="inlineStr">
        <is>
          <t>OH</t>
        </is>
      </c>
      <c r="B1383" t="n">
        <v>2021</v>
      </c>
      <c r="C1383" t="n">
        <v>12</v>
      </c>
      <c r="D1383" t="n">
        <v>20535</v>
      </c>
      <c r="E1383" t="n">
        <v>72</v>
      </c>
      <c r="F1383" t="n">
        <v>49</v>
      </c>
      <c r="G1383" t="n">
        <v>20414</v>
      </c>
      <c r="H1383" t="n">
        <v>16827</v>
      </c>
      <c r="I1383" t="n">
        <v>58892</v>
      </c>
      <c r="J1383" t="n">
        <v>380300.5000000008</v>
      </c>
      <c r="K1383" t="n">
        <v>20224</v>
      </c>
      <c r="L1383" t="n">
        <v>101146</v>
      </c>
      <c r="M1383" t="n">
        <v>77569</v>
      </c>
      <c r="N1383" t="n">
        <v>33126</v>
      </c>
      <c r="O1383" t="n">
        <v>9489</v>
      </c>
      <c r="P1383" t="n">
        <v>696</v>
      </c>
    </row>
    <row r="1384">
      <c r="A1384" t="inlineStr">
        <is>
          <t>OH</t>
        </is>
      </c>
      <c r="B1384" t="n">
        <v>2022</v>
      </c>
      <c r="C1384" t="n">
        <v>1</v>
      </c>
      <c r="D1384" t="n">
        <v>20541</v>
      </c>
      <c r="E1384" t="n">
        <v>2242</v>
      </c>
      <c r="F1384" t="n">
        <v>37</v>
      </c>
      <c r="G1384" t="n">
        <v>18262</v>
      </c>
      <c r="H1384" t="n">
        <v>14031</v>
      </c>
      <c r="I1384" t="n">
        <v>195382</v>
      </c>
      <c r="J1384" t="n">
        <v>399962.0000000023</v>
      </c>
      <c r="K1384" t="n">
        <v>20407</v>
      </c>
      <c r="L1384" t="n">
        <v>166641</v>
      </c>
      <c r="M1384" t="n">
        <v>101388</v>
      </c>
      <c r="N1384" t="n">
        <v>50358</v>
      </c>
      <c r="O1384" t="n">
        <v>31536</v>
      </c>
      <c r="P1384" t="n">
        <v>387</v>
      </c>
    </row>
    <row r="1385">
      <c r="A1385" t="inlineStr">
        <is>
          <t>OH</t>
        </is>
      </c>
      <c r="B1385" t="n">
        <v>2022</v>
      </c>
      <c r="C1385" t="n">
        <v>2</v>
      </c>
      <c r="D1385" t="n">
        <v>18896</v>
      </c>
      <c r="E1385" t="n">
        <v>657</v>
      </c>
      <c r="F1385" t="n">
        <v>41</v>
      </c>
      <c r="G1385" t="n">
        <v>18198</v>
      </c>
      <c r="H1385" t="n">
        <v>14061</v>
      </c>
      <c r="I1385" t="n">
        <v>168738</v>
      </c>
      <c r="J1385" t="n">
        <v>345889.2000000023</v>
      </c>
      <c r="K1385" t="n">
        <v>18819</v>
      </c>
      <c r="L1385" t="n">
        <v>162242</v>
      </c>
      <c r="M1385" t="n">
        <v>95096</v>
      </c>
      <c r="N1385" t="n">
        <v>37880</v>
      </c>
      <c r="O1385" t="n">
        <v>10343</v>
      </c>
      <c r="P1385" t="n">
        <v>726</v>
      </c>
    </row>
    <row r="1386">
      <c r="A1386" t="inlineStr">
        <is>
          <t>OH</t>
        </is>
      </c>
      <c r="B1386" t="n">
        <v>2022</v>
      </c>
      <c r="C1386" t="n">
        <v>3</v>
      </c>
      <c r="D1386" t="n">
        <v>19525</v>
      </c>
      <c r="E1386" t="n">
        <v>368</v>
      </c>
      <c r="F1386" t="n">
        <v>72</v>
      </c>
      <c r="G1386" t="n">
        <v>19085</v>
      </c>
      <c r="H1386" t="n">
        <v>15187</v>
      </c>
      <c r="I1386" t="n">
        <v>140422</v>
      </c>
      <c r="J1386" t="n">
        <v>371190.200000002</v>
      </c>
      <c r="K1386" t="n">
        <v>19355</v>
      </c>
      <c r="L1386" t="n">
        <v>150045</v>
      </c>
      <c r="M1386" t="n">
        <v>81359</v>
      </c>
      <c r="N1386" t="n">
        <v>42917</v>
      </c>
      <c r="O1386" t="n">
        <v>13331</v>
      </c>
      <c r="P1386" t="n">
        <v>997</v>
      </c>
    </row>
    <row r="1387">
      <c r="A1387" t="inlineStr">
        <is>
          <t>OH</t>
        </is>
      </c>
      <c r="B1387" t="n">
        <v>2022</v>
      </c>
      <c r="C1387" t="n">
        <v>4</v>
      </c>
      <c r="D1387" t="n">
        <v>19191</v>
      </c>
      <c r="E1387" t="n">
        <v>180</v>
      </c>
      <c r="F1387" t="n">
        <v>45</v>
      </c>
      <c r="G1387" t="n">
        <v>18966</v>
      </c>
      <c r="H1387" t="n">
        <v>15569</v>
      </c>
      <c r="I1387" t="n">
        <v>71242</v>
      </c>
      <c r="J1387" t="n">
        <v>346790.4000000001</v>
      </c>
      <c r="K1387" t="n">
        <v>18964</v>
      </c>
      <c r="L1387" t="n">
        <v>106104</v>
      </c>
      <c r="M1387" t="n">
        <v>83521</v>
      </c>
      <c r="N1387" t="n">
        <v>30517</v>
      </c>
      <c r="O1387" t="n">
        <v>7524</v>
      </c>
      <c r="P1387" t="n">
        <v>511</v>
      </c>
    </row>
    <row r="1388">
      <c r="A1388" t="inlineStr">
        <is>
          <t>OH</t>
        </is>
      </c>
      <c r="B1388" t="n">
        <v>2022</v>
      </c>
      <c r="C1388" t="n">
        <v>5</v>
      </c>
      <c r="D1388" t="n">
        <v>19301</v>
      </c>
      <c r="E1388" t="n">
        <v>582</v>
      </c>
      <c r="F1388" t="n">
        <v>63</v>
      </c>
      <c r="G1388" t="n">
        <v>18656</v>
      </c>
      <c r="H1388" t="n">
        <v>14724</v>
      </c>
      <c r="I1388" t="n">
        <v>156488</v>
      </c>
      <c r="J1388" t="n">
        <v>333028.1000000018</v>
      </c>
      <c r="K1388" t="n">
        <v>19050</v>
      </c>
      <c r="L1388" t="n">
        <v>128788</v>
      </c>
      <c r="M1388" t="n">
        <v>84821</v>
      </c>
      <c r="N1388" t="n">
        <v>46464</v>
      </c>
      <c r="O1388" t="n">
        <v>31549</v>
      </c>
      <c r="P1388" t="n">
        <v>452</v>
      </c>
    </row>
    <row r="1389">
      <c r="A1389" t="inlineStr">
        <is>
          <t>OH</t>
        </is>
      </c>
      <c r="B1389" t="n">
        <v>2022</v>
      </c>
      <c r="C1389" t="n">
        <v>6</v>
      </c>
      <c r="D1389" t="n">
        <v>19279</v>
      </c>
      <c r="E1389" t="n">
        <v>795</v>
      </c>
      <c r="F1389" t="n">
        <v>48</v>
      </c>
      <c r="G1389" t="n">
        <v>18436</v>
      </c>
      <c r="H1389" t="n">
        <v>14182</v>
      </c>
      <c r="I1389" t="n">
        <v>230442</v>
      </c>
      <c r="J1389" t="n">
        <v>298640.6000000003</v>
      </c>
      <c r="K1389" t="n">
        <v>19153</v>
      </c>
      <c r="L1389" t="n">
        <v>149912</v>
      </c>
      <c r="M1389" t="n">
        <v>101375</v>
      </c>
      <c r="N1389" t="n">
        <v>57619</v>
      </c>
      <c r="O1389" t="n">
        <v>33313</v>
      </c>
      <c r="P1389" t="n">
        <v>555</v>
      </c>
    </row>
    <row r="1390">
      <c r="A1390" t="inlineStr">
        <is>
          <t>OH</t>
        </is>
      </c>
      <c r="B1390" t="n">
        <v>2022</v>
      </c>
      <c r="C1390" t="n">
        <v>7</v>
      </c>
      <c r="D1390" t="n">
        <v>19152</v>
      </c>
      <c r="E1390" t="n">
        <v>540</v>
      </c>
      <c r="F1390" t="n">
        <v>92</v>
      </c>
      <c r="G1390" t="n">
        <v>18520</v>
      </c>
      <c r="H1390" t="n">
        <v>13675</v>
      </c>
      <c r="I1390" t="n">
        <v>250560</v>
      </c>
      <c r="J1390" t="n">
        <v>294832.0999999996</v>
      </c>
      <c r="K1390" t="n">
        <v>19074</v>
      </c>
      <c r="L1390" t="n">
        <v>153015</v>
      </c>
      <c r="M1390" t="n">
        <v>94497</v>
      </c>
      <c r="N1390" t="n">
        <v>65913</v>
      </c>
      <c r="O1390" t="n">
        <v>39510</v>
      </c>
      <c r="P1390" t="n">
        <v>802</v>
      </c>
    </row>
    <row r="1391">
      <c r="A1391" t="inlineStr">
        <is>
          <t>OH</t>
        </is>
      </c>
      <c r="B1391" t="n">
        <v>2022</v>
      </c>
      <c r="C1391" t="n">
        <v>8</v>
      </c>
      <c r="D1391" t="n">
        <v>17392</v>
      </c>
      <c r="E1391" t="n">
        <v>397</v>
      </c>
      <c r="F1391" t="n">
        <v>52</v>
      </c>
      <c r="G1391" t="n">
        <v>16943</v>
      </c>
      <c r="H1391" t="n">
        <v>13628</v>
      </c>
      <c r="I1391" t="n">
        <v>103216</v>
      </c>
      <c r="J1391" t="n">
        <v>280465.6999999996</v>
      </c>
      <c r="K1391" t="n">
        <v>17319</v>
      </c>
      <c r="L1391" t="n">
        <v>95447</v>
      </c>
      <c r="M1391" t="n">
        <v>59983</v>
      </c>
      <c r="N1391" t="n">
        <v>41026</v>
      </c>
      <c r="O1391" t="n">
        <v>35463</v>
      </c>
      <c r="P1391" t="n">
        <v>239</v>
      </c>
    </row>
    <row r="1392">
      <c r="A1392" t="inlineStr">
        <is>
          <t>OH</t>
        </is>
      </c>
      <c r="B1392" t="n">
        <v>2022</v>
      </c>
      <c r="C1392" t="n">
        <v>9</v>
      </c>
      <c r="D1392" t="n">
        <v>16570</v>
      </c>
      <c r="E1392" t="n">
        <v>411</v>
      </c>
      <c r="F1392" t="n">
        <v>20</v>
      </c>
      <c r="G1392" t="n">
        <v>16139</v>
      </c>
      <c r="H1392" t="n">
        <v>14180</v>
      </c>
      <c r="I1392" t="n">
        <v>-37151</v>
      </c>
      <c r="J1392" t="n">
        <v>273397.900000001</v>
      </c>
      <c r="K1392" t="n">
        <v>16427</v>
      </c>
      <c r="L1392" t="n">
        <v>48343</v>
      </c>
      <c r="M1392" t="n">
        <v>39208</v>
      </c>
      <c r="N1392" t="n">
        <v>21151</v>
      </c>
      <c r="O1392" t="n">
        <v>3895</v>
      </c>
      <c r="P1392" t="n">
        <v>416</v>
      </c>
    </row>
    <row r="1393">
      <c r="A1393" t="inlineStr">
        <is>
          <t>OH</t>
        </is>
      </c>
      <c r="B1393" t="n">
        <v>2022</v>
      </c>
      <c r="C1393" t="n">
        <v>10</v>
      </c>
      <c r="D1393" t="n">
        <v>15980</v>
      </c>
      <c r="E1393" t="n">
        <v>59</v>
      </c>
      <c r="F1393" t="n">
        <v>40</v>
      </c>
      <c r="G1393" t="n">
        <v>15881</v>
      </c>
      <c r="H1393" t="n">
        <v>14032</v>
      </c>
      <c r="I1393" t="n">
        <v>-22914</v>
      </c>
      <c r="J1393" t="n">
        <v>270145.0000000003</v>
      </c>
      <c r="K1393" t="n">
        <v>15750</v>
      </c>
      <c r="L1393" t="n">
        <v>59221</v>
      </c>
      <c r="M1393" t="n">
        <v>39712</v>
      </c>
      <c r="N1393" t="n">
        <v>19959</v>
      </c>
      <c r="O1393" t="n">
        <v>2160</v>
      </c>
      <c r="P1393" t="n">
        <v>419</v>
      </c>
    </row>
    <row r="1394">
      <c r="A1394" t="inlineStr">
        <is>
          <t>OH</t>
        </is>
      </c>
      <c r="B1394" t="n">
        <v>2022</v>
      </c>
      <c r="C1394" t="n">
        <v>11</v>
      </c>
      <c r="D1394" t="n">
        <v>14467</v>
      </c>
      <c r="E1394" t="n">
        <v>155</v>
      </c>
      <c r="F1394" t="n">
        <v>44</v>
      </c>
      <c r="G1394" t="n">
        <v>14268</v>
      </c>
      <c r="H1394" t="n">
        <v>12181</v>
      </c>
      <c r="I1394" t="n">
        <v>20103</v>
      </c>
      <c r="J1394" t="n">
        <v>264944.7000000015</v>
      </c>
      <c r="K1394" t="n">
        <v>14278</v>
      </c>
      <c r="L1394" t="n">
        <v>65080</v>
      </c>
      <c r="M1394" t="n">
        <v>47305</v>
      </c>
      <c r="N1394" t="n">
        <v>24534</v>
      </c>
      <c r="O1394" t="n">
        <v>5566</v>
      </c>
      <c r="P1394" t="n">
        <v>372</v>
      </c>
    </row>
    <row r="1395">
      <c r="A1395" t="inlineStr">
        <is>
          <t>OH</t>
        </is>
      </c>
      <c r="B1395" t="n">
        <v>2022</v>
      </c>
      <c r="C1395" t="n">
        <v>12</v>
      </c>
      <c r="D1395" t="n">
        <v>14156</v>
      </c>
      <c r="E1395" t="n">
        <v>226</v>
      </c>
      <c r="F1395" t="n">
        <v>26</v>
      </c>
      <c r="G1395" t="n">
        <v>13904</v>
      </c>
      <c r="H1395" t="n">
        <v>11737</v>
      </c>
      <c r="I1395" t="n">
        <v>25873</v>
      </c>
      <c r="J1395" t="n">
        <v>266408.8999999987</v>
      </c>
      <c r="K1395" t="n">
        <v>13720</v>
      </c>
      <c r="L1395" t="n">
        <v>58764</v>
      </c>
      <c r="M1395" t="n">
        <v>41562</v>
      </c>
      <c r="N1395" t="n">
        <v>26434</v>
      </c>
      <c r="O1395" t="n">
        <v>16881</v>
      </c>
      <c r="P1395" t="n">
        <v>574</v>
      </c>
    </row>
    <row r="1396">
      <c r="A1396" t="inlineStr">
        <is>
          <t>OH</t>
        </is>
      </c>
      <c r="B1396" t="n">
        <v>2023</v>
      </c>
      <c r="C1396" t="n">
        <v>1</v>
      </c>
      <c r="D1396" t="n">
        <v>15456</v>
      </c>
      <c r="E1396" t="n">
        <v>250</v>
      </c>
      <c r="F1396" t="n">
        <v>41</v>
      </c>
      <c r="G1396" t="n">
        <v>15165</v>
      </c>
      <c r="H1396" t="n">
        <v>12945</v>
      </c>
      <c r="I1396" t="n">
        <v>8510</v>
      </c>
      <c r="J1396" t="n">
        <v>301309.2999999979</v>
      </c>
      <c r="K1396" t="n">
        <v>14938</v>
      </c>
      <c r="L1396" t="n">
        <v>67079</v>
      </c>
      <c r="M1396" t="n">
        <v>41330</v>
      </c>
      <c r="N1396" t="n">
        <v>38200</v>
      </c>
      <c r="O1396" t="n">
        <v>12501</v>
      </c>
      <c r="P1396" t="n">
        <v>218</v>
      </c>
    </row>
    <row r="1397">
      <c r="A1397" t="inlineStr">
        <is>
          <t>OH</t>
        </is>
      </c>
      <c r="B1397" t="n">
        <v>2023</v>
      </c>
      <c r="C1397" t="n">
        <v>2</v>
      </c>
      <c r="D1397" t="n">
        <v>14050</v>
      </c>
      <c r="E1397" t="n">
        <v>47</v>
      </c>
      <c r="F1397" t="n">
        <v>32</v>
      </c>
      <c r="G1397" t="n">
        <v>13971</v>
      </c>
      <c r="H1397" t="n">
        <v>12349</v>
      </c>
      <c r="I1397" t="n">
        <v>-31664</v>
      </c>
      <c r="J1397" t="n">
        <v>266184.8999999994</v>
      </c>
      <c r="K1397" t="n">
        <v>13433</v>
      </c>
      <c r="L1397" t="n">
        <v>46398</v>
      </c>
      <c r="M1397" t="n">
        <v>41499</v>
      </c>
      <c r="N1397" t="n">
        <v>17882</v>
      </c>
      <c r="O1397" t="n">
        <v>6667</v>
      </c>
      <c r="P1397" t="n">
        <v>579</v>
      </c>
    </row>
    <row r="1398">
      <c r="A1398" t="inlineStr">
        <is>
          <t>OH</t>
        </is>
      </c>
      <c r="B1398" t="n">
        <v>2023</v>
      </c>
      <c r="C1398" t="n">
        <v>3</v>
      </c>
      <c r="D1398" t="n">
        <v>16471</v>
      </c>
      <c r="E1398" t="n">
        <v>176</v>
      </c>
      <c r="F1398" t="n">
        <v>46</v>
      </c>
      <c r="G1398" t="n">
        <v>16249</v>
      </c>
      <c r="H1398" t="n">
        <v>13784</v>
      </c>
      <c r="I1398" t="n">
        <v>32213</v>
      </c>
      <c r="J1398" t="n">
        <v>322074.4000000028</v>
      </c>
      <c r="K1398" t="n">
        <v>16006</v>
      </c>
      <c r="L1398" t="n">
        <v>73778</v>
      </c>
      <c r="M1398" t="n">
        <v>51265</v>
      </c>
      <c r="N1398" t="n">
        <v>29060</v>
      </c>
      <c r="O1398" t="n">
        <v>11416</v>
      </c>
      <c r="P1398" t="n">
        <v>710</v>
      </c>
    </row>
    <row r="1399">
      <c r="A1399" t="inlineStr">
        <is>
          <t>OH</t>
        </is>
      </c>
      <c r="B1399" t="n">
        <v>2023</v>
      </c>
      <c r="C1399" t="n">
        <v>4</v>
      </c>
      <c r="D1399" t="n">
        <v>16033</v>
      </c>
      <c r="E1399" t="n">
        <v>150</v>
      </c>
      <c r="F1399" t="n">
        <v>40</v>
      </c>
      <c r="G1399" t="n">
        <v>15843</v>
      </c>
      <c r="H1399" t="n">
        <v>13214</v>
      </c>
      <c r="I1399" t="n">
        <v>36421</v>
      </c>
      <c r="J1399" t="n">
        <v>294055.1000000038</v>
      </c>
      <c r="K1399" t="n">
        <v>15540</v>
      </c>
      <c r="L1399" t="n">
        <v>75771</v>
      </c>
      <c r="M1399" t="n">
        <v>48585</v>
      </c>
      <c r="N1399" t="n">
        <v>36123</v>
      </c>
      <c r="O1399" t="n">
        <v>11665</v>
      </c>
      <c r="P1399" t="n">
        <v>652</v>
      </c>
    </row>
    <row r="1400">
      <c r="A1400" t="inlineStr">
        <is>
          <t>OH</t>
        </is>
      </c>
      <c r="B1400" t="n">
        <v>2023</v>
      </c>
      <c r="C1400" t="n">
        <v>5</v>
      </c>
      <c r="D1400" t="n">
        <v>16049</v>
      </c>
      <c r="E1400" t="n">
        <v>49</v>
      </c>
      <c r="F1400" t="n">
        <v>29</v>
      </c>
      <c r="G1400" t="n">
        <v>15971</v>
      </c>
      <c r="H1400" t="n">
        <v>14075</v>
      </c>
      <c r="I1400" t="n">
        <v>-37345</v>
      </c>
      <c r="J1400" t="n">
        <v>295997.1000000043</v>
      </c>
      <c r="K1400" t="n">
        <v>15502</v>
      </c>
      <c r="L1400" t="n">
        <v>52254</v>
      </c>
      <c r="M1400" t="n">
        <v>42697</v>
      </c>
      <c r="N1400" t="n">
        <v>20442</v>
      </c>
      <c r="O1400" t="n">
        <v>5119</v>
      </c>
      <c r="P1400" t="n">
        <v>425</v>
      </c>
    </row>
    <row r="1401">
      <c r="A1401" t="inlineStr">
        <is>
          <t>OH</t>
        </is>
      </c>
      <c r="B1401" t="n">
        <v>2023</v>
      </c>
      <c r="C1401" t="n">
        <v>6</v>
      </c>
      <c r="D1401" t="n">
        <v>17125</v>
      </c>
      <c r="E1401" t="n">
        <v>639</v>
      </c>
      <c r="F1401" t="n">
        <v>68</v>
      </c>
      <c r="G1401" t="n">
        <v>16418</v>
      </c>
      <c r="H1401" t="n">
        <v>12362</v>
      </c>
      <c r="I1401" t="n">
        <v>211299</v>
      </c>
      <c r="J1401" t="n">
        <v>310137.0999999987</v>
      </c>
      <c r="K1401" t="n">
        <v>16576</v>
      </c>
      <c r="L1401" t="n">
        <v>147705</v>
      </c>
      <c r="M1401" t="n">
        <v>101052</v>
      </c>
      <c r="N1401" t="n">
        <v>48888</v>
      </c>
      <c r="O1401" t="n">
        <v>22130</v>
      </c>
      <c r="P1401" t="n">
        <v>584</v>
      </c>
    </row>
    <row r="1402">
      <c r="A1402" t="inlineStr">
        <is>
          <t>OH</t>
        </is>
      </c>
      <c r="B1402" t="n">
        <v>2023</v>
      </c>
      <c r="C1402" t="n">
        <v>7</v>
      </c>
      <c r="D1402" t="n">
        <v>16940</v>
      </c>
      <c r="E1402" t="n">
        <v>570</v>
      </c>
      <c r="F1402" t="n">
        <v>61</v>
      </c>
      <c r="G1402" t="n">
        <v>16309</v>
      </c>
      <c r="H1402" t="n">
        <v>11697</v>
      </c>
      <c r="I1402" t="n">
        <v>287240</v>
      </c>
      <c r="J1402" t="n">
        <v>307347.3000000027</v>
      </c>
      <c r="K1402" t="n">
        <v>16290</v>
      </c>
      <c r="L1402" t="n">
        <v>193175</v>
      </c>
      <c r="M1402" t="n">
        <v>107823</v>
      </c>
      <c r="N1402" t="n">
        <v>59689</v>
      </c>
      <c r="O1402" t="n">
        <v>34681</v>
      </c>
      <c r="P1402" t="n">
        <v>752</v>
      </c>
    </row>
    <row r="1403">
      <c r="A1403" t="inlineStr">
        <is>
          <t>OH</t>
        </is>
      </c>
      <c r="B1403" t="n">
        <v>2023</v>
      </c>
      <c r="C1403" t="n">
        <v>8</v>
      </c>
      <c r="D1403" t="n">
        <v>16777</v>
      </c>
      <c r="E1403" t="n">
        <v>322</v>
      </c>
      <c r="F1403" t="n">
        <v>57</v>
      </c>
      <c r="G1403" t="n">
        <v>16398</v>
      </c>
      <c r="H1403" t="n">
        <v>13241</v>
      </c>
      <c r="I1403" t="n">
        <v>90476</v>
      </c>
      <c r="J1403" t="n">
        <v>313504.0000000029</v>
      </c>
      <c r="K1403" t="n">
        <v>16025</v>
      </c>
      <c r="L1403" t="n">
        <v>104115</v>
      </c>
      <c r="M1403" t="n">
        <v>64263</v>
      </c>
      <c r="N1403" t="n">
        <v>36351</v>
      </c>
      <c r="O1403" t="n">
        <v>30803</v>
      </c>
      <c r="P1403" t="n">
        <v>572</v>
      </c>
    </row>
    <row r="1404">
      <c r="A1404" t="inlineStr">
        <is>
          <t>OH</t>
        </is>
      </c>
      <c r="B1404" t="n">
        <v>2023</v>
      </c>
      <c r="C1404" t="n">
        <v>9</v>
      </c>
      <c r="D1404" t="n">
        <v>16175</v>
      </c>
      <c r="E1404" t="n">
        <v>232</v>
      </c>
      <c r="F1404" t="n">
        <v>36</v>
      </c>
      <c r="G1404" t="n">
        <v>15907</v>
      </c>
      <c r="H1404" t="n">
        <v>13305</v>
      </c>
      <c r="I1404" t="n">
        <v>49654</v>
      </c>
      <c r="J1404" t="n">
        <v>309218.4999999973</v>
      </c>
      <c r="K1404" t="n">
        <v>15365</v>
      </c>
      <c r="L1404" t="n">
        <v>83868</v>
      </c>
      <c r="M1404" t="n">
        <v>64640</v>
      </c>
      <c r="N1404" t="n">
        <v>30938</v>
      </c>
      <c r="O1404" t="n">
        <v>19580</v>
      </c>
      <c r="P1404" t="n">
        <v>415</v>
      </c>
    </row>
    <row r="1405">
      <c r="A1405" t="inlineStr">
        <is>
          <t>OH</t>
        </is>
      </c>
      <c r="B1405" t="n">
        <v>2023</v>
      </c>
      <c r="C1405" t="n">
        <v>10</v>
      </c>
      <c r="D1405" t="n">
        <v>16777</v>
      </c>
      <c r="E1405" t="n">
        <v>32</v>
      </c>
      <c r="F1405" t="n">
        <v>33</v>
      </c>
      <c r="G1405" t="n">
        <v>16712</v>
      </c>
      <c r="H1405" t="n">
        <v>14517</v>
      </c>
      <c r="I1405" t="n">
        <v>3643</v>
      </c>
      <c r="J1405" t="n">
        <v>310117.8999999976</v>
      </c>
      <c r="K1405" t="n">
        <v>15918</v>
      </c>
      <c r="L1405" t="n">
        <v>76442</v>
      </c>
      <c r="M1405" t="n">
        <v>63288</v>
      </c>
      <c r="N1405" t="n">
        <v>19799</v>
      </c>
      <c r="O1405" t="n">
        <v>6444</v>
      </c>
      <c r="P1405" t="n">
        <v>606</v>
      </c>
    </row>
    <row r="1406">
      <c r="A1406" t="inlineStr">
        <is>
          <t>OH</t>
        </is>
      </c>
      <c r="B1406" t="n">
        <v>2023</v>
      </c>
      <c r="C1406" t="n">
        <v>11</v>
      </c>
      <c r="D1406" t="n">
        <v>16150</v>
      </c>
      <c r="E1406" t="n">
        <v>32</v>
      </c>
      <c r="F1406" t="n">
        <v>17</v>
      </c>
      <c r="G1406" t="n">
        <v>16101</v>
      </c>
      <c r="H1406" t="n">
        <v>14064</v>
      </c>
      <c r="I1406" t="n">
        <v>-31123</v>
      </c>
      <c r="J1406" t="n">
        <v>329431.0999999984</v>
      </c>
      <c r="K1406" t="n">
        <v>15422</v>
      </c>
      <c r="L1406" t="n">
        <v>68838</v>
      </c>
      <c r="M1406" t="n">
        <v>45159</v>
      </c>
      <c r="N1406" t="n">
        <v>18042</v>
      </c>
      <c r="O1406" t="n">
        <v>4648</v>
      </c>
      <c r="P1406" t="n">
        <v>378</v>
      </c>
    </row>
    <row r="1407">
      <c r="A1407" t="inlineStr">
        <is>
          <t>OH</t>
        </is>
      </c>
      <c r="B1407" t="n">
        <v>2023</v>
      </c>
      <c r="C1407" t="n">
        <v>12</v>
      </c>
      <c r="D1407" t="n">
        <v>16141</v>
      </c>
      <c r="E1407" t="n">
        <v>72</v>
      </c>
      <c r="F1407" t="n">
        <v>41</v>
      </c>
      <c r="G1407" t="n">
        <v>16028</v>
      </c>
      <c r="H1407" t="n">
        <v>13769</v>
      </c>
      <c r="I1407" t="n">
        <v>168</v>
      </c>
      <c r="J1407" t="n">
        <v>332817.699999998</v>
      </c>
      <c r="K1407" t="n">
        <v>15240</v>
      </c>
      <c r="L1407" t="n">
        <v>79951</v>
      </c>
      <c r="M1407" t="n">
        <v>54074</v>
      </c>
      <c r="N1407" t="n">
        <v>21651</v>
      </c>
      <c r="O1407" t="n">
        <v>17947</v>
      </c>
      <c r="P1407" t="n">
        <v>804</v>
      </c>
    </row>
    <row r="1408">
      <c r="A1408" t="inlineStr">
        <is>
          <t>OH</t>
        </is>
      </c>
      <c r="B1408" t="n">
        <v>2024</v>
      </c>
      <c r="C1408" t="n">
        <v>1</v>
      </c>
      <c r="D1408" t="n">
        <v>16526</v>
      </c>
      <c r="E1408" t="n">
        <v>944</v>
      </c>
      <c r="F1408" t="n">
        <v>43</v>
      </c>
      <c r="G1408" t="n">
        <v>15539</v>
      </c>
      <c r="H1408" t="n">
        <v>11615</v>
      </c>
      <c r="I1408" t="n">
        <v>232865</v>
      </c>
      <c r="J1408" t="n">
        <v>335953.5999999985</v>
      </c>
      <c r="K1408" t="n">
        <v>15542</v>
      </c>
      <c r="L1408" t="n">
        <v>161728</v>
      </c>
      <c r="M1408" t="n">
        <v>100741</v>
      </c>
      <c r="N1408" t="n">
        <v>51106</v>
      </c>
      <c r="O1408" t="n">
        <v>49121</v>
      </c>
      <c r="P1408" t="n">
        <v>432</v>
      </c>
    </row>
    <row r="1409">
      <c r="A1409" t="inlineStr">
        <is>
          <t>OH</t>
        </is>
      </c>
      <c r="B1409" t="n">
        <v>2024</v>
      </c>
      <c r="C1409" t="n">
        <v>2</v>
      </c>
      <c r="D1409" t="n">
        <v>15655</v>
      </c>
      <c r="E1409" t="n">
        <v>35</v>
      </c>
      <c r="F1409" t="n">
        <v>14</v>
      </c>
      <c r="G1409" t="n">
        <v>15606</v>
      </c>
      <c r="H1409" t="n">
        <v>13473</v>
      </c>
      <c r="I1409" t="n">
        <v>-37642</v>
      </c>
      <c r="J1409" t="n">
        <v>310894.9999999981</v>
      </c>
      <c r="K1409" t="n">
        <v>14638</v>
      </c>
      <c r="L1409" t="n">
        <v>60509</v>
      </c>
      <c r="M1409" t="n">
        <v>41338</v>
      </c>
      <c r="N1409" t="n">
        <v>19618</v>
      </c>
      <c r="O1409" t="n">
        <v>4171</v>
      </c>
      <c r="P1409" t="n">
        <v>610</v>
      </c>
    </row>
    <row r="1410">
      <c r="A1410" t="inlineStr">
        <is>
          <t>OH</t>
        </is>
      </c>
      <c r="B1410" t="n">
        <v>2024</v>
      </c>
      <c r="C1410" t="n">
        <v>3</v>
      </c>
      <c r="D1410" t="n">
        <v>17364</v>
      </c>
      <c r="E1410" t="n">
        <v>61</v>
      </c>
      <c r="F1410" t="n">
        <v>27</v>
      </c>
      <c r="G1410" t="n">
        <v>17276</v>
      </c>
      <c r="H1410" t="n">
        <v>14428</v>
      </c>
      <c r="I1410" t="n">
        <v>42700</v>
      </c>
      <c r="J1410" t="n">
        <v>341200.4000000009</v>
      </c>
      <c r="K1410" t="n">
        <v>16382</v>
      </c>
      <c r="L1410" t="n">
        <v>98544</v>
      </c>
      <c r="M1410" t="n">
        <v>68172</v>
      </c>
      <c r="N1410" t="n">
        <v>25760</v>
      </c>
      <c r="O1410" t="n">
        <v>9994</v>
      </c>
      <c r="P1410" t="n">
        <v>908</v>
      </c>
    </row>
    <row r="1411">
      <c r="A1411" t="inlineStr">
        <is>
          <t>OH</t>
        </is>
      </c>
      <c r="B1411" t="n">
        <v>2024</v>
      </c>
      <c r="C1411" t="n">
        <v>4</v>
      </c>
      <c r="D1411" t="n">
        <v>18611</v>
      </c>
      <c r="E1411" t="n">
        <v>130</v>
      </c>
      <c r="F1411" t="n">
        <v>54</v>
      </c>
      <c r="G1411" t="n">
        <v>18427</v>
      </c>
      <c r="H1411" t="n">
        <v>14418</v>
      </c>
      <c r="I1411" t="n">
        <v>189539</v>
      </c>
      <c r="J1411" t="n">
        <v>344269.2000000006</v>
      </c>
      <c r="K1411" t="n">
        <v>17673</v>
      </c>
      <c r="L1411" t="n">
        <v>159992</v>
      </c>
      <c r="M1411" t="n">
        <v>89252</v>
      </c>
      <c r="N1411" t="n">
        <v>43378</v>
      </c>
      <c r="O1411" t="n">
        <v>28111</v>
      </c>
      <c r="P1411" t="n">
        <v>571</v>
      </c>
    </row>
    <row r="1412">
      <c r="A1412" t="inlineStr">
        <is>
          <t>OH</t>
        </is>
      </c>
      <c r="B1412" t="n">
        <v>2024</v>
      </c>
      <c r="C1412" t="n">
        <v>5</v>
      </c>
      <c r="D1412" t="n">
        <v>18822</v>
      </c>
      <c r="E1412" t="n">
        <v>179</v>
      </c>
      <c r="F1412" t="n">
        <v>64</v>
      </c>
      <c r="G1412" t="n">
        <v>18579</v>
      </c>
      <c r="H1412" t="n">
        <v>13258</v>
      </c>
      <c r="I1412" t="n">
        <v>323426</v>
      </c>
      <c r="J1412" t="n">
        <v>327155.3000000014</v>
      </c>
      <c r="K1412" t="n">
        <v>17836</v>
      </c>
      <c r="L1412" t="n">
        <v>214772</v>
      </c>
      <c r="M1412" t="n">
        <v>103398</v>
      </c>
      <c r="N1412" t="n">
        <v>66627</v>
      </c>
      <c r="O1412" t="n">
        <v>42505</v>
      </c>
      <c r="P1412" t="n">
        <v>885</v>
      </c>
    </row>
    <row r="1413">
      <c r="A1413" t="inlineStr">
        <is>
          <t>OH</t>
        </is>
      </c>
      <c r="B1413" t="n">
        <v>2024</v>
      </c>
      <c r="C1413" t="n">
        <v>6</v>
      </c>
      <c r="D1413" t="n">
        <v>18526</v>
      </c>
      <c r="E1413" t="n">
        <v>215</v>
      </c>
      <c r="F1413" t="n">
        <v>43</v>
      </c>
      <c r="G1413" t="n">
        <v>18268</v>
      </c>
      <c r="H1413" t="n">
        <v>14927</v>
      </c>
      <c r="I1413" t="n">
        <v>122582</v>
      </c>
      <c r="J1413" t="n">
        <v>357203.4999999991</v>
      </c>
      <c r="K1413" t="n">
        <v>17298</v>
      </c>
      <c r="L1413" t="n">
        <v>132469</v>
      </c>
      <c r="M1413" t="n">
        <v>80587</v>
      </c>
      <c r="N1413" t="n">
        <v>39480</v>
      </c>
      <c r="O1413" t="n">
        <v>27434</v>
      </c>
      <c r="P1413" t="n">
        <v>756</v>
      </c>
    </row>
    <row r="1414">
      <c r="A1414" t="inlineStr">
        <is>
          <t>OH</t>
        </is>
      </c>
      <c r="B1414" t="n">
        <v>2024</v>
      </c>
      <c r="C1414" t="n">
        <v>7</v>
      </c>
      <c r="D1414" t="n">
        <v>20078</v>
      </c>
      <c r="E1414" t="n">
        <v>773</v>
      </c>
      <c r="F1414" t="n">
        <v>88</v>
      </c>
      <c r="G1414" t="n">
        <v>19217</v>
      </c>
      <c r="H1414" t="n">
        <v>12708</v>
      </c>
      <c r="I1414" t="n">
        <v>537502</v>
      </c>
      <c r="J1414" t="n">
        <v>374888.5000000058</v>
      </c>
      <c r="K1414" t="n">
        <v>18780</v>
      </c>
      <c r="L1414" t="n">
        <v>334984</v>
      </c>
      <c r="M1414" t="n">
        <v>182138</v>
      </c>
      <c r="N1414" t="n">
        <v>77529</v>
      </c>
      <c r="O1414" t="n">
        <v>53305</v>
      </c>
      <c r="P1414" t="n">
        <v>890</v>
      </c>
    </row>
    <row r="1415">
      <c r="A1415" t="inlineStr">
        <is>
          <t>OH</t>
        </is>
      </c>
      <c r="B1415" t="n">
        <v>2024</v>
      </c>
      <c r="C1415" t="n">
        <v>8</v>
      </c>
      <c r="D1415" t="n">
        <v>20730</v>
      </c>
      <c r="E1415" t="n">
        <v>629</v>
      </c>
      <c r="F1415" t="n">
        <v>61</v>
      </c>
      <c r="G1415" t="n">
        <v>20040</v>
      </c>
      <c r="H1415" t="n">
        <v>15038</v>
      </c>
      <c r="I1415" t="n">
        <v>306311</v>
      </c>
      <c r="J1415" t="n">
        <v>378703.9000000017</v>
      </c>
      <c r="K1415" t="n">
        <v>19183</v>
      </c>
      <c r="L1415" t="n">
        <v>217827</v>
      </c>
      <c r="M1415" t="n">
        <v>121064</v>
      </c>
      <c r="N1415" t="n">
        <v>65701</v>
      </c>
      <c r="O1415" t="n">
        <v>44023</v>
      </c>
      <c r="P1415" t="n">
        <v>744</v>
      </c>
    </row>
    <row r="1416">
      <c r="A1416" t="inlineStr">
        <is>
          <t>OH</t>
        </is>
      </c>
      <c r="B1416" t="n">
        <v>2024</v>
      </c>
      <c r="C1416" t="n">
        <v>9</v>
      </c>
      <c r="D1416" t="n">
        <v>19944</v>
      </c>
      <c r="E1416" t="n">
        <v>419</v>
      </c>
      <c r="F1416" t="n">
        <v>45</v>
      </c>
      <c r="G1416" t="n">
        <v>19480</v>
      </c>
      <c r="H1416" t="n">
        <v>15368</v>
      </c>
      <c r="I1416" t="n">
        <v>193767</v>
      </c>
      <c r="J1416" t="n">
        <v>387695.5999999998</v>
      </c>
      <c r="K1416" t="n">
        <v>18582</v>
      </c>
      <c r="L1416" t="n">
        <v>188013</v>
      </c>
      <c r="M1416" t="n">
        <v>101187</v>
      </c>
      <c r="N1416" t="n">
        <v>41617</v>
      </c>
      <c r="O1416" t="n">
        <v>25592</v>
      </c>
      <c r="P1416" t="n">
        <v>476</v>
      </c>
    </row>
    <row r="1417">
      <c r="A1417" t="inlineStr">
        <is>
          <t>OH</t>
        </is>
      </c>
      <c r="B1417" t="n">
        <v>2024</v>
      </c>
      <c r="C1417" t="n">
        <v>10</v>
      </c>
      <c r="D1417" t="n">
        <v>21146</v>
      </c>
      <c r="E1417" t="n">
        <v>104</v>
      </c>
      <c r="F1417" t="n">
        <v>26</v>
      </c>
      <c r="G1417" t="n">
        <v>21016</v>
      </c>
      <c r="H1417" t="n">
        <v>17807</v>
      </c>
      <c r="I1417" t="n">
        <v>31225</v>
      </c>
      <c r="J1417" t="n">
        <v>422392.999999999</v>
      </c>
      <c r="K1417" t="n">
        <v>19679</v>
      </c>
      <c r="L1417" t="n">
        <v>113057</v>
      </c>
      <c r="M1417" t="n">
        <v>78512</v>
      </c>
      <c r="N1417" t="n">
        <v>27596</v>
      </c>
      <c r="O1417" t="n">
        <v>15336</v>
      </c>
      <c r="P1417" t="n">
        <v>332</v>
      </c>
    </row>
    <row r="1418">
      <c r="A1418" t="inlineStr">
        <is>
          <t>OH</t>
        </is>
      </c>
      <c r="B1418" t="n">
        <v>2024</v>
      </c>
      <c r="C1418" t="n">
        <v>11</v>
      </c>
      <c r="D1418" t="n">
        <v>19666</v>
      </c>
      <c r="E1418" t="n">
        <v>32</v>
      </c>
      <c r="F1418" t="n">
        <v>26</v>
      </c>
      <c r="G1418" t="n">
        <v>19608</v>
      </c>
      <c r="H1418" t="n">
        <v>16980</v>
      </c>
      <c r="I1418" t="n">
        <v>-38294</v>
      </c>
      <c r="J1418" t="n">
        <v>410507.399999998</v>
      </c>
      <c r="K1418" t="n">
        <v>18490</v>
      </c>
      <c r="L1418" t="n">
        <v>75906</v>
      </c>
      <c r="M1418" t="n">
        <v>62445</v>
      </c>
      <c r="N1418" t="n">
        <v>27131</v>
      </c>
      <c r="O1418" t="n">
        <v>6167</v>
      </c>
      <c r="P1418" t="n">
        <v>345</v>
      </c>
    </row>
    <row r="1419">
      <c r="A1419" t="inlineStr">
        <is>
          <t>OH</t>
        </is>
      </c>
      <c r="B1419" t="n">
        <v>2024</v>
      </c>
      <c r="C1419" t="n">
        <v>12</v>
      </c>
      <c r="D1419" t="n">
        <v>20903</v>
      </c>
      <c r="E1419" t="n">
        <v>230</v>
      </c>
      <c r="F1419" t="n">
        <v>56</v>
      </c>
      <c r="G1419" t="n">
        <v>20617</v>
      </c>
      <c r="H1419" t="n">
        <v>14959</v>
      </c>
      <c r="I1419" t="n">
        <v>338740</v>
      </c>
      <c r="J1419" t="n">
        <v>420834.3999999953</v>
      </c>
      <c r="K1419" t="n">
        <v>19638</v>
      </c>
      <c r="L1419" t="n">
        <v>259941</v>
      </c>
      <c r="M1419" t="n">
        <v>135252</v>
      </c>
      <c r="N1419" t="n">
        <v>55472</v>
      </c>
      <c r="O1419" t="n">
        <v>32394</v>
      </c>
      <c r="P1419" t="n">
        <v>493</v>
      </c>
    </row>
    <row r="1420">
      <c r="A1420" t="inlineStr">
        <is>
          <t>OH</t>
        </is>
      </c>
      <c r="B1420" t="n">
        <v>2025</v>
      </c>
      <c r="C1420" t="n">
        <v>1</v>
      </c>
      <c r="D1420" t="n">
        <v>21094</v>
      </c>
      <c r="E1420" t="n">
        <v>1899</v>
      </c>
      <c r="F1420" t="n">
        <v>44</v>
      </c>
      <c r="G1420" t="n">
        <v>19151</v>
      </c>
      <c r="H1420" t="n">
        <v>14271</v>
      </c>
      <c r="I1420" t="n">
        <v>270723</v>
      </c>
      <c r="J1420" t="n">
        <v>439130.7999999992</v>
      </c>
      <c r="K1420" t="n">
        <v>19790</v>
      </c>
      <c r="L1420" t="n">
        <v>196021</v>
      </c>
      <c r="M1420" t="n">
        <v>122939</v>
      </c>
      <c r="N1420" t="n">
        <v>63227</v>
      </c>
      <c r="O1420" t="n">
        <v>46314</v>
      </c>
      <c r="P1420" t="n">
        <v>925</v>
      </c>
    </row>
    <row r="1421">
      <c r="A1421" t="inlineStr">
        <is>
          <t>OH</t>
        </is>
      </c>
      <c r="B1421" t="n">
        <v>2025</v>
      </c>
      <c r="C1421" t="n">
        <v>2</v>
      </c>
      <c r="D1421" t="n">
        <v>19508</v>
      </c>
      <c r="E1421" t="n">
        <v>1987</v>
      </c>
      <c r="F1421" t="n">
        <v>56</v>
      </c>
      <c r="G1421" t="n">
        <v>17465</v>
      </c>
      <c r="H1421" t="n">
        <v>11148</v>
      </c>
      <c r="I1421" t="n">
        <v>474150</v>
      </c>
      <c r="J1421" t="n">
        <v>379604.499999998</v>
      </c>
      <c r="K1421" t="n">
        <v>18183</v>
      </c>
      <c r="L1421" t="n">
        <v>296924</v>
      </c>
      <c r="M1421" t="n">
        <v>173166</v>
      </c>
      <c r="N1421" t="n">
        <v>79091</v>
      </c>
      <c r="O1421" t="n">
        <v>33905</v>
      </c>
      <c r="P1421" t="n">
        <v>386</v>
      </c>
    </row>
    <row r="1422">
      <c r="A1422" t="inlineStr">
        <is>
          <t>OH</t>
        </is>
      </c>
      <c r="B1422" t="n">
        <v>2025</v>
      </c>
      <c r="C1422" t="n">
        <v>3</v>
      </c>
      <c r="D1422" t="n">
        <v>21980</v>
      </c>
      <c r="E1422" t="n">
        <v>870</v>
      </c>
      <c r="F1422" t="n">
        <v>68</v>
      </c>
      <c r="G1422" t="n">
        <v>21042</v>
      </c>
      <c r="H1422" t="n">
        <v>15697</v>
      </c>
      <c r="I1422" t="n">
        <v>306336</v>
      </c>
      <c r="J1422" t="n">
        <v>425999.0000000007</v>
      </c>
      <c r="K1422" t="n">
        <v>20539</v>
      </c>
      <c r="L1422" t="n">
        <v>230035</v>
      </c>
      <c r="M1422" t="n">
        <v>135882</v>
      </c>
      <c r="N1422" t="n">
        <v>58413</v>
      </c>
      <c r="O1422" t="n">
        <v>35893</v>
      </c>
      <c r="P1422" t="n">
        <v>721</v>
      </c>
    </row>
    <row r="1423">
      <c r="A1423" t="inlineStr">
        <is>
          <t>OH</t>
        </is>
      </c>
      <c r="B1423" t="n">
        <v>2025</v>
      </c>
      <c r="C1423" t="n">
        <v>4</v>
      </c>
      <c r="D1423" t="n">
        <v>21311</v>
      </c>
      <c r="E1423" t="n">
        <v>456</v>
      </c>
      <c r="F1423" t="n">
        <v>37</v>
      </c>
      <c r="G1423" t="n">
        <v>20818</v>
      </c>
      <c r="H1423" t="n">
        <v>15475</v>
      </c>
      <c r="I1423" t="n">
        <v>295105</v>
      </c>
      <c r="J1423" t="n">
        <v>390050.0000000055</v>
      </c>
      <c r="K1423" t="n">
        <v>19999</v>
      </c>
      <c r="L1423" t="n">
        <v>229221</v>
      </c>
      <c r="M1423" t="n">
        <v>136521</v>
      </c>
      <c r="N1423" t="n">
        <v>58757</v>
      </c>
      <c r="O1423" t="n">
        <v>14271</v>
      </c>
      <c r="P1423" t="n">
        <v>507</v>
      </c>
    </row>
    <row r="1424">
      <c r="A1424" t="inlineStr">
        <is>
          <t>OH</t>
        </is>
      </c>
      <c r="B1424" t="n">
        <v>2025</v>
      </c>
      <c r="C1424" t="n">
        <v>5</v>
      </c>
      <c r="D1424" t="n">
        <v>22147</v>
      </c>
      <c r="E1424" t="n">
        <v>1003</v>
      </c>
      <c r="F1424" t="n">
        <v>74</v>
      </c>
      <c r="G1424" t="n">
        <v>21070</v>
      </c>
      <c r="H1424" t="n">
        <v>14487</v>
      </c>
      <c r="I1424" t="n">
        <v>448733</v>
      </c>
      <c r="J1424" t="n">
        <v>403906.9000000076</v>
      </c>
      <c r="K1424" t="n">
        <v>20437</v>
      </c>
      <c r="L1424" t="n">
        <v>287279</v>
      </c>
      <c r="M1424" t="n">
        <v>163621</v>
      </c>
      <c r="N1424" t="n">
        <v>85991</v>
      </c>
      <c r="O1424" t="n">
        <v>37593</v>
      </c>
      <c r="P1424" t="n">
        <v>609</v>
      </c>
    </row>
    <row r="1425">
      <c r="A1425" t="inlineStr">
        <is>
          <t>OH</t>
        </is>
      </c>
      <c r="B1425" t="n">
        <v>2025</v>
      </c>
      <c r="C1425" t="n">
        <v>6</v>
      </c>
      <c r="D1425" t="n">
        <v>21161</v>
      </c>
      <c r="E1425" t="n">
        <v>1459</v>
      </c>
      <c r="F1425" t="n">
        <v>77</v>
      </c>
      <c r="G1425" t="n">
        <v>19625</v>
      </c>
      <c r="H1425" t="n">
        <v>12477</v>
      </c>
      <c r="I1425" t="n">
        <v>600154</v>
      </c>
      <c r="J1425" t="n">
        <v>372230.6000000021</v>
      </c>
      <c r="K1425" t="n">
        <v>19397</v>
      </c>
      <c r="L1425" t="n">
        <v>346080</v>
      </c>
      <c r="M1425" t="n">
        <v>186919</v>
      </c>
      <c r="N1425" t="n">
        <v>97777</v>
      </c>
      <c r="O1425" t="n">
        <v>77563</v>
      </c>
      <c r="P1425" t="n">
        <v>446</v>
      </c>
    </row>
    <row r="1426">
      <c r="A1426" t="inlineStr">
        <is>
          <t>OH</t>
        </is>
      </c>
      <c r="B1426" t="n">
        <v>2025</v>
      </c>
      <c r="C1426" t="n">
        <v>7</v>
      </c>
      <c r="D1426" t="n">
        <v>21214</v>
      </c>
      <c r="E1426" t="n">
        <v>1516</v>
      </c>
      <c r="F1426" t="n">
        <v>84</v>
      </c>
      <c r="G1426" t="n">
        <v>19614</v>
      </c>
      <c r="H1426" t="n">
        <v>13550</v>
      </c>
      <c r="I1426" t="n">
        <v>513197</v>
      </c>
      <c r="J1426" t="n">
        <v>412085.5999999998</v>
      </c>
      <c r="K1426" t="n">
        <v>19359</v>
      </c>
      <c r="L1426" t="n">
        <v>299344</v>
      </c>
      <c r="M1426" t="n">
        <v>188873</v>
      </c>
      <c r="N1426" t="n">
        <v>84454</v>
      </c>
      <c r="O1426" t="n">
        <v>81381</v>
      </c>
      <c r="P1426" t="n">
        <v>593</v>
      </c>
    </row>
    <row r="1427">
      <c r="A1427" t="inlineStr">
        <is>
          <t>OH</t>
        </is>
      </c>
      <c r="B1427" t="n">
        <v>2025</v>
      </c>
      <c r="C1427" t="n">
        <v>8</v>
      </c>
      <c r="D1427" t="n">
        <v>20427</v>
      </c>
      <c r="E1427" t="n">
        <v>530</v>
      </c>
      <c r="F1427" t="n">
        <v>48</v>
      </c>
      <c r="G1427" t="n">
        <v>19849</v>
      </c>
      <c r="H1427" t="n">
        <v>15093</v>
      </c>
      <c r="I1427" t="n">
        <v>271437</v>
      </c>
      <c r="J1427" t="n">
        <v>377050.8999999982</v>
      </c>
      <c r="K1427" t="n">
        <v>18762</v>
      </c>
      <c r="L1427" t="n">
        <v>220213</v>
      </c>
      <c r="M1427" t="n">
        <v>129756</v>
      </c>
      <c r="N1427" t="n">
        <v>49476</v>
      </c>
      <c r="O1427" t="n">
        <v>31555</v>
      </c>
      <c r="P1427" t="n">
        <v>1377</v>
      </c>
    </row>
    <row r="1428">
      <c r="A1428" t="inlineStr">
        <is>
          <t>OH</t>
        </is>
      </c>
      <c r="B1428" t="n">
        <v>2025</v>
      </c>
      <c r="C1428" t="n">
        <v>9</v>
      </c>
      <c r="D1428" t="n">
        <v>19218</v>
      </c>
      <c r="E1428" t="n">
        <v>151</v>
      </c>
      <c r="F1428" t="n">
        <v>44</v>
      </c>
      <c r="G1428" t="n">
        <v>19023</v>
      </c>
      <c r="H1428" t="n">
        <v>15930</v>
      </c>
      <c r="I1428" t="n">
        <v>30005</v>
      </c>
      <c r="J1428" t="n">
        <v>392129.7999999979</v>
      </c>
      <c r="K1428" t="n">
        <v>17549</v>
      </c>
      <c r="L1428" t="n">
        <v>122703</v>
      </c>
      <c r="M1428" t="n">
        <v>81686</v>
      </c>
      <c r="N1428" t="n">
        <v>35744</v>
      </c>
      <c r="O1428" t="n">
        <v>13583</v>
      </c>
      <c r="P1428" t="n">
        <v>366</v>
      </c>
    </row>
    <row r="1429">
      <c r="A1429" t="inlineStr">
        <is>
          <t>OH</t>
        </is>
      </c>
      <c r="B1429" t="n">
        <v>2025</v>
      </c>
      <c r="C1429" t="n">
        <v>10</v>
      </c>
      <c r="D1429" t="n">
        <v>20423</v>
      </c>
      <c r="E1429" t="n">
        <v>93</v>
      </c>
      <c r="F1429" t="n">
        <v>33</v>
      </c>
      <c r="G1429" t="n">
        <v>20297</v>
      </c>
      <c r="H1429" t="n">
        <v>16432</v>
      </c>
      <c r="I1429" t="n">
        <v>81670</v>
      </c>
      <c r="J1429" t="n">
        <v>398362.3999999997</v>
      </c>
      <c r="K1429" t="n">
        <v>18713</v>
      </c>
      <c r="L1429" t="n">
        <v>139781</v>
      </c>
      <c r="M1429" t="n">
        <v>84273</v>
      </c>
      <c r="N1429" t="n">
        <v>44713</v>
      </c>
      <c r="O1429" t="n">
        <v>8728</v>
      </c>
      <c r="P1429" t="n">
        <v>340</v>
      </c>
    </row>
    <row r="1430">
      <c r="A1430" t="inlineStr">
        <is>
          <t>OH</t>
        </is>
      </c>
      <c r="B1430" t="n">
        <v>2025</v>
      </c>
      <c r="C1430" t="n">
        <v>11</v>
      </c>
      <c r="D1430" t="n">
        <v>19746</v>
      </c>
      <c r="E1430" t="n">
        <v>720</v>
      </c>
      <c r="F1430" t="n">
        <v>55</v>
      </c>
      <c r="G1430" t="n">
        <v>18971</v>
      </c>
      <c r="H1430" t="n">
        <v>14243</v>
      </c>
      <c r="I1430" t="n">
        <v>250432</v>
      </c>
      <c r="J1430" t="n">
        <v>424176.9999999978</v>
      </c>
      <c r="K1430" t="n">
        <v>18420</v>
      </c>
      <c r="L1430" t="n">
        <v>229654</v>
      </c>
      <c r="M1430" t="n">
        <v>108675</v>
      </c>
      <c r="N1430" t="n">
        <v>69764</v>
      </c>
      <c r="O1430" t="n">
        <v>20260</v>
      </c>
      <c r="P1430" t="n">
        <v>1183</v>
      </c>
    </row>
    <row r="1431">
      <c r="A1431" t="inlineStr">
        <is>
          <t>OH</t>
        </is>
      </c>
      <c r="B1431" t="n">
        <v>2025</v>
      </c>
      <c r="C1431" t="n">
        <v>12</v>
      </c>
      <c r="D1431" t="n">
        <v>20505</v>
      </c>
      <c r="E1431" t="n">
        <v>709</v>
      </c>
      <c r="F1431" t="n">
        <v>39</v>
      </c>
      <c r="G1431" t="n">
        <v>19757</v>
      </c>
      <c r="H1431" t="n">
        <v>12721</v>
      </c>
      <c r="I1431" t="n">
        <v>557837</v>
      </c>
      <c r="J1431" t="n">
        <v>437905.4999999973</v>
      </c>
      <c r="K1431" t="n">
        <v>19180</v>
      </c>
      <c r="L1431" t="n">
        <v>390368</v>
      </c>
      <c r="M1431" t="n">
        <v>189986</v>
      </c>
      <c r="N1431" t="n">
        <v>66542</v>
      </c>
      <c r="O1431" t="n">
        <v>40102</v>
      </c>
      <c r="P1431" t="n">
        <v>796</v>
      </c>
    </row>
    <row r="1432">
      <c r="A1432" t="inlineStr">
        <is>
          <t>OH</t>
        </is>
      </c>
      <c r="B1432" t="n">
        <v>2026</v>
      </c>
      <c r="C1432" t="n">
        <v>1</v>
      </c>
      <c r="D1432" t="n">
        <v>19550</v>
      </c>
      <c r="E1432" t="n">
        <v>2267</v>
      </c>
      <c r="F1432" t="n">
        <v>36</v>
      </c>
      <c r="G1432" t="n">
        <v>17247</v>
      </c>
      <c r="H1432" t="n">
        <v>13061</v>
      </c>
      <c r="I1432" t="n">
        <v>241970</v>
      </c>
      <c r="J1432" t="n">
        <v>461953.3000000011</v>
      </c>
      <c r="K1432" t="n">
        <v>18452</v>
      </c>
      <c r="L1432" t="n">
        <v>205094</v>
      </c>
      <c r="M1432" t="n">
        <v>108154</v>
      </c>
      <c r="N1432" t="n">
        <v>50528</v>
      </c>
      <c r="O1432" t="n">
        <v>55104</v>
      </c>
      <c r="P1432" t="n">
        <v>237</v>
      </c>
    </row>
    <row r="1433">
      <c r="A1433" t="inlineStr">
        <is>
          <t>OH</t>
        </is>
      </c>
      <c r="B1433" t="n">
        <v>2026</v>
      </c>
      <c r="C1433" t="n">
        <v>2</v>
      </c>
      <c r="D1433" t="n">
        <v>17664</v>
      </c>
      <c r="E1433" t="n">
        <v>850</v>
      </c>
      <c r="F1433" t="n">
        <v>34</v>
      </c>
      <c r="G1433" t="n">
        <v>16780</v>
      </c>
      <c r="H1433" t="n">
        <v>12248</v>
      </c>
      <c r="I1433" t="n">
        <v>255603</v>
      </c>
      <c r="J1433" t="n">
        <v>399959.399999998</v>
      </c>
      <c r="K1433" t="n">
        <v>16313</v>
      </c>
      <c r="L1433" t="n">
        <v>205468</v>
      </c>
      <c r="M1433" t="n">
        <v>126988</v>
      </c>
      <c r="N1433" t="n">
        <v>45767</v>
      </c>
      <c r="O1433" t="n">
        <v>31376</v>
      </c>
      <c r="P1433" t="n">
        <v>238</v>
      </c>
    </row>
    <row r="1434">
      <c r="A1434" t="inlineStr">
        <is>
          <t>OH</t>
        </is>
      </c>
      <c r="B1434" t="n">
        <v>2026</v>
      </c>
      <c r="C1434" t="n">
        <v>3</v>
      </c>
      <c r="D1434" t="n">
        <v>20938</v>
      </c>
      <c r="E1434" t="n">
        <v>1558</v>
      </c>
      <c r="F1434" t="n">
        <v>101</v>
      </c>
      <c r="G1434" t="n">
        <v>19279</v>
      </c>
      <c r="H1434" t="n">
        <v>13739</v>
      </c>
      <c r="I1434" t="n">
        <v>404846</v>
      </c>
      <c r="J1434" t="n">
        <v>486165.0000000037</v>
      </c>
      <c r="K1434" t="n">
        <v>19571</v>
      </c>
      <c r="L1434" t="n">
        <v>286833</v>
      </c>
      <c r="M1434" t="n">
        <v>180688</v>
      </c>
      <c r="N1434" t="n">
        <v>65767</v>
      </c>
      <c r="O1434" t="n">
        <v>47084</v>
      </c>
      <c r="P1434" t="n">
        <v>2244</v>
      </c>
    </row>
    <row r="1435">
      <c r="A1435" t="inlineStr">
        <is>
          <t>OH</t>
        </is>
      </c>
      <c r="B1435" t="n">
        <v>2026</v>
      </c>
      <c r="C1435" t="n">
        <v>4</v>
      </c>
      <c r="D1435" t="n">
        <v>20547</v>
      </c>
      <c r="E1435" t="n">
        <v>258</v>
      </c>
      <c r="F1435" t="n">
        <v>64</v>
      </c>
      <c r="G1435" t="n">
        <v>20225</v>
      </c>
      <c r="H1435" t="n">
        <v>15550</v>
      </c>
      <c r="I1435" t="n">
        <v>221222</v>
      </c>
      <c r="J1435" t="n">
        <v>472878.8999999982</v>
      </c>
      <c r="K1435" t="n">
        <v>19010</v>
      </c>
      <c r="L1435" t="n">
        <v>232326</v>
      </c>
      <c r="M1435" t="n">
        <v>131818</v>
      </c>
      <c r="N1435" t="n">
        <v>47041</v>
      </c>
      <c r="O1435" t="n">
        <v>23844</v>
      </c>
      <c r="P1435" t="n">
        <v>445</v>
      </c>
    </row>
    <row r="1436">
      <c r="A1436" t="inlineStr">
        <is>
          <t>OH</t>
        </is>
      </c>
      <c r="B1436" t="n">
        <v>2026</v>
      </c>
      <c r="C1436" t="n">
        <v>5</v>
      </c>
      <c r="D1436" t="n">
        <v>20854</v>
      </c>
      <c r="E1436" t="n">
        <v>402</v>
      </c>
      <c r="F1436" t="n">
        <v>69</v>
      </c>
      <c r="G1436" t="n">
        <v>20383</v>
      </c>
      <c r="H1436" t="n">
        <v>15631</v>
      </c>
      <c r="I1436" t="n">
        <v>177787</v>
      </c>
      <c r="J1436" t="n">
        <v>471611.2999999979</v>
      </c>
      <c r="K1436" t="n">
        <v>19034</v>
      </c>
      <c r="L1436" t="n">
        <v>170402</v>
      </c>
      <c r="M1436" t="n">
        <v>112082</v>
      </c>
      <c r="N1436" t="n">
        <v>64906</v>
      </c>
      <c r="O1436" t="n">
        <v>33790</v>
      </c>
      <c r="P1436" t="n">
        <v>708</v>
      </c>
    </row>
    <row r="1437">
      <c r="A1437" t="inlineStr">
        <is>
          <t>OH</t>
        </is>
      </c>
      <c r="B1437" t="n">
        <v>2026</v>
      </c>
      <c r="C1437" t="n">
        <v>6</v>
      </c>
      <c r="D1437" t="n">
        <v>20871</v>
      </c>
      <c r="E1437" t="n">
        <v>1437</v>
      </c>
      <c r="F1437" t="n">
        <v>88</v>
      </c>
      <c r="G1437" t="n">
        <v>19346</v>
      </c>
      <c r="H1437" t="n">
        <v>14005</v>
      </c>
      <c r="I1437" t="n">
        <v>368145</v>
      </c>
      <c r="J1437" t="n">
        <v>469801.9000000069</v>
      </c>
      <c r="K1437" t="n">
        <v>18770</v>
      </c>
      <c r="L1437" t="n">
        <v>234074</v>
      </c>
      <c r="M1437" t="n">
        <v>161219</v>
      </c>
      <c r="N1437" t="n">
        <v>81145</v>
      </c>
      <c r="O1437" t="n">
        <v>64709</v>
      </c>
      <c r="P1437" t="n">
        <v>720</v>
      </c>
    </row>
    <row r="1438">
      <c r="A1438" t="inlineStr">
        <is>
          <t>OH</t>
        </is>
      </c>
      <c r="B1438" t="n">
        <v>2026</v>
      </c>
      <c r="C1438" t="n">
        <v>7</v>
      </c>
      <c r="D1438" t="n">
        <v>21472</v>
      </c>
      <c r="E1438" t="n">
        <v>1417</v>
      </c>
      <c r="F1438" t="n">
        <v>82</v>
      </c>
      <c r="G1438" t="n">
        <v>19973</v>
      </c>
      <c r="H1438" t="n">
        <v>12687</v>
      </c>
      <c r="I1438" t="n">
        <v>633738</v>
      </c>
      <c r="J1438" t="n">
        <v>479121.2000000053</v>
      </c>
      <c r="K1438" t="n">
        <v>19389</v>
      </c>
      <c r="L1438" t="n">
        <v>364652</v>
      </c>
      <c r="M1438" t="n">
        <v>231847</v>
      </c>
      <c r="N1438" t="n">
        <v>100600</v>
      </c>
      <c r="O1438" t="n">
        <v>83887</v>
      </c>
      <c r="P1438" t="n">
        <v>707</v>
      </c>
    </row>
    <row r="1439">
      <c r="A1439" t="inlineStr">
        <is>
          <t>OO</t>
        </is>
      </c>
      <c r="B1439" t="n">
        <v>2015</v>
      </c>
      <c r="C1439" t="n">
        <v>1</v>
      </c>
      <c r="D1439" t="n">
        <v>48114</v>
      </c>
      <c r="E1439" t="n">
        <v>1262</v>
      </c>
      <c r="F1439" t="n">
        <v>197</v>
      </c>
      <c r="G1439" t="n">
        <v>46655</v>
      </c>
      <c r="H1439" t="n">
        <v>35300</v>
      </c>
      <c r="I1439" t="n">
        <v>508068</v>
      </c>
      <c r="J1439" t="n">
        <v>684969.3000000031</v>
      </c>
      <c r="K1439" t="n">
        <v>47511</v>
      </c>
      <c r="L1439" t="n">
        <v>348926</v>
      </c>
      <c r="M1439" t="n">
        <v>215580</v>
      </c>
      <c r="N1439" t="n">
        <v>136501</v>
      </c>
      <c r="O1439" t="n">
        <v>30684</v>
      </c>
      <c r="P1439" t="n">
        <v>671</v>
      </c>
    </row>
    <row r="1440">
      <c r="A1440" t="inlineStr">
        <is>
          <t>OO</t>
        </is>
      </c>
      <c r="B1440" t="n">
        <v>2015</v>
      </c>
      <c r="C1440" t="n">
        <v>2</v>
      </c>
      <c r="D1440" t="n">
        <v>43989</v>
      </c>
      <c r="E1440" t="n">
        <v>1403</v>
      </c>
      <c r="F1440" t="n">
        <v>137</v>
      </c>
      <c r="G1440" t="n">
        <v>42449</v>
      </c>
      <c r="H1440" t="n">
        <v>32571</v>
      </c>
      <c r="I1440" t="n">
        <v>407039</v>
      </c>
      <c r="J1440" t="n">
        <v>625504.799999992</v>
      </c>
      <c r="K1440" t="n">
        <v>43631</v>
      </c>
      <c r="L1440" t="n">
        <v>287589</v>
      </c>
      <c r="M1440" t="n">
        <v>164448</v>
      </c>
      <c r="N1440" t="n">
        <v>125811</v>
      </c>
      <c r="O1440" t="n">
        <v>37990</v>
      </c>
      <c r="P1440" t="n">
        <v>446</v>
      </c>
    </row>
    <row r="1441">
      <c r="A1441" t="inlineStr">
        <is>
          <t>OO</t>
        </is>
      </c>
      <c r="B1441" t="n">
        <v>2015</v>
      </c>
      <c r="C1441" t="n">
        <v>3</v>
      </c>
      <c r="D1441" t="n">
        <v>50078</v>
      </c>
      <c r="E1441" t="n">
        <v>544</v>
      </c>
      <c r="F1441" t="n">
        <v>99</v>
      </c>
      <c r="G1441" t="n">
        <v>49435</v>
      </c>
      <c r="H1441" t="n">
        <v>41310</v>
      </c>
      <c r="I1441" t="n">
        <v>157287</v>
      </c>
      <c r="J1441" t="n">
        <v>734445.3000000099</v>
      </c>
      <c r="K1441" t="n">
        <v>49805</v>
      </c>
      <c r="L1441" t="n">
        <v>205673</v>
      </c>
      <c r="M1441" t="n">
        <v>144529</v>
      </c>
      <c r="N1441" t="n">
        <v>94804</v>
      </c>
      <c r="O1441" t="n">
        <v>16058</v>
      </c>
      <c r="P1441" t="n">
        <v>656</v>
      </c>
    </row>
    <row r="1442">
      <c r="A1442" t="inlineStr">
        <is>
          <t>OO</t>
        </is>
      </c>
      <c r="B1442" t="n">
        <v>2015</v>
      </c>
      <c r="C1442" t="n">
        <v>4</v>
      </c>
      <c r="D1442" t="n">
        <v>49329</v>
      </c>
      <c r="E1442" t="n">
        <v>714</v>
      </c>
      <c r="F1442" t="n">
        <v>120</v>
      </c>
      <c r="G1442" t="n">
        <v>48495</v>
      </c>
      <c r="H1442" t="n">
        <v>41005</v>
      </c>
      <c r="I1442" t="n">
        <v>156338</v>
      </c>
      <c r="J1442" t="n">
        <v>701928.5000000045</v>
      </c>
      <c r="K1442" t="n">
        <v>49015</v>
      </c>
      <c r="L1442" t="n">
        <v>192646</v>
      </c>
      <c r="M1442" t="n">
        <v>143364</v>
      </c>
      <c r="N1442" t="n">
        <v>93113</v>
      </c>
      <c r="O1442" t="n">
        <v>11278</v>
      </c>
      <c r="P1442" t="n">
        <v>386</v>
      </c>
    </row>
    <row r="1443">
      <c r="A1443" t="inlineStr">
        <is>
          <t>OO</t>
        </is>
      </c>
      <c r="B1443" t="n">
        <v>2015</v>
      </c>
      <c r="C1443" t="n">
        <v>5</v>
      </c>
      <c r="D1443" t="n">
        <v>49864</v>
      </c>
      <c r="E1443" t="n">
        <v>619</v>
      </c>
      <c r="F1443" t="n">
        <v>117</v>
      </c>
      <c r="G1443" t="n">
        <v>49128</v>
      </c>
      <c r="H1443" t="n">
        <v>40934</v>
      </c>
      <c r="I1443" t="n">
        <v>203447</v>
      </c>
      <c r="J1443" t="n">
        <v>709029.4999999955</v>
      </c>
      <c r="K1443" t="n">
        <v>49644</v>
      </c>
      <c r="L1443" t="n">
        <v>196033</v>
      </c>
      <c r="M1443" t="n">
        <v>153440</v>
      </c>
      <c r="N1443" t="n">
        <v>99933</v>
      </c>
      <c r="O1443" t="n">
        <v>15646</v>
      </c>
      <c r="P1443" t="n">
        <v>707</v>
      </c>
    </row>
    <row r="1444">
      <c r="A1444" t="inlineStr">
        <is>
          <t>OO</t>
        </is>
      </c>
      <c r="B1444" t="n">
        <v>2015</v>
      </c>
      <c r="C1444" t="n">
        <v>6</v>
      </c>
      <c r="D1444" t="n">
        <v>50307</v>
      </c>
      <c r="E1444" t="n">
        <v>1108</v>
      </c>
      <c r="F1444" t="n">
        <v>141</v>
      </c>
      <c r="G1444" t="n">
        <v>49058</v>
      </c>
      <c r="H1444" t="n">
        <v>38871</v>
      </c>
      <c r="I1444" t="n">
        <v>409069</v>
      </c>
      <c r="J1444" t="n">
        <v>695077.9999999974</v>
      </c>
      <c r="K1444" t="n">
        <v>50008</v>
      </c>
      <c r="L1444" t="n">
        <v>280219</v>
      </c>
      <c r="M1444" t="n">
        <v>209536</v>
      </c>
      <c r="N1444" t="n">
        <v>121030</v>
      </c>
      <c r="O1444" t="n">
        <v>25846</v>
      </c>
      <c r="P1444" t="n">
        <v>1142</v>
      </c>
    </row>
    <row r="1445">
      <c r="A1445" t="inlineStr">
        <is>
          <t>OO</t>
        </is>
      </c>
      <c r="B1445" t="n">
        <v>2015</v>
      </c>
      <c r="C1445" t="n">
        <v>7</v>
      </c>
      <c r="D1445" t="n">
        <v>52627</v>
      </c>
      <c r="E1445" t="n">
        <v>821</v>
      </c>
      <c r="F1445" t="n">
        <v>148</v>
      </c>
      <c r="G1445" t="n">
        <v>51658</v>
      </c>
      <c r="H1445" t="n">
        <v>41429</v>
      </c>
      <c r="I1445" t="n">
        <v>350775</v>
      </c>
      <c r="J1445" t="n">
        <v>721497.8999999933</v>
      </c>
      <c r="K1445" t="n">
        <v>52508</v>
      </c>
      <c r="L1445" t="n">
        <v>285746</v>
      </c>
      <c r="M1445" t="n">
        <v>192384</v>
      </c>
      <c r="N1445" t="n">
        <v>118092</v>
      </c>
      <c r="O1445" t="n">
        <v>16998</v>
      </c>
      <c r="P1445" t="n">
        <v>1050</v>
      </c>
    </row>
    <row r="1446">
      <c r="A1446" t="inlineStr">
        <is>
          <t>OO</t>
        </is>
      </c>
      <c r="B1446" t="n">
        <v>2015</v>
      </c>
      <c r="C1446" t="n">
        <v>8</v>
      </c>
      <c r="D1446" t="n">
        <v>52730</v>
      </c>
      <c r="E1446" t="n">
        <v>794</v>
      </c>
      <c r="F1446" t="n">
        <v>150</v>
      </c>
      <c r="G1446" t="n">
        <v>51786</v>
      </c>
      <c r="H1446" t="n">
        <v>42067</v>
      </c>
      <c r="I1446" t="n">
        <v>290348</v>
      </c>
      <c r="J1446" t="n">
        <v>710668.2999999977</v>
      </c>
      <c r="K1446" t="n">
        <v>52497</v>
      </c>
      <c r="L1446" t="n">
        <v>243855</v>
      </c>
      <c r="M1446" t="n">
        <v>181385</v>
      </c>
      <c r="N1446" t="n">
        <v>109061</v>
      </c>
      <c r="O1446" t="n">
        <v>18112</v>
      </c>
      <c r="P1446" t="n">
        <v>1470</v>
      </c>
    </row>
    <row r="1447">
      <c r="A1447" t="inlineStr">
        <is>
          <t>OO</t>
        </is>
      </c>
      <c r="B1447" t="n">
        <v>2015</v>
      </c>
      <c r="C1447" t="n">
        <v>9</v>
      </c>
      <c r="D1447" t="n">
        <v>47625</v>
      </c>
      <c r="E1447" t="n">
        <v>352</v>
      </c>
      <c r="F1447" t="n">
        <v>66</v>
      </c>
      <c r="G1447" t="n">
        <v>47207</v>
      </c>
      <c r="H1447" t="n">
        <v>40637</v>
      </c>
      <c r="I1447" t="n">
        <v>72269</v>
      </c>
      <c r="J1447" t="n">
        <v>649524.6000000043</v>
      </c>
      <c r="K1447" t="n">
        <v>47320</v>
      </c>
      <c r="L1447" t="n">
        <v>151075</v>
      </c>
      <c r="M1447" t="n">
        <v>132002</v>
      </c>
      <c r="N1447" t="n">
        <v>79324</v>
      </c>
      <c r="O1447" t="n">
        <v>10176</v>
      </c>
      <c r="P1447" t="n">
        <v>1037</v>
      </c>
    </row>
    <row r="1448">
      <c r="A1448" t="inlineStr">
        <is>
          <t>OO</t>
        </is>
      </c>
      <c r="B1448" t="n">
        <v>2015</v>
      </c>
      <c r="C1448" t="n">
        <v>10</v>
      </c>
      <c r="D1448" t="n">
        <v>48808</v>
      </c>
      <c r="E1448" t="n">
        <v>241</v>
      </c>
      <c r="F1448" t="n">
        <v>81</v>
      </c>
      <c r="G1448" t="n">
        <v>48486</v>
      </c>
      <c r="H1448" t="n">
        <v>41842</v>
      </c>
      <c r="I1448" t="n">
        <v>84894</v>
      </c>
      <c r="J1448" t="n">
        <v>682222.3999999948</v>
      </c>
      <c r="K1448" t="n">
        <v>48601</v>
      </c>
      <c r="L1448" t="n">
        <v>150365</v>
      </c>
      <c r="M1448" t="n">
        <v>133152</v>
      </c>
      <c r="N1448" t="n">
        <v>71174</v>
      </c>
      <c r="O1448" t="n">
        <v>8260</v>
      </c>
      <c r="P1448" t="n">
        <v>459</v>
      </c>
    </row>
    <row r="1449">
      <c r="A1449" t="inlineStr">
        <is>
          <t>OO</t>
        </is>
      </c>
      <c r="B1449" t="n">
        <v>2015</v>
      </c>
      <c r="C1449" t="n">
        <v>11</v>
      </c>
      <c r="D1449" t="n">
        <v>47292</v>
      </c>
      <c r="E1449" t="n">
        <v>707</v>
      </c>
      <c r="F1449" t="n">
        <v>112</v>
      </c>
      <c r="G1449" t="n">
        <v>46473</v>
      </c>
      <c r="H1449" t="n">
        <v>38349</v>
      </c>
      <c r="I1449" t="n">
        <v>228905</v>
      </c>
      <c r="J1449" t="n">
        <v>724493.2000000034</v>
      </c>
      <c r="K1449" t="n">
        <v>46903</v>
      </c>
      <c r="L1449" t="n">
        <v>203653</v>
      </c>
      <c r="M1449" t="n">
        <v>154528</v>
      </c>
      <c r="N1449" t="n">
        <v>116977</v>
      </c>
      <c r="O1449" t="n">
        <v>26753</v>
      </c>
      <c r="P1449" t="n">
        <v>567</v>
      </c>
    </row>
    <row r="1450">
      <c r="A1450" t="inlineStr">
        <is>
          <t>OO</t>
        </is>
      </c>
      <c r="B1450" t="n">
        <v>2015</v>
      </c>
      <c r="C1450" t="n">
        <v>12</v>
      </c>
      <c r="D1450" t="n">
        <v>47590</v>
      </c>
      <c r="E1450" t="n">
        <v>1395</v>
      </c>
      <c r="F1450" t="n">
        <v>211</v>
      </c>
      <c r="G1450" t="n">
        <v>45984</v>
      </c>
      <c r="H1450" t="n">
        <v>34704</v>
      </c>
      <c r="I1450" t="n">
        <v>503415</v>
      </c>
      <c r="J1450" t="n">
        <v>771960.2999999986</v>
      </c>
      <c r="K1450" t="n">
        <v>47230</v>
      </c>
      <c r="L1450" t="n">
        <v>322904</v>
      </c>
      <c r="M1450" t="n">
        <v>219355</v>
      </c>
      <c r="N1450" t="n">
        <v>168152</v>
      </c>
      <c r="O1450" t="n">
        <v>32524</v>
      </c>
      <c r="P1450" t="n">
        <v>1305</v>
      </c>
    </row>
    <row r="1451">
      <c r="A1451" t="inlineStr">
        <is>
          <t>OO</t>
        </is>
      </c>
      <c r="B1451" t="n">
        <v>2016</v>
      </c>
      <c r="C1451" t="n">
        <v>1</v>
      </c>
      <c r="D1451" t="n">
        <v>47619</v>
      </c>
      <c r="E1451" t="n">
        <v>984</v>
      </c>
      <c r="F1451" t="n">
        <v>194</v>
      </c>
      <c r="G1451" t="n">
        <v>46441</v>
      </c>
      <c r="H1451" t="n">
        <v>36942</v>
      </c>
      <c r="I1451" t="n">
        <v>345826</v>
      </c>
      <c r="J1451" t="n">
        <v>787136.0000000012</v>
      </c>
      <c r="K1451" t="n">
        <v>47416</v>
      </c>
      <c r="L1451" t="n">
        <v>273268</v>
      </c>
      <c r="M1451" t="n">
        <v>214133</v>
      </c>
      <c r="N1451" t="n">
        <v>135898</v>
      </c>
      <c r="O1451" t="n">
        <v>27413</v>
      </c>
      <c r="P1451" t="n">
        <v>744</v>
      </c>
    </row>
    <row r="1452">
      <c r="A1452" t="inlineStr">
        <is>
          <t>OO</t>
        </is>
      </c>
      <c r="B1452" t="n">
        <v>2016</v>
      </c>
      <c r="C1452" t="n">
        <v>2</v>
      </c>
      <c r="D1452" t="n">
        <v>45616</v>
      </c>
      <c r="E1452" t="n">
        <v>1092</v>
      </c>
      <c r="F1452" t="n">
        <v>131</v>
      </c>
      <c r="G1452" t="n">
        <v>44393</v>
      </c>
      <c r="H1452" t="n">
        <v>37368</v>
      </c>
      <c r="I1452" t="n">
        <v>145859</v>
      </c>
      <c r="J1452" t="n">
        <v>743980.1000000043</v>
      </c>
      <c r="K1452" t="n">
        <v>45346</v>
      </c>
      <c r="L1452" t="n">
        <v>202763</v>
      </c>
      <c r="M1452" t="n">
        <v>166784</v>
      </c>
      <c r="N1452" t="n">
        <v>97369</v>
      </c>
      <c r="O1452" t="n">
        <v>21603</v>
      </c>
      <c r="P1452" t="n">
        <v>597</v>
      </c>
    </row>
    <row r="1453">
      <c r="A1453" t="inlineStr">
        <is>
          <t>OO</t>
        </is>
      </c>
      <c r="B1453" t="n">
        <v>2016</v>
      </c>
      <c r="C1453" t="n">
        <v>3</v>
      </c>
      <c r="D1453" t="n">
        <v>52057</v>
      </c>
      <c r="E1453" t="n">
        <v>1214</v>
      </c>
      <c r="F1453" t="n">
        <v>189</v>
      </c>
      <c r="G1453" t="n">
        <v>50654</v>
      </c>
      <c r="H1453" t="n">
        <v>40971</v>
      </c>
      <c r="I1453" t="n">
        <v>373570</v>
      </c>
      <c r="J1453" t="n">
        <v>778734.4</v>
      </c>
      <c r="K1453" t="n">
        <v>51697</v>
      </c>
      <c r="L1453" t="n">
        <v>277028</v>
      </c>
      <c r="M1453" t="n">
        <v>209060</v>
      </c>
      <c r="N1453" t="n">
        <v>145995</v>
      </c>
      <c r="O1453" t="n">
        <v>25003</v>
      </c>
      <c r="P1453" t="n">
        <v>782</v>
      </c>
    </row>
    <row r="1454">
      <c r="A1454" t="inlineStr">
        <is>
          <t>OO</t>
        </is>
      </c>
      <c r="B1454" t="n">
        <v>2016</v>
      </c>
      <c r="C1454" t="n">
        <v>4</v>
      </c>
      <c r="D1454" t="n">
        <v>50117</v>
      </c>
      <c r="E1454" t="n">
        <v>694</v>
      </c>
      <c r="F1454" t="n">
        <v>88</v>
      </c>
      <c r="G1454" t="n">
        <v>49335</v>
      </c>
      <c r="H1454" t="n">
        <v>42959</v>
      </c>
      <c r="I1454" t="n">
        <v>26396</v>
      </c>
      <c r="J1454" t="n">
        <v>786456.0000000045</v>
      </c>
      <c r="K1454" t="n">
        <v>49964</v>
      </c>
      <c r="L1454" t="n">
        <v>163770</v>
      </c>
      <c r="M1454" t="n">
        <v>146750</v>
      </c>
      <c r="N1454" t="n">
        <v>75419</v>
      </c>
      <c r="O1454" t="n">
        <v>14301</v>
      </c>
      <c r="P1454" t="n">
        <v>234</v>
      </c>
    </row>
    <row r="1455">
      <c r="A1455" t="inlineStr">
        <is>
          <t>OO</t>
        </is>
      </c>
      <c r="B1455" t="n">
        <v>2016</v>
      </c>
      <c r="C1455" t="n">
        <v>5</v>
      </c>
      <c r="D1455" t="n">
        <v>51253</v>
      </c>
      <c r="E1455" t="n">
        <v>305</v>
      </c>
      <c r="F1455" t="n">
        <v>151</v>
      </c>
      <c r="G1455" t="n">
        <v>50797</v>
      </c>
      <c r="H1455" t="n">
        <v>43601</v>
      </c>
      <c r="I1455" t="n">
        <v>104289</v>
      </c>
      <c r="J1455" t="n">
        <v>795310.1000000081</v>
      </c>
      <c r="K1455" t="n">
        <v>51070</v>
      </c>
      <c r="L1455" t="n">
        <v>199351</v>
      </c>
      <c r="M1455" t="n">
        <v>149825</v>
      </c>
      <c r="N1455" t="n">
        <v>109864</v>
      </c>
      <c r="O1455" t="n">
        <v>19108</v>
      </c>
      <c r="P1455" t="n">
        <v>600</v>
      </c>
    </row>
    <row r="1456">
      <c r="A1456" t="inlineStr">
        <is>
          <t>OO</t>
        </is>
      </c>
      <c r="B1456" t="n">
        <v>2016</v>
      </c>
      <c r="C1456" t="n">
        <v>6</v>
      </c>
      <c r="D1456" t="n">
        <v>52850</v>
      </c>
      <c r="E1456" t="n">
        <v>422</v>
      </c>
      <c r="F1456" t="n">
        <v>173</v>
      </c>
      <c r="G1456" t="n">
        <v>52255</v>
      </c>
      <c r="H1456" t="n">
        <v>44727</v>
      </c>
      <c r="I1456" t="n">
        <v>151474</v>
      </c>
      <c r="J1456" t="n">
        <v>813925.8999999946</v>
      </c>
      <c r="K1456" t="n">
        <v>52567</v>
      </c>
      <c r="L1456" t="n">
        <v>205651</v>
      </c>
      <c r="M1456" t="n">
        <v>192414</v>
      </c>
      <c r="N1456" t="n">
        <v>94121</v>
      </c>
      <c r="O1456" t="n">
        <v>23150</v>
      </c>
      <c r="P1456" t="n">
        <v>366</v>
      </c>
    </row>
    <row r="1457">
      <c r="A1457" t="inlineStr">
        <is>
          <t>OO</t>
        </is>
      </c>
      <c r="B1457" t="n">
        <v>2016</v>
      </c>
      <c r="C1457" t="n">
        <v>7</v>
      </c>
      <c r="D1457" t="n">
        <v>54964</v>
      </c>
      <c r="E1457" t="n">
        <v>501</v>
      </c>
      <c r="F1457" t="n">
        <v>186</v>
      </c>
      <c r="G1457" t="n">
        <v>54277</v>
      </c>
      <c r="H1457" t="n">
        <v>45574</v>
      </c>
      <c r="I1457" t="n">
        <v>251916</v>
      </c>
      <c r="J1457" t="n">
        <v>855389.6999999989</v>
      </c>
      <c r="K1457" t="n">
        <v>54821</v>
      </c>
      <c r="L1457" t="n">
        <v>246761</v>
      </c>
      <c r="M1457" t="n">
        <v>226719</v>
      </c>
      <c r="N1457" t="n">
        <v>124331</v>
      </c>
      <c r="O1457" t="n">
        <v>30368</v>
      </c>
      <c r="P1457" t="n">
        <v>782</v>
      </c>
    </row>
    <row r="1458">
      <c r="A1458" t="inlineStr">
        <is>
          <t>OO</t>
        </is>
      </c>
      <c r="B1458" t="n">
        <v>2016</v>
      </c>
      <c r="C1458" t="n">
        <v>8</v>
      </c>
      <c r="D1458" t="n">
        <v>54552</v>
      </c>
      <c r="E1458" t="n">
        <v>356</v>
      </c>
      <c r="F1458" t="n">
        <v>175</v>
      </c>
      <c r="G1458" t="n">
        <v>54021</v>
      </c>
      <c r="H1458" t="n">
        <v>44444</v>
      </c>
      <c r="I1458" t="n">
        <v>290540</v>
      </c>
      <c r="J1458" t="n">
        <v>849874.4999999988</v>
      </c>
      <c r="K1458" t="n">
        <v>54445</v>
      </c>
      <c r="L1458" t="n">
        <v>286670</v>
      </c>
      <c r="M1458" t="n">
        <v>199669</v>
      </c>
      <c r="N1458" t="n">
        <v>140521</v>
      </c>
      <c r="O1458" t="n">
        <v>22969</v>
      </c>
      <c r="P1458" t="n">
        <v>866</v>
      </c>
    </row>
    <row r="1459">
      <c r="A1459" t="inlineStr">
        <is>
          <t>OO</t>
        </is>
      </c>
      <c r="B1459" t="n">
        <v>2016</v>
      </c>
      <c r="C1459" t="n">
        <v>9</v>
      </c>
      <c r="D1459" t="n">
        <v>48976</v>
      </c>
      <c r="E1459" t="n">
        <v>187</v>
      </c>
      <c r="F1459" t="n">
        <v>122</v>
      </c>
      <c r="G1459" t="n">
        <v>48667</v>
      </c>
      <c r="H1459" t="n">
        <v>43385</v>
      </c>
      <c r="I1459" t="n">
        <v>-49190</v>
      </c>
      <c r="J1459" t="n">
        <v>775283.9999999986</v>
      </c>
      <c r="K1459" t="n">
        <v>48705</v>
      </c>
      <c r="L1459" t="n">
        <v>125150</v>
      </c>
      <c r="M1459" t="n">
        <v>115098</v>
      </c>
      <c r="N1459" t="n">
        <v>80193</v>
      </c>
      <c r="O1459" t="n">
        <v>20804</v>
      </c>
      <c r="P1459" t="n">
        <v>205</v>
      </c>
    </row>
    <row r="1460">
      <c r="A1460" t="inlineStr">
        <is>
          <t>OO</t>
        </is>
      </c>
      <c r="B1460" t="n">
        <v>2016</v>
      </c>
      <c r="C1460" t="n">
        <v>10</v>
      </c>
      <c r="D1460" t="n">
        <v>51015</v>
      </c>
      <c r="E1460" t="n">
        <v>533</v>
      </c>
      <c r="F1460" t="n">
        <v>71</v>
      </c>
      <c r="G1460" t="n">
        <v>50411</v>
      </c>
      <c r="H1460" t="n">
        <v>43637</v>
      </c>
      <c r="I1460" t="n">
        <v>79448</v>
      </c>
      <c r="J1460" t="n">
        <v>844012.8999999955</v>
      </c>
      <c r="K1460" t="n">
        <v>50900</v>
      </c>
      <c r="L1460" t="n">
        <v>170712</v>
      </c>
      <c r="M1460" t="n">
        <v>153637</v>
      </c>
      <c r="N1460" t="n">
        <v>103903</v>
      </c>
      <c r="O1460" t="n">
        <v>17645</v>
      </c>
      <c r="P1460" t="n">
        <v>513</v>
      </c>
    </row>
    <row r="1461">
      <c r="A1461" t="inlineStr">
        <is>
          <t>OO</t>
        </is>
      </c>
      <c r="B1461" t="n">
        <v>2016</v>
      </c>
      <c r="C1461" t="n">
        <v>11</v>
      </c>
      <c r="D1461" t="n">
        <v>47286</v>
      </c>
      <c r="E1461" t="n">
        <v>328</v>
      </c>
      <c r="F1461" t="n">
        <v>146</v>
      </c>
      <c r="G1461" t="n">
        <v>46812</v>
      </c>
      <c r="H1461" t="n">
        <v>40292</v>
      </c>
      <c r="I1461" t="n">
        <v>62070</v>
      </c>
      <c r="J1461" t="n">
        <v>873023.5000000031</v>
      </c>
      <c r="K1461" t="n">
        <v>47000</v>
      </c>
      <c r="L1461" t="n">
        <v>188924</v>
      </c>
      <c r="M1461" t="n">
        <v>152175</v>
      </c>
      <c r="N1461" t="n">
        <v>91885</v>
      </c>
      <c r="O1461" t="n">
        <v>37439</v>
      </c>
      <c r="P1461" t="n">
        <v>541</v>
      </c>
    </row>
    <row r="1462">
      <c r="A1462" t="inlineStr">
        <is>
          <t>OO</t>
        </is>
      </c>
      <c r="B1462" t="n">
        <v>2016</v>
      </c>
      <c r="C1462" t="n">
        <v>12</v>
      </c>
      <c r="D1462" t="n">
        <v>49628</v>
      </c>
      <c r="E1462" t="n">
        <v>1830</v>
      </c>
      <c r="F1462" t="n">
        <v>283</v>
      </c>
      <c r="G1462" t="n">
        <v>47515</v>
      </c>
      <c r="H1462" t="n">
        <v>34650</v>
      </c>
      <c r="I1462" t="n">
        <v>753018</v>
      </c>
      <c r="J1462" t="n">
        <v>934244.4000000011</v>
      </c>
      <c r="K1462" t="n">
        <v>49244</v>
      </c>
      <c r="L1462" t="n">
        <v>428682</v>
      </c>
      <c r="M1462" t="n">
        <v>332779</v>
      </c>
      <c r="N1462" t="n">
        <v>185940</v>
      </c>
      <c r="O1462" t="n">
        <v>67838</v>
      </c>
      <c r="P1462" t="n">
        <v>795</v>
      </c>
    </row>
    <row r="1463">
      <c r="A1463" t="inlineStr">
        <is>
          <t>OO</t>
        </is>
      </c>
      <c r="B1463" t="n">
        <v>2017</v>
      </c>
      <c r="C1463" t="n">
        <v>1</v>
      </c>
      <c r="D1463" t="n">
        <v>50146</v>
      </c>
      <c r="E1463" t="n">
        <v>1880</v>
      </c>
      <c r="F1463" t="n">
        <v>272</v>
      </c>
      <c r="G1463" t="n">
        <v>47994</v>
      </c>
      <c r="H1463" t="n">
        <v>35608</v>
      </c>
      <c r="I1463" t="n">
        <v>601294</v>
      </c>
      <c r="J1463" t="n">
        <v>987941.6000000043</v>
      </c>
      <c r="K1463" t="n">
        <v>49995</v>
      </c>
      <c r="L1463" t="n">
        <v>387883</v>
      </c>
      <c r="M1463" t="n">
        <v>291017</v>
      </c>
      <c r="N1463" t="n">
        <v>188101</v>
      </c>
      <c r="O1463" t="n">
        <v>57385</v>
      </c>
      <c r="P1463" t="n">
        <v>1248</v>
      </c>
    </row>
    <row r="1464">
      <c r="A1464" t="inlineStr">
        <is>
          <t>OO</t>
        </is>
      </c>
      <c r="B1464" t="n">
        <v>2017</v>
      </c>
      <c r="C1464" t="n">
        <v>2</v>
      </c>
      <c r="D1464" t="n">
        <v>46953</v>
      </c>
      <c r="E1464" t="n">
        <v>1115</v>
      </c>
      <c r="F1464" t="n">
        <v>233</v>
      </c>
      <c r="G1464" t="n">
        <v>45605</v>
      </c>
      <c r="H1464" t="n">
        <v>37483</v>
      </c>
      <c r="I1464" t="n">
        <v>229612</v>
      </c>
      <c r="J1464" t="n">
        <v>903226.0000000003</v>
      </c>
      <c r="K1464" t="n">
        <v>46817</v>
      </c>
      <c r="L1464" t="n">
        <v>255595</v>
      </c>
      <c r="M1464" t="n">
        <v>221800</v>
      </c>
      <c r="N1464" t="n">
        <v>134858</v>
      </c>
      <c r="O1464" t="n">
        <v>32466</v>
      </c>
      <c r="P1464" t="n">
        <v>590</v>
      </c>
    </row>
    <row r="1465">
      <c r="A1465" t="inlineStr">
        <is>
          <t>OO</t>
        </is>
      </c>
      <c r="B1465" t="n">
        <v>2017</v>
      </c>
      <c r="C1465" t="n">
        <v>3</v>
      </c>
      <c r="D1465" t="n">
        <v>58100</v>
      </c>
      <c r="E1465" t="n">
        <v>1110</v>
      </c>
      <c r="F1465" t="n">
        <v>190</v>
      </c>
      <c r="G1465" t="n">
        <v>56800</v>
      </c>
      <c r="H1465" t="n">
        <v>45629</v>
      </c>
      <c r="I1465" t="n">
        <v>455444</v>
      </c>
      <c r="J1465" t="n">
        <v>1029805.500000012</v>
      </c>
      <c r="K1465" t="n">
        <v>57847</v>
      </c>
      <c r="L1465" t="n">
        <v>361172</v>
      </c>
      <c r="M1465" t="n">
        <v>273258</v>
      </c>
      <c r="N1465" t="n">
        <v>167504</v>
      </c>
      <c r="O1465" t="n">
        <v>43823</v>
      </c>
      <c r="P1465" t="n">
        <v>245</v>
      </c>
    </row>
    <row r="1466">
      <c r="A1466" t="inlineStr">
        <is>
          <t>OO</t>
        </is>
      </c>
      <c r="B1466" t="n">
        <v>2017</v>
      </c>
      <c r="C1466" t="n">
        <v>4</v>
      </c>
      <c r="D1466" t="n">
        <v>56210</v>
      </c>
      <c r="E1466" t="n">
        <v>914</v>
      </c>
      <c r="F1466" t="n">
        <v>122</v>
      </c>
      <c r="G1466" t="n">
        <v>55174</v>
      </c>
      <c r="H1466" t="n">
        <v>44945</v>
      </c>
      <c r="I1466" t="n">
        <v>433158</v>
      </c>
      <c r="J1466" t="n">
        <v>940017.5000000064</v>
      </c>
      <c r="K1466" t="n">
        <v>56148</v>
      </c>
      <c r="L1466" t="n">
        <v>342324</v>
      </c>
      <c r="M1466" t="n">
        <v>298927</v>
      </c>
      <c r="N1466" t="n">
        <v>156707</v>
      </c>
      <c r="O1466" t="n">
        <v>31866</v>
      </c>
      <c r="P1466" t="n">
        <v>309</v>
      </c>
    </row>
    <row r="1467">
      <c r="A1467" t="inlineStr">
        <is>
          <t>OO</t>
        </is>
      </c>
      <c r="B1467" t="n">
        <v>2017</v>
      </c>
      <c r="C1467" t="n">
        <v>5</v>
      </c>
      <c r="D1467" t="n">
        <v>58567</v>
      </c>
      <c r="E1467" t="n">
        <v>400</v>
      </c>
      <c r="F1467" t="n">
        <v>111</v>
      </c>
      <c r="G1467" t="n">
        <v>58056</v>
      </c>
      <c r="H1467" t="n">
        <v>48243</v>
      </c>
      <c r="I1467" t="n">
        <v>313035</v>
      </c>
      <c r="J1467" t="n">
        <v>954749.1000000101</v>
      </c>
      <c r="K1467" t="n">
        <v>58455</v>
      </c>
      <c r="L1467" t="n">
        <v>301502</v>
      </c>
      <c r="M1467" t="n">
        <v>253398</v>
      </c>
      <c r="N1467" t="n">
        <v>153426</v>
      </c>
      <c r="O1467" t="n">
        <v>27258</v>
      </c>
      <c r="P1467" t="n">
        <v>127</v>
      </c>
    </row>
    <row r="1468">
      <c r="A1468" t="inlineStr">
        <is>
          <t>OO</t>
        </is>
      </c>
      <c r="B1468" t="n">
        <v>2017</v>
      </c>
      <c r="C1468" t="n">
        <v>6</v>
      </c>
      <c r="D1468" t="n">
        <v>61567</v>
      </c>
      <c r="E1468" t="n">
        <v>590</v>
      </c>
      <c r="F1468" t="n">
        <v>159</v>
      </c>
      <c r="G1468" t="n">
        <v>60818</v>
      </c>
      <c r="H1468" t="n">
        <v>49879</v>
      </c>
      <c r="I1468" t="n">
        <v>437625</v>
      </c>
      <c r="J1468" t="n">
        <v>1015119.7</v>
      </c>
      <c r="K1468" t="n">
        <v>61433</v>
      </c>
      <c r="L1468" t="n">
        <v>364765</v>
      </c>
      <c r="M1468" t="n">
        <v>322765</v>
      </c>
      <c r="N1468" t="n">
        <v>146279</v>
      </c>
      <c r="O1468" t="n">
        <v>36820</v>
      </c>
      <c r="P1468" t="n">
        <v>1003</v>
      </c>
    </row>
    <row r="1469">
      <c r="A1469" t="inlineStr">
        <is>
          <t>OO</t>
        </is>
      </c>
      <c r="B1469" t="n">
        <v>2017</v>
      </c>
      <c r="C1469" t="n">
        <v>7</v>
      </c>
      <c r="D1469" t="n">
        <v>64559</v>
      </c>
      <c r="E1469" t="n">
        <v>814</v>
      </c>
      <c r="F1469" t="n">
        <v>139</v>
      </c>
      <c r="G1469" t="n">
        <v>63606</v>
      </c>
      <c r="H1469" t="n">
        <v>51042</v>
      </c>
      <c r="I1469" t="n">
        <v>578802</v>
      </c>
      <c r="J1469" t="n">
        <v>1055945.5</v>
      </c>
      <c r="K1469" t="n">
        <v>64413</v>
      </c>
      <c r="L1469" t="n">
        <v>439684</v>
      </c>
      <c r="M1469" t="n">
        <v>361051</v>
      </c>
      <c r="N1469" t="n">
        <v>168590</v>
      </c>
      <c r="O1469" t="n">
        <v>36731</v>
      </c>
      <c r="P1469" t="n">
        <v>447</v>
      </c>
    </row>
    <row r="1470">
      <c r="A1470" t="inlineStr">
        <is>
          <t>OO</t>
        </is>
      </c>
      <c r="B1470" t="n">
        <v>2017</v>
      </c>
      <c r="C1470" t="n">
        <v>8</v>
      </c>
      <c r="D1470" t="n">
        <v>66073</v>
      </c>
      <c r="E1470" t="n">
        <v>1015</v>
      </c>
      <c r="F1470" t="n">
        <v>153</v>
      </c>
      <c r="G1470" t="n">
        <v>64905</v>
      </c>
      <c r="H1470" t="n">
        <v>51234</v>
      </c>
      <c r="I1470" t="n">
        <v>713395</v>
      </c>
      <c r="J1470" t="n">
        <v>1087332.300000001</v>
      </c>
      <c r="K1470" t="n">
        <v>65859</v>
      </c>
      <c r="L1470" t="n">
        <v>479257</v>
      </c>
      <c r="M1470" t="n">
        <v>411529</v>
      </c>
      <c r="N1470" t="n">
        <v>192198</v>
      </c>
      <c r="O1470" t="n">
        <v>45330</v>
      </c>
      <c r="P1470" t="n">
        <v>1077</v>
      </c>
    </row>
    <row r="1471">
      <c r="A1471" t="inlineStr">
        <is>
          <t>OO</t>
        </is>
      </c>
      <c r="B1471" t="n">
        <v>2017</v>
      </c>
      <c r="C1471" t="n">
        <v>9</v>
      </c>
      <c r="D1471" t="n">
        <v>59781</v>
      </c>
      <c r="E1471" t="n">
        <v>366</v>
      </c>
      <c r="F1471" t="n">
        <v>126</v>
      </c>
      <c r="G1471" t="n">
        <v>59289</v>
      </c>
      <c r="H1471" t="n">
        <v>51442</v>
      </c>
      <c r="I1471" t="n">
        <v>67173</v>
      </c>
      <c r="J1471" t="n">
        <v>1013219.699999999</v>
      </c>
      <c r="K1471" t="n">
        <v>59488</v>
      </c>
      <c r="L1471" t="n">
        <v>211705</v>
      </c>
      <c r="M1471" t="n">
        <v>213592</v>
      </c>
      <c r="N1471" t="n">
        <v>96981</v>
      </c>
      <c r="O1471" t="n">
        <v>21855</v>
      </c>
      <c r="P1471" t="n">
        <v>556</v>
      </c>
    </row>
    <row r="1472">
      <c r="A1472" t="inlineStr">
        <is>
          <t>OO</t>
        </is>
      </c>
      <c r="B1472" t="n">
        <v>2017</v>
      </c>
      <c r="C1472" t="n">
        <v>10</v>
      </c>
      <c r="D1472" t="n">
        <v>64740</v>
      </c>
      <c r="E1472" t="n">
        <v>963</v>
      </c>
      <c r="F1472" t="n">
        <v>164</v>
      </c>
      <c r="G1472" t="n">
        <v>63613</v>
      </c>
      <c r="H1472" t="n">
        <v>52876</v>
      </c>
      <c r="I1472" t="n">
        <v>377861</v>
      </c>
      <c r="J1472" t="n">
        <v>1115924.600000004</v>
      </c>
      <c r="K1472" t="n">
        <v>64564</v>
      </c>
      <c r="L1472" t="n">
        <v>338462</v>
      </c>
      <c r="M1472" t="n">
        <v>312324</v>
      </c>
      <c r="N1472" t="n">
        <v>148380</v>
      </c>
      <c r="O1472" t="n">
        <v>34317</v>
      </c>
      <c r="P1472" t="n">
        <v>736</v>
      </c>
    </row>
    <row r="1473">
      <c r="A1473" t="inlineStr">
        <is>
          <t>OO</t>
        </is>
      </c>
      <c r="B1473" t="n">
        <v>2017</v>
      </c>
      <c r="C1473" t="n">
        <v>11</v>
      </c>
      <c r="D1473" t="n">
        <v>59263</v>
      </c>
      <c r="E1473" t="n">
        <v>390</v>
      </c>
      <c r="F1473" t="n">
        <v>130</v>
      </c>
      <c r="G1473" t="n">
        <v>58743</v>
      </c>
      <c r="H1473" t="n">
        <v>50633</v>
      </c>
      <c r="I1473" t="n">
        <v>87907</v>
      </c>
      <c r="J1473" t="n">
        <v>1162905.300000004</v>
      </c>
      <c r="K1473" t="n">
        <v>58870</v>
      </c>
      <c r="L1473" t="n">
        <v>226838</v>
      </c>
      <c r="M1473" t="n">
        <v>240442</v>
      </c>
      <c r="N1473" t="n">
        <v>112561</v>
      </c>
      <c r="O1473" t="n">
        <v>35950</v>
      </c>
      <c r="P1473" t="n">
        <v>1505</v>
      </c>
    </row>
    <row r="1474">
      <c r="A1474" t="inlineStr">
        <is>
          <t>OO</t>
        </is>
      </c>
      <c r="B1474" t="n">
        <v>2017</v>
      </c>
      <c r="C1474" t="n">
        <v>12</v>
      </c>
      <c r="D1474" t="n">
        <v>60567</v>
      </c>
      <c r="E1474" t="n">
        <v>901</v>
      </c>
      <c r="F1474" t="n">
        <v>256</v>
      </c>
      <c r="G1474" t="n">
        <v>59410</v>
      </c>
      <c r="H1474" t="n">
        <v>46312</v>
      </c>
      <c r="I1474" t="n">
        <v>619287</v>
      </c>
      <c r="J1474" t="n">
        <v>1286388.899999997</v>
      </c>
      <c r="K1474" t="n">
        <v>60203</v>
      </c>
      <c r="L1474" t="n">
        <v>440362</v>
      </c>
      <c r="M1474" t="n">
        <v>372855</v>
      </c>
      <c r="N1474" t="n">
        <v>190405</v>
      </c>
      <c r="O1474" t="n">
        <v>88905</v>
      </c>
      <c r="P1474" t="n">
        <v>943</v>
      </c>
    </row>
    <row r="1475">
      <c r="A1475" t="inlineStr">
        <is>
          <t>OO</t>
        </is>
      </c>
      <c r="B1475" t="n">
        <v>2018</v>
      </c>
      <c r="C1475" t="n">
        <v>1</v>
      </c>
      <c r="D1475" t="n">
        <v>62189</v>
      </c>
      <c r="E1475" t="n">
        <v>1561</v>
      </c>
      <c r="F1475" t="n">
        <v>289</v>
      </c>
      <c r="G1475" t="n">
        <v>60339</v>
      </c>
      <c r="H1475" t="n">
        <v>46833</v>
      </c>
      <c r="I1475" t="n">
        <v>632018</v>
      </c>
      <c r="J1475" t="n">
        <v>1332325.799999998</v>
      </c>
      <c r="K1475" t="n">
        <v>61982</v>
      </c>
      <c r="L1475" t="n">
        <v>489617</v>
      </c>
      <c r="M1475" t="n">
        <v>402723</v>
      </c>
      <c r="N1475" t="n">
        <v>181847</v>
      </c>
      <c r="O1475" t="n">
        <v>79080</v>
      </c>
      <c r="P1475" t="n">
        <v>2086</v>
      </c>
    </row>
    <row r="1476">
      <c r="A1476" t="inlineStr">
        <is>
          <t>OO</t>
        </is>
      </c>
      <c r="B1476" t="n">
        <v>2018</v>
      </c>
      <c r="C1476" t="n">
        <v>2</v>
      </c>
      <c r="D1476" t="n">
        <v>55986</v>
      </c>
      <c r="E1476" t="n">
        <v>1543</v>
      </c>
      <c r="F1476" t="n">
        <v>238</v>
      </c>
      <c r="G1476" t="n">
        <v>54205</v>
      </c>
      <c r="H1476" t="n">
        <v>42546</v>
      </c>
      <c r="I1476" t="n">
        <v>476299</v>
      </c>
      <c r="J1476" t="n">
        <v>1183463.800000001</v>
      </c>
      <c r="K1476" t="n">
        <v>55790</v>
      </c>
      <c r="L1476" t="n">
        <v>374456</v>
      </c>
      <c r="M1476" t="n">
        <v>289455</v>
      </c>
      <c r="N1476" t="n">
        <v>185262</v>
      </c>
      <c r="O1476" t="n">
        <v>76652</v>
      </c>
      <c r="P1476" t="n">
        <v>334</v>
      </c>
    </row>
    <row r="1477">
      <c r="A1477" t="inlineStr">
        <is>
          <t>OO</t>
        </is>
      </c>
      <c r="B1477" t="n">
        <v>2018</v>
      </c>
      <c r="C1477" t="n">
        <v>3</v>
      </c>
      <c r="D1477" t="n">
        <v>64597</v>
      </c>
      <c r="E1477" t="n">
        <v>978</v>
      </c>
      <c r="F1477" t="n">
        <v>210</v>
      </c>
      <c r="G1477" t="n">
        <v>63409</v>
      </c>
      <c r="H1477" t="n">
        <v>53037</v>
      </c>
      <c r="I1477" t="n">
        <v>257450</v>
      </c>
      <c r="J1477" t="n">
        <v>1236373.000000006</v>
      </c>
      <c r="K1477" t="n">
        <v>64413</v>
      </c>
      <c r="L1477" t="n">
        <v>271815</v>
      </c>
      <c r="M1477" t="n">
        <v>245924</v>
      </c>
      <c r="N1477" t="n">
        <v>166709</v>
      </c>
      <c r="O1477" t="n">
        <v>43727</v>
      </c>
      <c r="P1477" t="n">
        <v>617</v>
      </c>
    </row>
    <row r="1478">
      <c r="A1478" t="inlineStr">
        <is>
          <t>OO</t>
        </is>
      </c>
      <c r="B1478" t="n">
        <v>2018</v>
      </c>
      <c r="C1478" t="n">
        <v>4</v>
      </c>
      <c r="D1478" t="n">
        <v>62861</v>
      </c>
      <c r="E1478" t="n">
        <v>830</v>
      </c>
      <c r="F1478" t="n">
        <v>131</v>
      </c>
      <c r="G1478" t="n">
        <v>61900</v>
      </c>
      <c r="H1478" t="n">
        <v>52203</v>
      </c>
      <c r="I1478" t="n">
        <v>197235</v>
      </c>
      <c r="J1478" t="n">
        <v>1149293.400000006</v>
      </c>
      <c r="K1478" t="n">
        <v>62771</v>
      </c>
      <c r="L1478" t="n">
        <v>256881</v>
      </c>
      <c r="M1478" t="n">
        <v>212456</v>
      </c>
      <c r="N1478" t="n">
        <v>146425</v>
      </c>
      <c r="O1478" t="n">
        <v>55923</v>
      </c>
      <c r="P1478" t="n">
        <v>363</v>
      </c>
    </row>
    <row r="1479">
      <c r="A1479" t="inlineStr">
        <is>
          <t>OO</t>
        </is>
      </c>
      <c r="B1479" t="n">
        <v>2018</v>
      </c>
      <c r="C1479" t="n">
        <v>5</v>
      </c>
      <c r="D1479" t="n">
        <v>65157</v>
      </c>
      <c r="E1479" t="n">
        <v>684</v>
      </c>
      <c r="F1479" t="n">
        <v>219</v>
      </c>
      <c r="G1479" t="n">
        <v>64254</v>
      </c>
      <c r="H1479" t="n">
        <v>52629</v>
      </c>
      <c r="I1479" t="n">
        <v>490734</v>
      </c>
      <c r="J1479" t="n">
        <v>1158330.100000003</v>
      </c>
      <c r="K1479" t="n">
        <v>65006</v>
      </c>
      <c r="L1479" t="n">
        <v>359762</v>
      </c>
      <c r="M1479" t="n">
        <v>269662</v>
      </c>
      <c r="N1479" t="n">
        <v>222301</v>
      </c>
      <c r="O1479" t="n">
        <v>99642</v>
      </c>
      <c r="P1479" t="n">
        <v>2527</v>
      </c>
    </row>
    <row r="1480">
      <c r="A1480" t="inlineStr">
        <is>
          <t>OO</t>
        </is>
      </c>
      <c r="B1480" t="n">
        <v>2018</v>
      </c>
      <c r="C1480" t="n">
        <v>6</v>
      </c>
      <c r="D1480" t="n">
        <v>66909</v>
      </c>
      <c r="E1480" t="n">
        <v>723</v>
      </c>
      <c r="F1480" t="n">
        <v>255</v>
      </c>
      <c r="G1480" t="n">
        <v>65931</v>
      </c>
      <c r="H1480" t="n">
        <v>52661</v>
      </c>
      <c r="I1480" t="n">
        <v>646900</v>
      </c>
      <c r="J1480" t="n">
        <v>1153642.899999997</v>
      </c>
      <c r="K1480" t="n">
        <v>66754</v>
      </c>
      <c r="L1480" t="n">
        <v>448146</v>
      </c>
      <c r="M1480" t="n">
        <v>325381</v>
      </c>
      <c r="N1480" t="n">
        <v>218766</v>
      </c>
      <c r="O1480" t="n">
        <v>86456</v>
      </c>
      <c r="P1480" t="n">
        <v>281</v>
      </c>
    </row>
    <row r="1481">
      <c r="A1481" t="inlineStr">
        <is>
          <t>OO</t>
        </is>
      </c>
      <c r="B1481" t="n">
        <v>2018</v>
      </c>
      <c r="C1481" t="n">
        <v>7</v>
      </c>
      <c r="D1481" t="n">
        <v>69454</v>
      </c>
      <c r="E1481" t="n">
        <v>642</v>
      </c>
      <c r="F1481" t="n">
        <v>242</v>
      </c>
      <c r="G1481" t="n">
        <v>68570</v>
      </c>
      <c r="H1481" t="n">
        <v>55846</v>
      </c>
      <c r="I1481" t="n">
        <v>509526</v>
      </c>
      <c r="J1481" t="n">
        <v>1191175.699999996</v>
      </c>
      <c r="K1481" t="n">
        <v>69350</v>
      </c>
      <c r="L1481" t="n">
        <v>378012</v>
      </c>
      <c r="M1481" t="n">
        <v>325664</v>
      </c>
      <c r="N1481" t="n">
        <v>172592</v>
      </c>
      <c r="O1481" t="n">
        <v>85171</v>
      </c>
      <c r="P1481" t="n">
        <v>990</v>
      </c>
    </row>
    <row r="1482">
      <c r="A1482" t="inlineStr">
        <is>
          <t>OO</t>
        </is>
      </c>
      <c r="B1482" t="n">
        <v>2018</v>
      </c>
      <c r="C1482" t="n">
        <v>8</v>
      </c>
      <c r="D1482" t="n">
        <v>70727</v>
      </c>
      <c r="E1482" t="n">
        <v>1098</v>
      </c>
      <c r="F1482" t="n">
        <v>282</v>
      </c>
      <c r="G1482" t="n">
        <v>69347</v>
      </c>
      <c r="H1482" t="n">
        <v>54001</v>
      </c>
      <c r="I1482" t="n">
        <v>842298</v>
      </c>
      <c r="J1482" t="n">
        <v>1217246.499999995</v>
      </c>
      <c r="K1482" t="n">
        <v>70546</v>
      </c>
      <c r="L1482" t="n">
        <v>505719</v>
      </c>
      <c r="M1482" t="n">
        <v>403937</v>
      </c>
      <c r="N1482" t="n">
        <v>260689</v>
      </c>
      <c r="O1482" t="n">
        <v>87694</v>
      </c>
      <c r="P1482" t="n">
        <v>1447</v>
      </c>
    </row>
    <row r="1483">
      <c r="A1483" t="inlineStr">
        <is>
          <t>OO</t>
        </is>
      </c>
      <c r="B1483" t="n">
        <v>2018</v>
      </c>
      <c r="C1483" t="n">
        <v>9</v>
      </c>
      <c r="D1483" t="n">
        <v>62748</v>
      </c>
      <c r="E1483" t="n">
        <v>544</v>
      </c>
      <c r="F1483" t="n">
        <v>182</v>
      </c>
      <c r="G1483" t="n">
        <v>62022</v>
      </c>
      <c r="H1483" t="n">
        <v>52909</v>
      </c>
      <c r="I1483" t="n">
        <v>154805</v>
      </c>
      <c r="J1483" t="n">
        <v>1100802.699999996</v>
      </c>
      <c r="K1483" t="n">
        <v>62572</v>
      </c>
      <c r="L1483" t="n">
        <v>245057</v>
      </c>
      <c r="M1483" t="n">
        <v>220849</v>
      </c>
      <c r="N1483" t="n">
        <v>136763</v>
      </c>
      <c r="O1483" t="n">
        <v>64271</v>
      </c>
      <c r="P1483" t="n">
        <v>418</v>
      </c>
    </row>
    <row r="1484">
      <c r="A1484" t="inlineStr">
        <is>
          <t>OO</t>
        </is>
      </c>
      <c r="B1484" t="n">
        <v>2018</v>
      </c>
      <c r="C1484" t="n">
        <v>10</v>
      </c>
      <c r="D1484" t="n">
        <v>66562</v>
      </c>
      <c r="E1484" t="n">
        <v>311</v>
      </c>
      <c r="F1484" t="n">
        <v>188</v>
      </c>
      <c r="G1484" t="n">
        <v>66063</v>
      </c>
      <c r="H1484" t="n">
        <v>55500</v>
      </c>
      <c r="I1484" t="n">
        <v>249226</v>
      </c>
      <c r="J1484" t="n">
        <v>1200697.599999998</v>
      </c>
      <c r="K1484" t="n">
        <v>66460</v>
      </c>
      <c r="L1484" t="n">
        <v>280819</v>
      </c>
      <c r="M1484" t="n">
        <v>261581</v>
      </c>
      <c r="N1484" t="n">
        <v>153680</v>
      </c>
      <c r="O1484" t="n">
        <v>57550</v>
      </c>
      <c r="P1484" t="n">
        <v>715</v>
      </c>
    </row>
    <row r="1485">
      <c r="A1485" t="inlineStr">
        <is>
          <t>OO</t>
        </is>
      </c>
      <c r="B1485" t="n">
        <v>2018</v>
      </c>
      <c r="C1485" t="n">
        <v>11</v>
      </c>
      <c r="D1485" t="n">
        <v>62263</v>
      </c>
      <c r="E1485" t="n">
        <v>847</v>
      </c>
      <c r="F1485" t="n">
        <v>214</v>
      </c>
      <c r="G1485" t="n">
        <v>61202</v>
      </c>
      <c r="H1485" t="n">
        <v>48966</v>
      </c>
      <c r="I1485" t="n">
        <v>458911</v>
      </c>
      <c r="J1485" t="n">
        <v>1267892.1</v>
      </c>
      <c r="K1485" t="n">
        <v>61802</v>
      </c>
      <c r="L1485" t="n">
        <v>344559</v>
      </c>
      <c r="M1485" t="n">
        <v>268229</v>
      </c>
      <c r="N1485" t="n">
        <v>215036</v>
      </c>
      <c r="O1485" t="n">
        <v>86386</v>
      </c>
      <c r="P1485" t="n">
        <v>824</v>
      </c>
    </row>
    <row r="1486">
      <c r="A1486" t="inlineStr">
        <is>
          <t>OO</t>
        </is>
      </c>
      <c r="B1486" t="n">
        <v>2018</v>
      </c>
      <c r="C1486" t="n">
        <v>12</v>
      </c>
      <c r="D1486" t="n">
        <v>64677</v>
      </c>
      <c r="E1486" t="n">
        <v>848</v>
      </c>
      <c r="F1486" t="n">
        <v>279</v>
      </c>
      <c r="G1486" t="n">
        <v>63550</v>
      </c>
      <c r="H1486" t="n">
        <v>50652</v>
      </c>
      <c r="I1486" t="n">
        <v>440550</v>
      </c>
      <c r="J1486" t="n">
        <v>1451415.799999992</v>
      </c>
      <c r="K1486" t="n">
        <v>64327</v>
      </c>
      <c r="L1486" t="n">
        <v>378866</v>
      </c>
      <c r="M1486" t="n">
        <v>337361</v>
      </c>
      <c r="N1486" t="n">
        <v>187086</v>
      </c>
      <c r="O1486" t="n">
        <v>95900</v>
      </c>
      <c r="P1486" t="n">
        <v>1040</v>
      </c>
    </row>
    <row r="1487">
      <c r="A1487" t="inlineStr">
        <is>
          <t>OO</t>
        </is>
      </c>
      <c r="B1487" t="n">
        <v>2019</v>
      </c>
      <c r="C1487" t="n">
        <v>1</v>
      </c>
      <c r="D1487" t="n">
        <v>64926</v>
      </c>
      <c r="E1487" t="n">
        <v>2821</v>
      </c>
      <c r="F1487" t="n">
        <v>335</v>
      </c>
      <c r="G1487" t="n">
        <v>61770</v>
      </c>
      <c r="H1487" t="n">
        <v>47746</v>
      </c>
      <c r="I1487" t="n">
        <v>740939</v>
      </c>
      <c r="J1487" t="n">
        <v>1474793.999999992</v>
      </c>
      <c r="K1487" t="n">
        <v>64787</v>
      </c>
      <c r="L1487" t="n">
        <v>485884</v>
      </c>
      <c r="M1487" t="n">
        <v>419147</v>
      </c>
      <c r="N1487" t="n">
        <v>244679</v>
      </c>
      <c r="O1487" t="n">
        <v>139106</v>
      </c>
      <c r="P1487" t="n">
        <v>499</v>
      </c>
    </row>
    <row r="1488">
      <c r="A1488" t="inlineStr">
        <is>
          <t>OO</t>
        </is>
      </c>
      <c r="B1488" t="n">
        <v>2019</v>
      </c>
      <c r="C1488" t="n">
        <v>2</v>
      </c>
      <c r="D1488" t="n">
        <v>59589</v>
      </c>
      <c r="E1488" t="n">
        <v>2799</v>
      </c>
      <c r="F1488" t="n">
        <v>396</v>
      </c>
      <c r="G1488" t="n">
        <v>56394</v>
      </c>
      <c r="H1488" t="n">
        <v>41387</v>
      </c>
      <c r="I1488" t="n">
        <v>925846</v>
      </c>
      <c r="J1488" t="n">
        <v>1345191.899999989</v>
      </c>
      <c r="K1488" t="n">
        <v>59454</v>
      </c>
      <c r="L1488" t="n">
        <v>504856</v>
      </c>
      <c r="M1488" t="n">
        <v>447528</v>
      </c>
      <c r="N1488" t="n">
        <v>256977</v>
      </c>
      <c r="O1488" t="n">
        <v>144685</v>
      </c>
      <c r="P1488" t="n">
        <v>649</v>
      </c>
    </row>
    <row r="1489">
      <c r="A1489" t="inlineStr">
        <is>
          <t>OO</t>
        </is>
      </c>
      <c r="B1489" t="n">
        <v>2019</v>
      </c>
      <c r="C1489" t="n">
        <v>3</v>
      </c>
      <c r="D1489" t="n">
        <v>70419</v>
      </c>
      <c r="E1489" t="n">
        <v>1609</v>
      </c>
      <c r="F1489" t="n">
        <v>246</v>
      </c>
      <c r="G1489" t="n">
        <v>68564</v>
      </c>
      <c r="H1489" t="n">
        <v>55775</v>
      </c>
      <c r="I1489" t="n">
        <v>491892</v>
      </c>
      <c r="J1489" t="n">
        <v>1443515.700000002</v>
      </c>
      <c r="K1489" t="n">
        <v>70107</v>
      </c>
      <c r="L1489" t="n">
        <v>392595</v>
      </c>
      <c r="M1489" t="n">
        <v>421947</v>
      </c>
      <c r="N1489" t="n">
        <v>173947</v>
      </c>
      <c r="O1489" t="n">
        <v>79491</v>
      </c>
      <c r="P1489" t="n">
        <v>990</v>
      </c>
    </row>
    <row r="1490">
      <c r="A1490" t="inlineStr">
        <is>
          <t>OO</t>
        </is>
      </c>
      <c r="B1490" t="n">
        <v>2019</v>
      </c>
      <c r="C1490" t="n">
        <v>4</v>
      </c>
      <c r="D1490" t="n">
        <v>68502</v>
      </c>
      <c r="E1490" t="n">
        <v>1420</v>
      </c>
      <c r="F1490" t="n">
        <v>187</v>
      </c>
      <c r="G1490" t="n">
        <v>66895</v>
      </c>
      <c r="H1490" t="n">
        <v>56184</v>
      </c>
      <c r="I1490" t="n">
        <v>251479</v>
      </c>
      <c r="J1490" t="n">
        <v>1339786.800000004</v>
      </c>
      <c r="K1490" t="n">
        <v>68419</v>
      </c>
      <c r="L1490" t="n">
        <v>321094</v>
      </c>
      <c r="M1490" t="n">
        <v>319333</v>
      </c>
      <c r="N1490" t="n">
        <v>143199</v>
      </c>
      <c r="O1490" t="n">
        <v>78330</v>
      </c>
      <c r="P1490" t="n">
        <v>2095</v>
      </c>
    </row>
    <row r="1491">
      <c r="A1491" t="inlineStr">
        <is>
          <t>OO</t>
        </is>
      </c>
      <c r="B1491" t="n">
        <v>2019</v>
      </c>
      <c r="C1491" t="n">
        <v>5</v>
      </c>
      <c r="D1491" t="n">
        <v>72041</v>
      </c>
      <c r="E1491" t="n">
        <v>1163</v>
      </c>
      <c r="F1491" t="n">
        <v>280</v>
      </c>
      <c r="G1491" t="n">
        <v>70598</v>
      </c>
      <c r="H1491" t="n">
        <v>57966</v>
      </c>
      <c r="I1491" t="n">
        <v>416796</v>
      </c>
      <c r="J1491" t="n">
        <v>1380100.2</v>
      </c>
      <c r="K1491" t="n">
        <v>71624</v>
      </c>
      <c r="L1491" t="n">
        <v>393804</v>
      </c>
      <c r="M1491" t="n">
        <v>346638</v>
      </c>
      <c r="N1491" t="n">
        <v>190066</v>
      </c>
      <c r="O1491" t="n">
        <v>76104</v>
      </c>
      <c r="P1491" t="n">
        <v>485</v>
      </c>
    </row>
    <row r="1492">
      <c r="A1492" t="inlineStr">
        <is>
          <t>OO</t>
        </is>
      </c>
      <c r="B1492" t="n">
        <v>2019</v>
      </c>
      <c r="C1492" t="n">
        <v>6</v>
      </c>
      <c r="D1492" t="n">
        <v>72158</v>
      </c>
      <c r="E1492" t="n">
        <v>970</v>
      </c>
      <c r="F1492" t="n">
        <v>285</v>
      </c>
      <c r="G1492" t="n">
        <v>70903</v>
      </c>
      <c r="H1492" t="n">
        <v>55027</v>
      </c>
      <c r="I1492" t="n">
        <v>844454</v>
      </c>
      <c r="J1492" t="n">
        <v>1337182.399999993</v>
      </c>
      <c r="K1492" t="n">
        <v>71869</v>
      </c>
      <c r="L1492" t="n">
        <v>532806</v>
      </c>
      <c r="M1492" t="n">
        <v>437996</v>
      </c>
      <c r="N1492" t="n">
        <v>279578</v>
      </c>
      <c r="O1492" t="n">
        <v>91277</v>
      </c>
      <c r="P1492" t="n">
        <v>5408</v>
      </c>
    </row>
    <row r="1493">
      <c r="A1493" t="inlineStr">
        <is>
          <t>OO</t>
        </is>
      </c>
      <c r="B1493" t="n">
        <v>2019</v>
      </c>
      <c r="C1493" t="n">
        <v>7</v>
      </c>
      <c r="D1493" t="n">
        <v>73742</v>
      </c>
      <c r="E1493" t="n">
        <v>1021</v>
      </c>
      <c r="F1493" t="n">
        <v>235</v>
      </c>
      <c r="G1493" t="n">
        <v>72486</v>
      </c>
      <c r="H1493" t="n">
        <v>58010</v>
      </c>
      <c r="I1493" t="n">
        <v>671385</v>
      </c>
      <c r="J1493" t="n">
        <v>1358605.099999998</v>
      </c>
      <c r="K1493" t="n">
        <v>73595</v>
      </c>
      <c r="L1493" t="n">
        <v>469872</v>
      </c>
      <c r="M1493" t="n">
        <v>440474</v>
      </c>
      <c r="N1493" t="n">
        <v>231129</v>
      </c>
      <c r="O1493" t="n">
        <v>94769</v>
      </c>
      <c r="P1493" t="n">
        <v>736</v>
      </c>
    </row>
    <row r="1494">
      <c r="A1494" t="inlineStr">
        <is>
          <t>OO</t>
        </is>
      </c>
      <c r="B1494" t="n">
        <v>2019</v>
      </c>
      <c r="C1494" t="n">
        <v>8</v>
      </c>
      <c r="D1494" t="n">
        <v>74973</v>
      </c>
      <c r="E1494" t="n">
        <v>886</v>
      </c>
      <c r="F1494" t="n">
        <v>224</v>
      </c>
      <c r="G1494" t="n">
        <v>73863</v>
      </c>
      <c r="H1494" t="n">
        <v>60719</v>
      </c>
      <c r="I1494" t="n">
        <v>421884</v>
      </c>
      <c r="J1494" t="n">
        <v>1389712.899999998</v>
      </c>
      <c r="K1494" t="n">
        <v>74553</v>
      </c>
      <c r="L1494" t="n">
        <v>382181</v>
      </c>
      <c r="M1494" t="n">
        <v>388829</v>
      </c>
      <c r="N1494" t="n">
        <v>191497</v>
      </c>
      <c r="O1494" t="n">
        <v>69375</v>
      </c>
      <c r="P1494" t="n">
        <v>839</v>
      </c>
    </row>
    <row r="1495">
      <c r="A1495" t="inlineStr">
        <is>
          <t>OO</t>
        </is>
      </c>
      <c r="B1495" t="n">
        <v>2019</v>
      </c>
      <c r="C1495" t="n">
        <v>9</v>
      </c>
      <c r="D1495" t="n">
        <v>68051</v>
      </c>
      <c r="E1495" t="n">
        <v>1320</v>
      </c>
      <c r="F1495" t="n">
        <v>237</v>
      </c>
      <c r="G1495" t="n">
        <v>66494</v>
      </c>
      <c r="H1495" t="n">
        <v>56943</v>
      </c>
      <c r="I1495" t="n">
        <v>155583</v>
      </c>
      <c r="J1495" t="n">
        <v>1280095.599999996</v>
      </c>
      <c r="K1495" t="n">
        <v>67706</v>
      </c>
      <c r="L1495" t="n">
        <v>259724</v>
      </c>
      <c r="M1495" t="n">
        <v>271886</v>
      </c>
      <c r="N1495" t="n">
        <v>186790</v>
      </c>
      <c r="O1495" t="n">
        <v>56618</v>
      </c>
      <c r="P1495" t="n">
        <v>537</v>
      </c>
    </row>
    <row r="1496">
      <c r="A1496" t="inlineStr">
        <is>
          <t>OO</t>
        </is>
      </c>
      <c r="B1496" t="n">
        <v>2019</v>
      </c>
      <c r="C1496" t="n">
        <v>10</v>
      </c>
      <c r="D1496" t="n">
        <v>72350</v>
      </c>
      <c r="E1496" t="n">
        <v>725</v>
      </c>
      <c r="F1496" t="n">
        <v>177</v>
      </c>
      <c r="G1496" t="n">
        <v>71448</v>
      </c>
      <c r="H1496" t="n">
        <v>60144</v>
      </c>
      <c r="I1496" t="n">
        <v>251355</v>
      </c>
      <c r="J1496" t="n">
        <v>1404463.599999994</v>
      </c>
      <c r="K1496" t="n">
        <v>72144</v>
      </c>
      <c r="L1496" t="n">
        <v>331197</v>
      </c>
      <c r="M1496" t="n">
        <v>353318</v>
      </c>
      <c r="N1496" t="n">
        <v>142981</v>
      </c>
      <c r="O1496" t="n">
        <v>68045</v>
      </c>
      <c r="P1496" t="n">
        <v>729</v>
      </c>
    </row>
    <row r="1497">
      <c r="A1497" t="inlineStr">
        <is>
          <t>OO</t>
        </is>
      </c>
      <c r="B1497" t="n">
        <v>2019</v>
      </c>
      <c r="C1497" t="n">
        <v>11</v>
      </c>
      <c r="D1497" t="n">
        <v>67690</v>
      </c>
      <c r="E1497" t="n">
        <v>1188</v>
      </c>
      <c r="F1497" t="n">
        <v>211</v>
      </c>
      <c r="G1497" t="n">
        <v>66291</v>
      </c>
      <c r="H1497" t="n">
        <v>56555</v>
      </c>
      <c r="I1497" t="n">
        <v>120520</v>
      </c>
      <c r="J1497" t="n">
        <v>1434257.800000011</v>
      </c>
      <c r="K1497" t="n">
        <v>67345</v>
      </c>
      <c r="L1497" t="n">
        <v>288778</v>
      </c>
      <c r="M1497" t="n">
        <v>278652</v>
      </c>
      <c r="N1497" t="n">
        <v>144916</v>
      </c>
      <c r="O1497" t="n">
        <v>98782</v>
      </c>
      <c r="P1497" t="n">
        <v>794</v>
      </c>
    </row>
    <row r="1498">
      <c r="A1498" t="inlineStr">
        <is>
          <t>OO</t>
        </is>
      </c>
      <c r="B1498" t="n">
        <v>2019</v>
      </c>
      <c r="C1498" t="n">
        <v>12</v>
      </c>
      <c r="D1498" t="n">
        <v>72004</v>
      </c>
      <c r="E1498" t="n">
        <v>1531</v>
      </c>
      <c r="F1498" t="n">
        <v>340</v>
      </c>
      <c r="G1498" t="n">
        <v>70133</v>
      </c>
      <c r="H1498" t="n">
        <v>56268</v>
      </c>
      <c r="I1498" t="n">
        <v>569632</v>
      </c>
      <c r="J1498" t="n">
        <v>1646588.199999987</v>
      </c>
      <c r="K1498" t="n">
        <v>71319</v>
      </c>
      <c r="L1498" t="n">
        <v>484754</v>
      </c>
      <c r="M1498" t="n">
        <v>473345</v>
      </c>
      <c r="N1498" t="n">
        <v>185341</v>
      </c>
      <c r="O1498" t="n">
        <v>127948</v>
      </c>
      <c r="P1498" t="n">
        <v>838</v>
      </c>
    </row>
    <row r="1499">
      <c r="A1499" t="inlineStr">
        <is>
          <t>OO</t>
        </is>
      </c>
      <c r="B1499" t="n">
        <v>2020</v>
      </c>
      <c r="C1499" t="n">
        <v>1</v>
      </c>
      <c r="D1499" t="n">
        <v>71159</v>
      </c>
      <c r="E1499" t="n">
        <v>1461</v>
      </c>
      <c r="F1499" t="n">
        <v>198</v>
      </c>
      <c r="G1499" t="n">
        <v>69500</v>
      </c>
      <c r="H1499" t="n">
        <v>58809</v>
      </c>
      <c r="I1499" t="n">
        <v>86475</v>
      </c>
      <c r="J1499" t="n">
        <v>1693631.69999999</v>
      </c>
      <c r="K1499" t="n">
        <v>70934</v>
      </c>
      <c r="L1499" t="n">
        <v>47671</v>
      </c>
      <c r="M1499" t="n">
        <v>533305</v>
      </c>
      <c r="N1499" t="n">
        <v>192235</v>
      </c>
      <c r="O1499" t="n">
        <v>143272</v>
      </c>
      <c r="P1499" t="n">
        <v>662</v>
      </c>
    </row>
    <row r="1500">
      <c r="A1500" t="inlineStr">
        <is>
          <t>OO</t>
        </is>
      </c>
      <c r="B1500" t="n">
        <v>2020</v>
      </c>
      <c r="C1500" t="n">
        <v>2</v>
      </c>
      <c r="D1500" t="n">
        <v>67056</v>
      </c>
      <c r="E1500" t="n">
        <v>831</v>
      </c>
      <c r="F1500" t="n">
        <v>221</v>
      </c>
      <c r="G1500" t="n">
        <v>66004</v>
      </c>
      <c r="H1500" t="n">
        <v>55608</v>
      </c>
      <c r="I1500" t="n">
        <v>74097</v>
      </c>
      <c r="J1500" t="n">
        <v>1573409.899999988</v>
      </c>
      <c r="K1500" t="n">
        <v>66735</v>
      </c>
      <c r="L1500" t="n">
        <v>50151</v>
      </c>
      <c r="M1500" t="n">
        <v>498260</v>
      </c>
      <c r="N1500" t="n">
        <v>196014</v>
      </c>
      <c r="O1500" t="n">
        <v>156131</v>
      </c>
      <c r="P1500" t="n">
        <v>1512</v>
      </c>
    </row>
    <row r="1501">
      <c r="A1501" t="inlineStr">
        <is>
          <t>OO</t>
        </is>
      </c>
      <c r="B1501" t="n">
        <v>2020</v>
      </c>
      <c r="C1501" t="n">
        <v>3</v>
      </c>
      <c r="D1501" t="n">
        <v>74153</v>
      </c>
      <c r="E1501" t="n">
        <v>7936</v>
      </c>
      <c r="F1501" t="n">
        <v>154</v>
      </c>
      <c r="G1501" t="n">
        <v>66063</v>
      </c>
      <c r="H1501" t="n">
        <v>59869</v>
      </c>
      <c r="I1501" t="n">
        <v>-486910</v>
      </c>
      <c r="J1501" t="n">
        <v>1553841.600000007</v>
      </c>
      <c r="K1501" t="n">
        <v>72204</v>
      </c>
      <c r="L1501" t="n">
        <v>153573</v>
      </c>
      <c r="M1501" t="n">
        <v>208201</v>
      </c>
      <c r="N1501" t="n">
        <v>67785</v>
      </c>
      <c r="O1501" t="n">
        <v>35492</v>
      </c>
      <c r="P1501" t="n">
        <v>469</v>
      </c>
    </row>
    <row r="1502">
      <c r="A1502" t="inlineStr">
        <is>
          <t>OO</t>
        </is>
      </c>
      <c r="B1502" t="n">
        <v>2020</v>
      </c>
      <c r="C1502" t="n">
        <v>4</v>
      </c>
      <c r="D1502" t="n">
        <v>39382</v>
      </c>
      <c r="E1502" t="n">
        <v>11116</v>
      </c>
      <c r="F1502" t="n">
        <v>38</v>
      </c>
      <c r="G1502" t="n">
        <v>28228</v>
      </c>
      <c r="H1502" t="n">
        <v>26621</v>
      </c>
      <c r="I1502" t="n">
        <v>-330387</v>
      </c>
      <c r="J1502" t="n">
        <v>603031.2000000043</v>
      </c>
      <c r="K1502" t="n">
        <v>38875</v>
      </c>
      <c r="L1502" t="n">
        <v>17634</v>
      </c>
      <c r="M1502" t="n">
        <v>77858</v>
      </c>
      <c r="N1502" t="n">
        <v>15114</v>
      </c>
      <c r="O1502" t="n">
        <v>9319</v>
      </c>
      <c r="P1502" t="n">
        <v>106</v>
      </c>
    </row>
    <row r="1503">
      <c r="A1503" t="inlineStr">
        <is>
          <t>OO</t>
        </is>
      </c>
      <c r="B1503" t="n">
        <v>2020</v>
      </c>
      <c r="C1503" t="n">
        <v>5</v>
      </c>
      <c r="D1503" t="n">
        <v>26040</v>
      </c>
      <c r="E1503" t="n">
        <v>1622</v>
      </c>
      <c r="F1503" t="n">
        <v>32</v>
      </c>
      <c r="G1503" t="n">
        <v>24386</v>
      </c>
      <c r="H1503" t="n">
        <v>23309</v>
      </c>
      <c r="I1503" t="n">
        <v>-279812</v>
      </c>
      <c r="J1503" t="n">
        <v>407985.6000000006</v>
      </c>
      <c r="K1503" t="n">
        <v>24942</v>
      </c>
      <c r="L1503" t="n">
        <v>14939</v>
      </c>
      <c r="M1503" t="n">
        <v>49231</v>
      </c>
      <c r="N1503" t="n">
        <v>10706</v>
      </c>
      <c r="O1503" t="n">
        <v>4342</v>
      </c>
      <c r="P1503" t="n">
        <v>55</v>
      </c>
    </row>
    <row r="1504">
      <c r="A1504" t="inlineStr">
        <is>
          <t>OO</t>
        </is>
      </c>
      <c r="B1504" t="n">
        <v>2020</v>
      </c>
      <c r="C1504" t="n">
        <v>6</v>
      </c>
      <c r="D1504" t="n">
        <v>26241</v>
      </c>
      <c r="E1504" t="n">
        <v>133</v>
      </c>
      <c r="F1504" t="n">
        <v>53</v>
      </c>
      <c r="G1504" t="n">
        <v>26055</v>
      </c>
      <c r="H1504" t="n">
        <v>24320</v>
      </c>
      <c r="I1504" t="n">
        <v>-173435</v>
      </c>
      <c r="J1504" t="n">
        <v>360564.1999999991</v>
      </c>
      <c r="K1504" t="n">
        <v>25956</v>
      </c>
      <c r="L1504" t="n">
        <v>11157</v>
      </c>
      <c r="M1504" t="n">
        <v>74078</v>
      </c>
      <c r="N1504" t="n">
        <v>5006</v>
      </c>
      <c r="O1504" t="n">
        <v>18970</v>
      </c>
      <c r="P1504" t="n">
        <v>0</v>
      </c>
    </row>
    <row r="1505">
      <c r="A1505" t="inlineStr">
        <is>
          <t>OO</t>
        </is>
      </c>
      <c r="B1505" t="n">
        <v>2020</v>
      </c>
      <c r="C1505" t="n">
        <v>7</v>
      </c>
      <c r="D1505" t="n">
        <v>39954</v>
      </c>
      <c r="E1505" t="n">
        <v>180</v>
      </c>
      <c r="F1505" t="n">
        <v>82</v>
      </c>
      <c r="G1505" t="n">
        <v>39692</v>
      </c>
      <c r="H1505" t="n">
        <v>35969</v>
      </c>
      <c r="I1505" t="n">
        <v>-93653</v>
      </c>
      <c r="J1505" t="n">
        <v>533329.9999999937</v>
      </c>
      <c r="K1505" t="n">
        <v>39749</v>
      </c>
      <c r="L1505" t="n">
        <v>58124</v>
      </c>
      <c r="M1505" t="n">
        <v>189129</v>
      </c>
      <c r="N1505" t="n">
        <v>8295</v>
      </c>
      <c r="O1505" t="n">
        <v>25156</v>
      </c>
      <c r="P1505" t="n">
        <v>505</v>
      </c>
    </row>
    <row r="1506">
      <c r="A1506" t="inlineStr">
        <is>
          <t>OO</t>
        </is>
      </c>
      <c r="B1506" t="n">
        <v>2020</v>
      </c>
      <c r="C1506" t="n">
        <v>8</v>
      </c>
      <c r="D1506" t="n">
        <v>49605</v>
      </c>
      <c r="E1506" t="n">
        <v>269</v>
      </c>
      <c r="F1506" t="n">
        <v>91</v>
      </c>
      <c r="G1506" t="n">
        <v>49245</v>
      </c>
      <c r="H1506" t="n">
        <v>45696</v>
      </c>
      <c r="I1506" t="n">
        <v>-266127</v>
      </c>
      <c r="J1506" t="n">
        <v>711131.0999999961</v>
      </c>
      <c r="K1506" t="n">
        <v>49259</v>
      </c>
      <c r="L1506" t="n">
        <v>37474</v>
      </c>
      <c r="M1506" t="n">
        <v>184395</v>
      </c>
      <c r="N1506" t="n">
        <v>6675</v>
      </c>
      <c r="O1506" t="n">
        <v>30028</v>
      </c>
      <c r="P1506" t="n">
        <v>85</v>
      </c>
    </row>
    <row r="1507">
      <c r="A1507" t="inlineStr">
        <is>
          <t>OO</t>
        </is>
      </c>
      <c r="B1507" t="n">
        <v>2020</v>
      </c>
      <c r="C1507" t="n">
        <v>9</v>
      </c>
      <c r="D1507" t="n">
        <v>46680</v>
      </c>
      <c r="E1507" t="n">
        <v>393</v>
      </c>
      <c r="F1507" t="n">
        <v>94</v>
      </c>
      <c r="G1507" t="n">
        <v>46193</v>
      </c>
      <c r="H1507" t="n">
        <v>42990</v>
      </c>
      <c r="I1507" t="n">
        <v>-290357</v>
      </c>
      <c r="J1507" t="n">
        <v>750083.7999999949</v>
      </c>
      <c r="K1507" t="n">
        <v>46284</v>
      </c>
      <c r="L1507" t="n">
        <v>38917</v>
      </c>
      <c r="M1507" t="n">
        <v>165152</v>
      </c>
      <c r="N1507" t="n">
        <v>7291</v>
      </c>
      <c r="O1507" t="n">
        <v>38644</v>
      </c>
      <c r="P1507" t="n">
        <v>524</v>
      </c>
    </row>
    <row r="1508">
      <c r="A1508" t="inlineStr">
        <is>
          <t>OO</t>
        </is>
      </c>
      <c r="B1508" t="n">
        <v>2020</v>
      </c>
      <c r="C1508" t="n">
        <v>10</v>
      </c>
      <c r="D1508" t="n">
        <v>51051</v>
      </c>
      <c r="E1508" t="n">
        <v>388</v>
      </c>
      <c r="F1508" t="n">
        <v>122</v>
      </c>
      <c r="G1508" t="n">
        <v>50541</v>
      </c>
      <c r="H1508" t="n">
        <v>45689</v>
      </c>
      <c r="I1508" t="n">
        <v>-109668</v>
      </c>
      <c r="J1508" t="n">
        <v>811545.999999997</v>
      </c>
      <c r="K1508" t="n">
        <v>50880</v>
      </c>
      <c r="L1508" t="n">
        <v>87587</v>
      </c>
      <c r="M1508" t="n">
        <v>242772</v>
      </c>
      <c r="N1508" t="n">
        <v>10228</v>
      </c>
      <c r="O1508" t="n">
        <v>60036</v>
      </c>
      <c r="P1508" t="n">
        <v>744</v>
      </c>
    </row>
    <row r="1509">
      <c r="A1509" t="inlineStr">
        <is>
          <t>OO</t>
        </is>
      </c>
      <c r="B1509" t="n">
        <v>2020</v>
      </c>
      <c r="C1509" t="n">
        <v>11</v>
      </c>
      <c r="D1509" t="n">
        <v>51025</v>
      </c>
      <c r="E1509" t="n">
        <v>87</v>
      </c>
      <c r="F1509" t="n">
        <v>106</v>
      </c>
      <c r="G1509" t="n">
        <v>50832</v>
      </c>
      <c r="H1509" t="n">
        <v>46700</v>
      </c>
      <c r="I1509" t="n">
        <v>-263424</v>
      </c>
      <c r="J1509" t="n">
        <v>877177.2999999921</v>
      </c>
      <c r="K1509" t="n">
        <v>50473</v>
      </c>
      <c r="L1509" t="n">
        <v>60663</v>
      </c>
      <c r="M1509" t="n">
        <v>183207</v>
      </c>
      <c r="N1509" t="n">
        <v>6237</v>
      </c>
      <c r="O1509" t="n">
        <v>39005</v>
      </c>
      <c r="P1509" t="n">
        <v>389</v>
      </c>
    </row>
    <row r="1510">
      <c r="A1510" t="inlineStr">
        <is>
          <t>OO</t>
        </is>
      </c>
      <c r="B1510" t="n">
        <v>2020</v>
      </c>
      <c r="C1510" t="n">
        <v>12</v>
      </c>
      <c r="D1510" t="n">
        <v>54674</v>
      </c>
      <c r="E1510" t="n">
        <v>539</v>
      </c>
      <c r="F1510" t="n">
        <v>152</v>
      </c>
      <c r="G1510" t="n">
        <v>53983</v>
      </c>
      <c r="H1510" t="n">
        <v>47174</v>
      </c>
      <c r="I1510" t="n">
        <v>-19763</v>
      </c>
      <c r="J1510" t="n">
        <v>992674.8999999859</v>
      </c>
      <c r="K1510" t="n">
        <v>54368</v>
      </c>
      <c r="L1510" t="n">
        <v>89211</v>
      </c>
      <c r="M1510" t="n">
        <v>315598</v>
      </c>
      <c r="N1510" t="n">
        <v>34402</v>
      </c>
      <c r="O1510" t="n">
        <v>91654</v>
      </c>
      <c r="P1510" t="n">
        <v>909</v>
      </c>
    </row>
    <row r="1511">
      <c r="A1511" t="inlineStr">
        <is>
          <t>OO</t>
        </is>
      </c>
      <c r="B1511" t="n">
        <v>2021</v>
      </c>
      <c r="C1511" t="n">
        <v>1</v>
      </c>
      <c r="D1511" t="n">
        <v>51999</v>
      </c>
      <c r="E1511" t="n">
        <v>588</v>
      </c>
      <c r="F1511" t="n">
        <v>165</v>
      </c>
      <c r="G1511" t="n">
        <v>51246</v>
      </c>
      <c r="H1511" t="n">
        <v>46057</v>
      </c>
      <c r="I1511" t="n">
        <v>-185896</v>
      </c>
      <c r="J1511" t="n">
        <v>1086704.699999994</v>
      </c>
      <c r="K1511" t="n">
        <v>51844</v>
      </c>
      <c r="L1511" t="n">
        <v>76509</v>
      </c>
      <c r="M1511" t="n">
        <v>262692</v>
      </c>
      <c r="N1511" t="n">
        <v>24850</v>
      </c>
      <c r="O1511" t="n">
        <v>88190</v>
      </c>
      <c r="P1511" t="n">
        <v>1425</v>
      </c>
    </row>
    <row r="1512">
      <c r="A1512" t="inlineStr">
        <is>
          <t>OO</t>
        </is>
      </c>
      <c r="B1512" t="n">
        <v>2021</v>
      </c>
      <c r="C1512" t="n">
        <v>2</v>
      </c>
      <c r="D1512" t="n">
        <v>47307</v>
      </c>
      <c r="E1512" t="n">
        <v>2084</v>
      </c>
      <c r="F1512" t="n">
        <v>158</v>
      </c>
      <c r="G1512" t="n">
        <v>45065</v>
      </c>
      <c r="H1512" t="n">
        <v>38048</v>
      </c>
      <c r="I1512" t="n">
        <v>164406</v>
      </c>
      <c r="J1512" t="n">
        <v>949839.5999999932</v>
      </c>
      <c r="K1512" t="n">
        <v>46987</v>
      </c>
      <c r="L1512" t="n">
        <v>73261</v>
      </c>
      <c r="M1512" t="n">
        <v>359926</v>
      </c>
      <c r="N1512" t="n">
        <v>23419</v>
      </c>
      <c r="O1512" t="n">
        <v>169422</v>
      </c>
      <c r="P1512" t="n">
        <v>429</v>
      </c>
    </row>
    <row r="1513">
      <c r="A1513" t="inlineStr">
        <is>
          <t>OO</t>
        </is>
      </c>
      <c r="B1513" t="n">
        <v>2021</v>
      </c>
      <c r="C1513" t="n">
        <v>3</v>
      </c>
      <c r="D1513" t="n">
        <v>57629</v>
      </c>
      <c r="E1513" t="n">
        <v>1504</v>
      </c>
      <c r="F1513" t="n">
        <v>103</v>
      </c>
      <c r="G1513" t="n">
        <v>56022</v>
      </c>
      <c r="H1513" t="n">
        <v>50531</v>
      </c>
      <c r="I1513" t="n">
        <v>-196956</v>
      </c>
      <c r="J1513" t="n">
        <v>1131607.000000005</v>
      </c>
      <c r="K1513" t="n">
        <v>57000</v>
      </c>
      <c r="L1513" t="n">
        <v>44294</v>
      </c>
      <c r="M1513" t="n">
        <v>305902</v>
      </c>
      <c r="N1513" t="n">
        <v>20091</v>
      </c>
      <c r="O1513" t="n">
        <v>57785</v>
      </c>
      <c r="P1513" t="n">
        <v>1587</v>
      </c>
    </row>
    <row r="1514">
      <c r="A1514" t="inlineStr">
        <is>
          <t>OO</t>
        </is>
      </c>
      <c r="B1514" t="n">
        <v>2021</v>
      </c>
      <c r="C1514" t="n">
        <v>4</v>
      </c>
      <c r="D1514" t="n">
        <v>56649</v>
      </c>
      <c r="E1514" t="n">
        <v>127</v>
      </c>
      <c r="F1514" t="n">
        <v>129</v>
      </c>
      <c r="G1514" t="n">
        <v>56393</v>
      </c>
      <c r="H1514" t="n">
        <v>51881</v>
      </c>
      <c r="I1514" t="n">
        <v>-322133</v>
      </c>
      <c r="J1514" t="n">
        <v>1112140.700000002</v>
      </c>
      <c r="K1514" t="n">
        <v>56508</v>
      </c>
      <c r="L1514" t="n">
        <v>48589</v>
      </c>
      <c r="M1514" t="n">
        <v>236947</v>
      </c>
      <c r="N1514" t="n">
        <v>13033</v>
      </c>
      <c r="O1514" t="n">
        <v>47060</v>
      </c>
      <c r="P1514" t="n">
        <v>821</v>
      </c>
    </row>
    <row r="1515">
      <c r="A1515" t="inlineStr">
        <is>
          <t>OO</t>
        </is>
      </c>
      <c r="B1515" t="n">
        <v>2021</v>
      </c>
      <c r="C1515" t="n">
        <v>5</v>
      </c>
      <c r="D1515" t="n">
        <v>60400</v>
      </c>
      <c r="E1515" t="n">
        <v>237</v>
      </c>
      <c r="F1515" t="n">
        <v>175</v>
      </c>
      <c r="G1515" t="n">
        <v>59988</v>
      </c>
      <c r="H1515" t="n">
        <v>53213</v>
      </c>
      <c r="I1515" t="n">
        <v>-47506</v>
      </c>
      <c r="J1515" t="n">
        <v>1095842.799999998</v>
      </c>
      <c r="K1515" t="n">
        <v>59692</v>
      </c>
      <c r="L1515" t="n">
        <v>104555</v>
      </c>
      <c r="M1515" t="n">
        <v>302029</v>
      </c>
      <c r="N1515" t="n">
        <v>33008</v>
      </c>
      <c r="O1515" t="n">
        <v>79214</v>
      </c>
      <c r="P1515" t="n">
        <v>1142</v>
      </c>
    </row>
    <row r="1516">
      <c r="A1516" t="inlineStr">
        <is>
          <t>OO</t>
        </is>
      </c>
      <c r="B1516" t="n">
        <v>2021</v>
      </c>
      <c r="C1516" t="n">
        <v>6</v>
      </c>
      <c r="D1516" t="n">
        <v>67511</v>
      </c>
      <c r="E1516" t="n">
        <v>505</v>
      </c>
      <c r="F1516" t="n">
        <v>247</v>
      </c>
      <c r="G1516" t="n">
        <v>66759</v>
      </c>
      <c r="H1516" t="n">
        <v>53810</v>
      </c>
      <c r="I1516" t="n">
        <v>648796</v>
      </c>
      <c r="J1516" t="n">
        <v>1101013.700000001</v>
      </c>
      <c r="K1516" t="n">
        <v>67193</v>
      </c>
      <c r="L1516" t="n">
        <v>347180</v>
      </c>
      <c r="M1516" t="n">
        <v>528674</v>
      </c>
      <c r="N1516" t="n">
        <v>73640</v>
      </c>
      <c r="O1516" t="n">
        <v>142034</v>
      </c>
      <c r="P1516" t="n">
        <v>1560</v>
      </c>
    </row>
    <row r="1517">
      <c r="A1517" t="inlineStr">
        <is>
          <t>OO</t>
        </is>
      </c>
      <c r="B1517" t="n">
        <v>2021</v>
      </c>
      <c r="C1517" t="n">
        <v>7</v>
      </c>
      <c r="D1517" t="n">
        <v>72133</v>
      </c>
      <c r="E1517" t="n">
        <v>765</v>
      </c>
      <c r="F1517" t="n">
        <v>274</v>
      </c>
      <c r="G1517" t="n">
        <v>71094</v>
      </c>
      <c r="H1517" t="n">
        <v>54415</v>
      </c>
      <c r="I1517" t="n">
        <v>1037815</v>
      </c>
      <c r="J1517" t="n">
        <v>1152920.500000007</v>
      </c>
      <c r="K1517" t="n">
        <v>71848</v>
      </c>
      <c r="L1517" t="n">
        <v>469879</v>
      </c>
      <c r="M1517" t="n">
        <v>752531</v>
      </c>
      <c r="N1517" t="n">
        <v>70830</v>
      </c>
      <c r="O1517" t="n">
        <v>155736</v>
      </c>
      <c r="P1517" t="n">
        <v>2379</v>
      </c>
    </row>
    <row r="1518">
      <c r="A1518" t="inlineStr">
        <is>
          <t>OO</t>
        </is>
      </c>
      <c r="B1518" t="n">
        <v>2021</v>
      </c>
      <c r="C1518" t="n">
        <v>8</v>
      </c>
      <c r="D1518" t="n">
        <v>71616</v>
      </c>
      <c r="E1518" t="n">
        <v>1462</v>
      </c>
      <c r="F1518" t="n">
        <v>231</v>
      </c>
      <c r="G1518" t="n">
        <v>69923</v>
      </c>
      <c r="H1518" t="n">
        <v>54875</v>
      </c>
      <c r="I1518" t="n">
        <v>855098</v>
      </c>
      <c r="J1518" t="n">
        <v>1103633.799999998</v>
      </c>
      <c r="K1518" t="n">
        <v>70948</v>
      </c>
      <c r="L1518" t="n">
        <v>396636</v>
      </c>
      <c r="M1518" t="n">
        <v>628700</v>
      </c>
      <c r="N1518" t="n">
        <v>85293</v>
      </c>
      <c r="O1518" t="n">
        <v>151511</v>
      </c>
      <c r="P1518" t="n">
        <v>610</v>
      </c>
    </row>
    <row r="1519">
      <c r="A1519" t="inlineStr">
        <is>
          <t>OO</t>
        </is>
      </c>
      <c r="B1519" t="n">
        <v>2021</v>
      </c>
      <c r="C1519" t="n">
        <v>9</v>
      </c>
      <c r="D1519" t="n">
        <v>66966</v>
      </c>
      <c r="E1519" t="n">
        <v>297</v>
      </c>
      <c r="F1519" t="n">
        <v>128</v>
      </c>
      <c r="G1519" t="n">
        <v>66541</v>
      </c>
      <c r="H1519" t="n">
        <v>58228</v>
      </c>
      <c r="I1519" t="n">
        <v>89377</v>
      </c>
      <c r="J1519" t="n">
        <v>1108043.999999997</v>
      </c>
      <c r="K1519" t="n">
        <v>65960</v>
      </c>
      <c r="L1519" t="n">
        <v>176805</v>
      </c>
      <c r="M1519" t="n">
        <v>368258</v>
      </c>
      <c r="N1519" t="n">
        <v>35018</v>
      </c>
      <c r="O1519" t="n">
        <v>49856</v>
      </c>
      <c r="P1519" t="n">
        <v>812</v>
      </c>
    </row>
    <row r="1520">
      <c r="A1520" t="inlineStr">
        <is>
          <t>OO</t>
        </is>
      </c>
      <c r="B1520" t="n">
        <v>2021</v>
      </c>
      <c r="C1520" t="n">
        <v>10</v>
      </c>
      <c r="D1520" t="n">
        <v>68988</v>
      </c>
      <c r="E1520" t="n">
        <v>2458</v>
      </c>
      <c r="F1520" t="n">
        <v>152</v>
      </c>
      <c r="G1520" t="n">
        <v>66378</v>
      </c>
      <c r="H1520" t="n">
        <v>54762</v>
      </c>
      <c r="I1520" t="n">
        <v>580067</v>
      </c>
      <c r="J1520" t="n">
        <v>1181397.599999999</v>
      </c>
      <c r="K1520" t="n">
        <v>68586</v>
      </c>
      <c r="L1520" t="n">
        <v>287684</v>
      </c>
      <c r="M1520" t="n">
        <v>622737</v>
      </c>
      <c r="N1520" t="n">
        <v>37997</v>
      </c>
      <c r="O1520" t="n">
        <v>103620</v>
      </c>
      <c r="P1520" t="n">
        <v>1601</v>
      </c>
    </row>
    <row r="1521">
      <c r="A1521" t="inlineStr">
        <is>
          <t>OO</t>
        </is>
      </c>
      <c r="B1521" t="n">
        <v>2021</v>
      </c>
      <c r="C1521" t="n">
        <v>11</v>
      </c>
      <c r="D1521" t="n">
        <v>66279</v>
      </c>
      <c r="E1521" t="n">
        <v>280</v>
      </c>
      <c r="F1521" t="n">
        <v>123</v>
      </c>
      <c r="G1521" t="n">
        <v>65876</v>
      </c>
      <c r="H1521" t="n">
        <v>57389</v>
      </c>
      <c r="I1521" t="n">
        <v>93793</v>
      </c>
      <c r="J1521" t="n">
        <v>1317394.899999998</v>
      </c>
      <c r="K1521" t="n">
        <v>65554</v>
      </c>
      <c r="L1521" t="n">
        <v>165123</v>
      </c>
      <c r="M1521" t="n">
        <v>466499</v>
      </c>
      <c r="N1521" t="n">
        <v>7614</v>
      </c>
      <c r="O1521" t="n">
        <v>71504</v>
      </c>
      <c r="P1521" t="n">
        <v>1369</v>
      </c>
    </row>
    <row r="1522">
      <c r="A1522" t="inlineStr">
        <is>
          <t>OO</t>
        </is>
      </c>
      <c r="B1522" t="n">
        <v>2021</v>
      </c>
      <c r="C1522" t="n">
        <v>12</v>
      </c>
      <c r="D1522" t="n">
        <v>65939</v>
      </c>
      <c r="E1522" t="n">
        <v>3105</v>
      </c>
      <c r="F1522" t="n">
        <v>249</v>
      </c>
      <c r="G1522" t="n">
        <v>62585</v>
      </c>
      <c r="H1522" t="n">
        <v>47969</v>
      </c>
      <c r="I1522" t="n">
        <v>775971</v>
      </c>
      <c r="J1522" t="n">
        <v>1375986.499999985</v>
      </c>
      <c r="K1522" t="n">
        <v>64721</v>
      </c>
      <c r="L1522" t="n">
        <v>272872</v>
      </c>
      <c r="M1522" t="n">
        <v>755959</v>
      </c>
      <c r="N1522" t="n">
        <v>29861</v>
      </c>
      <c r="O1522" t="n">
        <v>207401</v>
      </c>
      <c r="P1522" t="n">
        <v>450</v>
      </c>
    </row>
    <row r="1523">
      <c r="A1523" t="inlineStr">
        <is>
          <t>OO</t>
        </is>
      </c>
      <c r="B1523" t="n">
        <v>2022</v>
      </c>
      <c r="C1523" t="n">
        <v>1</v>
      </c>
      <c r="D1523" t="n">
        <v>63146</v>
      </c>
      <c r="E1523" t="n">
        <v>4284</v>
      </c>
      <c r="F1523" t="n">
        <v>211</v>
      </c>
      <c r="G1523" t="n">
        <v>58651</v>
      </c>
      <c r="H1523" t="n">
        <v>46587</v>
      </c>
      <c r="I1523" t="n">
        <v>465013</v>
      </c>
      <c r="J1523" t="n">
        <v>1385797.899999974</v>
      </c>
      <c r="K1523" t="n">
        <v>62818</v>
      </c>
      <c r="L1523" t="n">
        <v>207164</v>
      </c>
      <c r="M1523" t="n">
        <v>670109</v>
      </c>
      <c r="N1523" t="n">
        <v>20396</v>
      </c>
      <c r="O1523" t="n">
        <v>126954</v>
      </c>
      <c r="P1523" t="n">
        <v>1253</v>
      </c>
    </row>
    <row r="1524">
      <c r="A1524" t="inlineStr">
        <is>
          <t>OO</t>
        </is>
      </c>
      <c r="B1524" t="n">
        <v>2022</v>
      </c>
      <c r="C1524" t="n">
        <v>2</v>
      </c>
      <c r="D1524" t="n">
        <v>54943</v>
      </c>
      <c r="E1524" t="n">
        <v>2235</v>
      </c>
      <c r="F1524" t="n">
        <v>159</v>
      </c>
      <c r="G1524" t="n">
        <v>52549</v>
      </c>
      <c r="H1524" t="n">
        <v>42584</v>
      </c>
      <c r="I1524" t="n">
        <v>378324</v>
      </c>
      <c r="J1524" t="n">
        <v>1154582.299999983</v>
      </c>
      <c r="K1524" t="n">
        <v>54468</v>
      </c>
      <c r="L1524" t="n">
        <v>237524</v>
      </c>
      <c r="M1524" t="n">
        <v>472415</v>
      </c>
      <c r="N1524" t="n">
        <v>23111</v>
      </c>
      <c r="O1524" t="n">
        <v>137650</v>
      </c>
      <c r="P1524" t="n">
        <v>1031</v>
      </c>
    </row>
    <row r="1525">
      <c r="A1525" t="inlineStr">
        <is>
          <t>OO</t>
        </is>
      </c>
      <c r="B1525" t="n">
        <v>2022</v>
      </c>
      <c r="C1525" t="n">
        <v>3</v>
      </c>
      <c r="D1525" t="n">
        <v>60933</v>
      </c>
      <c r="E1525" t="n">
        <v>576</v>
      </c>
      <c r="F1525" t="n">
        <v>170</v>
      </c>
      <c r="G1525" t="n">
        <v>60187</v>
      </c>
      <c r="H1525" t="n">
        <v>50430</v>
      </c>
      <c r="I1525" t="n">
        <v>232024</v>
      </c>
      <c r="J1525" t="n">
        <v>1145249.200000009</v>
      </c>
      <c r="K1525" t="n">
        <v>59667</v>
      </c>
      <c r="L1525" t="n">
        <v>216775</v>
      </c>
      <c r="M1525" t="n">
        <v>413191</v>
      </c>
      <c r="N1525" t="n">
        <v>13064</v>
      </c>
      <c r="O1525" t="n">
        <v>97640</v>
      </c>
      <c r="P1525" t="n">
        <v>2380</v>
      </c>
    </row>
    <row r="1526">
      <c r="A1526" t="inlineStr">
        <is>
          <t>OO</t>
        </is>
      </c>
      <c r="B1526" t="n">
        <v>2022</v>
      </c>
      <c r="C1526" t="n">
        <v>4</v>
      </c>
      <c r="D1526" t="n">
        <v>63870</v>
      </c>
      <c r="E1526" t="n">
        <v>823</v>
      </c>
      <c r="F1526" t="n">
        <v>142</v>
      </c>
      <c r="G1526" t="n">
        <v>62905</v>
      </c>
      <c r="H1526" t="n">
        <v>53024</v>
      </c>
      <c r="I1526" t="n">
        <v>337194</v>
      </c>
      <c r="J1526" t="n">
        <v>1125128.600000022</v>
      </c>
      <c r="K1526" t="n">
        <v>63435</v>
      </c>
      <c r="L1526" t="n">
        <v>210195</v>
      </c>
      <c r="M1526" t="n">
        <v>480501</v>
      </c>
      <c r="N1526" t="n">
        <v>22117</v>
      </c>
      <c r="O1526" t="n">
        <v>108604</v>
      </c>
      <c r="P1526" t="n">
        <v>3810</v>
      </c>
    </row>
    <row r="1527">
      <c r="A1527" t="inlineStr">
        <is>
          <t>OO</t>
        </is>
      </c>
      <c r="B1527" t="n">
        <v>2022</v>
      </c>
      <c r="C1527" t="n">
        <v>5</v>
      </c>
      <c r="D1527" t="n">
        <v>66677</v>
      </c>
      <c r="E1527" t="n">
        <v>523</v>
      </c>
      <c r="F1527" t="n">
        <v>147</v>
      </c>
      <c r="G1527" t="n">
        <v>66007</v>
      </c>
      <c r="H1527" t="n">
        <v>55746</v>
      </c>
      <c r="I1527" t="n">
        <v>372969</v>
      </c>
      <c r="J1527" t="n">
        <v>1144912.200000012</v>
      </c>
      <c r="K1527" t="n">
        <v>65915</v>
      </c>
      <c r="L1527" t="n">
        <v>217128</v>
      </c>
      <c r="M1527" t="n">
        <v>571256</v>
      </c>
      <c r="N1527" t="n">
        <v>12778</v>
      </c>
      <c r="O1527" t="n">
        <v>90572</v>
      </c>
      <c r="P1527" t="n">
        <v>1012</v>
      </c>
    </row>
    <row r="1528">
      <c r="A1528" t="inlineStr">
        <is>
          <t>OO</t>
        </is>
      </c>
      <c r="B1528" t="n">
        <v>2022</v>
      </c>
      <c r="C1528" t="n">
        <v>6</v>
      </c>
      <c r="D1528" t="n">
        <v>66038</v>
      </c>
      <c r="E1528" t="n">
        <v>431</v>
      </c>
      <c r="F1528" t="n">
        <v>160</v>
      </c>
      <c r="G1528" t="n">
        <v>65447</v>
      </c>
      <c r="H1528" t="n">
        <v>54102</v>
      </c>
      <c r="I1528" t="n">
        <v>449925</v>
      </c>
      <c r="J1528" t="n">
        <v>1111473.700000003</v>
      </c>
      <c r="K1528" t="n">
        <v>65255</v>
      </c>
      <c r="L1528" t="n">
        <v>193705</v>
      </c>
      <c r="M1528" t="n">
        <v>635050</v>
      </c>
      <c r="N1528" t="n">
        <v>25991</v>
      </c>
      <c r="O1528" t="n">
        <v>72418</v>
      </c>
      <c r="P1528" t="n">
        <v>2449</v>
      </c>
    </row>
    <row r="1529">
      <c r="A1529" t="inlineStr">
        <is>
          <t>OO</t>
        </is>
      </c>
      <c r="B1529" t="n">
        <v>2022</v>
      </c>
      <c r="C1529" t="n">
        <v>7</v>
      </c>
      <c r="D1529" t="n">
        <v>65225</v>
      </c>
      <c r="E1529" t="n">
        <v>507</v>
      </c>
      <c r="F1529" t="n">
        <v>220</v>
      </c>
      <c r="G1529" t="n">
        <v>64498</v>
      </c>
      <c r="H1529" t="n">
        <v>54054</v>
      </c>
      <c r="I1529" t="n">
        <v>325454</v>
      </c>
      <c r="J1529" t="n">
        <v>1122386.99999999</v>
      </c>
      <c r="K1529" t="n">
        <v>64940</v>
      </c>
      <c r="L1529" t="n">
        <v>174831</v>
      </c>
      <c r="M1529" t="n">
        <v>503430</v>
      </c>
      <c r="N1529" t="n">
        <v>56996</v>
      </c>
      <c r="O1529" t="n">
        <v>93606</v>
      </c>
      <c r="P1529" t="n">
        <v>2817</v>
      </c>
    </row>
    <row r="1530">
      <c r="A1530" t="inlineStr">
        <is>
          <t>OO</t>
        </is>
      </c>
      <c r="B1530" t="n">
        <v>2022</v>
      </c>
      <c r="C1530" t="n">
        <v>8</v>
      </c>
      <c r="D1530" t="n">
        <v>63698</v>
      </c>
      <c r="E1530" t="n">
        <v>876</v>
      </c>
      <c r="F1530" t="n">
        <v>181</v>
      </c>
      <c r="G1530" t="n">
        <v>62641</v>
      </c>
      <c r="H1530" t="n">
        <v>52832</v>
      </c>
      <c r="I1530" t="n">
        <v>295218</v>
      </c>
      <c r="J1530" t="n">
        <v>1109243.49999999</v>
      </c>
      <c r="K1530" t="n">
        <v>63389</v>
      </c>
      <c r="L1530" t="n">
        <v>171413</v>
      </c>
      <c r="M1530" t="n">
        <v>482526</v>
      </c>
      <c r="N1530" t="n">
        <v>39594</v>
      </c>
      <c r="O1530" t="n">
        <v>106447</v>
      </c>
      <c r="P1530" t="n">
        <v>1436</v>
      </c>
    </row>
    <row r="1531">
      <c r="A1531" t="inlineStr">
        <is>
          <t>OO</t>
        </is>
      </c>
      <c r="B1531" t="n">
        <v>2022</v>
      </c>
      <c r="C1531" t="n">
        <v>9</v>
      </c>
      <c r="D1531" t="n">
        <v>62347</v>
      </c>
      <c r="E1531" t="n">
        <v>225</v>
      </c>
      <c r="F1531" t="n">
        <v>106</v>
      </c>
      <c r="G1531" t="n">
        <v>62016</v>
      </c>
      <c r="H1531" t="n">
        <v>53834</v>
      </c>
      <c r="I1531" t="n">
        <v>88881</v>
      </c>
      <c r="J1531" t="n">
        <v>1084670.20000001</v>
      </c>
      <c r="K1531" t="n">
        <v>61459</v>
      </c>
      <c r="L1531" t="n">
        <v>116884</v>
      </c>
      <c r="M1531" t="n">
        <v>423717</v>
      </c>
      <c r="N1531" t="n">
        <v>20720</v>
      </c>
      <c r="O1531" t="n">
        <v>56983</v>
      </c>
      <c r="P1531" t="n">
        <v>917</v>
      </c>
    </row>
    <row r="1532">
      <c r="A1532" t="inlineStr">
        <is>
          <t>OO</t>
        </is>
      </c>
      <c r="B1532" t="n">
        <v>2022</v>
      </c>
      <c r="C1532" t="n">
        <v>10</v>
      </c>
      <c r="D1532" t="n">
        <v>60553</v>
      </c>
      <c r="E1532" t="n">
        <v>177</v>
      </c>
      <c r="F1532" t="n">
        <v>131</v>
      </c>
      <c r="G1532" t="n">
        <v>60245</v>
      </c>
      <c r="H1532" t="n">
        <v>53581</v>
      </c>
      <c r="I1532" t="n">
        <v>-26792</v>
      </c>
      <c r="J1532" t="n">
        <v>1087591.200000003</v>
      </c>
      <c r="K1532" t="n">
        <v>60307</v>
      </c>
      <c r="L1532" t="n">
        <v>100622</v>
      </c>
      <c r="M1532" t="n">
        <v>326504</v>
      </c>
      <c r="N1532" t="n">
        <v>15429</v>
      </c>
      <c r="O1532" t="n">
        <v>75540</v>
      </c>
      <c r="P1532" t="n">
        <v>1380</v>
      </c>
    </row>
    <row r="1533">
      <c r="A1533" t="inlineStr">
        <is>
          <t>OO</t>
        </is>
      </c>
      <c r="B1533" t="n">
        <v>2022</v>
      </c>
      <c r="C1533" t="n">
        <v>11</v>
      </c>
      <c r="D1533" t="n">
        <v>55716</v>
      </c>
      <c r="E1533" t="n">
        <v>646</v>
      </c>
      <c r="F1533" t="n">
        <v>148</v>
      </c>
      <c r="G1533" t="n">
        <v>54922</v>
      </c>
      <c r="H1533" t="n">
        <v>45610</v>
      </c>
      <c r="I1533" t="n">
        <v>247748</v>
      </c>
      <c r="J1533" t="n">
        <v>1077073.799999997</v>
      </c>
      <c r="K1533" t="n">
        <v>55186</v>
      </c>
      <c r="L1533" t="n">
        <v>119316</v>
      </c>
      <c r="M1533" t="n">
        <v>421159</v>
      </c>
      <c r="N1533" t="n">
        <v>17267</v>
      </c>
      <c r="O1533" t="n">
        <v>118311</v>
      </c>
      <c r="P1533" t="n">
        <v>1208</v>
      </c>
    </row>
    <row r="1534">
      <c r="A1534" t="inlineStr">
        <is>
          <t>OO</t>
        </is>
      </c>
      <c r="B1534" t="n">
        <v>2022</v>
      </c>
      <c r="C1534" t="n">
        <v>12</v>
      </c>
      <c r="D1534" t="n">
        <v>50430</v>
      </c>
      <c r="E1534" t="n">
        <v>2028</v>
      </c>
      <c r="F1534" t="n">
        <v>221</v>
      </c>
      <c r="G1534" t="n">
        <v>48181</v>
      </c>
      <c r="H1534" t="n">
        <v>36285</v>
      </c>
      <c r="I1534" t="n">
        <v>686199</v>
      </c>
      <c r="J1534" t="n">
        <v>962689.5999999971</v>
      </c>
      <c r="K1534" t="n">
        <v>48267</v>
      </c>
      <c r="L1534" t="n">
        <v>225633</v>
      </c>
      <c r="M1534" t="n">
        <v>506427</v>
      </c>
      <c r="N1534" t="n">
        <v>30896</v>
      </c>
      <c r="O1534" t="n">
        <v>228176</v>
      </c>
      <c r="P1534" t="n">
        <v>1406</v>
      </c>
    </row>
    <row r="1535">
      <c r="A1535" t="inlineStr">
        <is>
          <t>OO</t>
        </is>
      </c>
      <c r="B1535" t="n">
        <v>2023</v>
      </c>
      <c r="C1535" t="n">
        <v>1</v>
      </c>
      <c r="D1535" t="n">
        <v>50347</v>
      </c>
      <c r="E1535" t="n">
        <v>1670</v>
      </c>
      <c r="F1535" t="n">
        <v>299</v>
      </c>
      <c r="G1535" t="n">
        <v>48378</v>
      </c>
      <c r="H1535" t="n">
        <v>37208</v>
      </c>
      <c r="I1535" t="n">
        <v>537705</v>
      </c>
      <c r="J1535" t="n">
        <v>982974.0999999883</v>
      </c>
      <c r="K1535" t="n">
        <v>48141</v>
      </c>
      <c r="L1535" t="n">
        <v>211381</v>
      </c>
      <c r="M1535" t="n">
        <v>432867</v>
      </c>
      <c r="N1535" t="n">
        <v>45163</v>
      </c>
      <c r="O1535" t="n">
        <v>175490</v>
      </c>
      <c r="P1535" t="n">
        <v>4324</v>
      </c>
    </row>
    <row r="1536">
      <c r="A1536" t="inlineStr">
        <is>
          <t>OO</t>
        </is>
      </c>
      <c r="B1536" t="n">
        <v>2023</v>
      </c>
      <c r="C1536" t="n">
        <v>2</v>
      </c>
      <c r="D1536" t="n">
        <v>50486</v>
      </c>
      <c r="E1536" t="n">
        <v>1351</v>
      </c>
      <c r="F1536" t="n">
        <v>155</v>
      </c>
      <c r="G1536" t="n">
        <v>48980</v>
      </c>
      <c r="H1536" t="n">
        <v>39917</v>
      </c>
      <c r="I1536" t="n">
        <v>301973</v>
      </c>
      <c r="J1536" t="n">
        <v>980110.7999999912</v>
      </c>
      <c r="K1536" t="n">
        <v>48172</v>
      </c>
      <c r="L1536" t="n">
        <v>177194</v>
      </c>
      <c r="M1536" t="n">
        <v>383358</v>
      </c>
      <c r="N1536" t="n">
        <v>22118</v>
      </c>
      <c r="O1536" t="n">
        <v>124901</v>
      </c>
      <c r="P1536" t="n">
        <v>2283</v>
      </c>
    </row>
    <row r="1537">
      <c r="A1537" t="inlineStr">
        <is>
          <t>OO</t>
        </is>
      </c>
      <c r="B1537" t="n">
        <v>2023</v>
      </c>
      <c r="C1537" t="n">
        <v>3</v>
      </c>
      <c r="D1537" t="n">
        <v>57835</v>
      </c>
      <c r="E1537" t="n">
        <v>976</v>
      </c>
      <c r="F1537" t="n">
        <v>248</v>
      </c>
      <c r="G1537" t="n">
        <v>56611</v>
      </c>
      <c r="H1537" t="n">
        <v>45315</v>
      </c>
      <c r="I1537" t="n">
        <v>410114</v>
      </c>
      <c r="J1537" t="n">
        <v>1063815.200000009</v>
      </c>
      <c r="K1537" t="n">
        <v>54013</v>
      </c>
      <c r="L1537" t="n">
        <v>181047</v>
      </c>
      <c r="M1537" t="n">
        <v>417322</v>
      </c>
      <c r="N1537" t="n">
        <v>59302</v>
      </c>
      <c r="O1537" t="n">
        <v>133065</v>
      </c>
      <c r="P1537" t="n">
        <v>1979</v>
      </c>
    </row>
    <row r="1538">
      <c r="A1538" t="inlineStr">
        <is>
          <t>OO</t>
        </is>
      </c>
      <c r="B1538" t="n">
        <v>2023</v>
      </c>
      <c r="C1538" t="n">
        <v>4</v>
      </c>
      <c r="D1538" t="n">
        <v>56048</v>
      </c>
      <c r="E1538" t="n">
        <v>811</v>
      </c>
      <c r="F1538" t="n">
        <v>156</v>
      </c>
      <c r="G1538" t="n">
        <v>55081</v>
      </c>
      <c r="H1538" t="n">
        <v>47300</v>
      </c>
      <c r="I1538" t="n">
        <v>139868</v>
      </c>
      <c r="J1538" t="n">
        <v>990589.4000000035</v>
      </c>
      <c r="K1538" t="n">
        <v>52994</v>
      </c>
      <c r="L1538" t="n">
        <v>100610</v>
      </c>
      <c r="M1538" t="n">
        <v>338904</v>
      </c>
      <c r="N1538" t="n">
        <v>35801</v>
      </c>
      <c r="O1538" t="n">
        <v>106972</v>
      </c>
      <c r="P1538" t="n">
        <v>706</v>
      </c>
    </row>
    <row r="1539">
      <c r="A1539" t="inlineStr">
        <is>
          <t>OO</t>
        </is>
      </c>
      <c r="B1539" t="n">
        <v>2023</v>
      </c>
      <c r="C1539" t="n">
        <v>5</v>
      </c>
      <c r="D1539" t="n">
        <v>56397</v>
      </c>
      <c r="E1539" t="n">
        <v>413</v>
      </c>
      <c r="F1539" t="n">
        <v>129</v>
      </c>
      <c r="G1539" t="n">
        <v>55855</v>
      </c>
      <c r="H1539" t="n">
        <v>48595</v>
      </c>
      <c r="I1539" t="n">
        <v>21730</v>
      </c>
      <c r="J1539" t="n">
        <v>987533.3999999999</v>
      </c>
      <c r="K1539" t="n">
        <v>53295</v>
      </c>
      <c r="L1539" t="n">
        <v>116813</v>
      </c>
      <c r="M1539" t="n">
        <v>300302</v>
      </c>
      <c r="N1539" t="n">
        <v>40400</v>
      </c>
      <c r="O1539" t="n">
        <v>52486</v>
      </c>
      <c r="P1539" t="n">
        <v>778</v>
      </c>
    </row>
    <row r="1540">
      <c r="A1540" t="inlineStr">
        <is>
          <t>OO</t>
        </is>
      </c>
      <c r="B1540" t="n">
        <v>2023</v>
      </c>
      <c r="C1540" t="n">
        <v>6</v>
      </c>
      <c r="D1540" t="n">
        <v>56372</v>
      </c>
      <c r="E1540" t="n">
        <v>704</v>
      </c>
      <c r="F1540" t="n">
        <v>123</v>
      </c>
      <c r="G1540" t="n">
        <v>55545</v>
      </c>
      <c r="H1540" t="n">
        <v>46265</v>
      </c>
      <c r="I1540" t="n">
        <v>321324</v>
      </c>
      <c r="J1540" t="n">
        <v>975716.5000000047</v>
      </c>
      <c r="K1540" t="n">
        <v>53951</v>
      </c>
      <c r="L1540" t="n">
        <v>156538</v>
      </c>
      <c r="M1540" t="n">
        <v>417553</v>
      </c>
      <c r="N1540" t="n">
        <v>61602</v>
      </c>
      <c r="O1540" t="n">
        <v>87604</v>
      </c>
      <c r="P1540" t="n">
        <v>2496</v>
      </c>
    </row>
    <row r="1541">
      <c r="A1541" t="inlineStr">
        <is>
          <t>OO</t>
        </is>
      </c>
      <c r="B1541" t="n">
        <v>2023</v>
      </c>
      <c r="C1541" t="n">
        <v>7</v>
      </c>
      <c r="D1541" t="n">
        <v>57287</v>
      </c>
      <c r="E1541" t="n">
        <v>848</v>
      </c>
      <c r="F1541" t="n">
        <v>177</v>
      </c>
      <c r="G1541" t="n">
        <v>56262</v>
      </c>
      <c r="H1541" t="n">
        <v>46486</v>
      </c>
      <c r="I1541" t="n">
        <v>379304</v>
      </c>
      <c r="J1541" t="n">
        <v>986326.4999999994</v>
      </c>
      <c r="K1541" t="n">
        <v>54494</v>
      </c>
      <c r="L1541" t="n">
        <v>237306</v>
      </c>
      <c r="M1541" t="n">
        <v>413342</v>
      </c>
      <c r="N1541" t="n">
        <v>65512</v>
      </c>
      <c r="O1541" t="n">
        <v>87052</v>
      </c>
      <c r="P1541" t="n">
        <v>306</v>
      </c>
    </row>
    <row r="1542">
      <c r="A1542" t="inlineStr">
        <is>
          <t>OO</t>
        </is>
      </c>
      <c r="B1542" t="n">
        <v>2023</v>
      </c>
      <c r="C1542" t="n">
        <v>8</v>
      </c>
      <c r="D1542" t="n">
        <v>58093</v>
      </c>
      <c r="E1542" t="n">
        <v>404</v>
      </c>
      <c r="F1542" t="n">
        <v>161</v>
      </c>
      <c r="G1542" t="n">
        <v>57528</v>
      </c>
      <c r="H1542" t="n">
        <v>48487</v>
      </c>
      <c r="I1542" t="n">
        <v>265043</v>
      </c>
      <c r="J1542" t="n">
        <v>998217.199999998</v>
      </c>
      <c r="K1542" t="n">
        <v>55276</v>
      </c>
      <c r="L1542" t="n">
        <v>162509</v>
      </c>
      <c r="M1542" t="n">
        <v>437942</v>
      </c>
      <c r="N1542" t="n">
        <v>38311</v>
      </c>
      <c r="O1542" t="n">
        <v>78921</v>
      </c>
      <c r="P1542" t="n">
        <v>1086</v>
      </c>
    </row>
    <row r="1543">
      <c r="A1543" t="inlineStr">
        <is>
          <t>OO</t>
        </is>
      </c>
      <c r="B1543" t="n">
        <v>2023</v>
      </c>
      <c r="C1543" t="n">
        <v>9</v>
      </c>
      <c r="D1543" t="n">
        <v>59245</v>
      </c>
      <c r="E1543" t="n">
        <v>230</v>
      </c>
      <c r="F1543" t="n">
        <v>106</v>
      </c>
      <c r="G1543" t="n">
        <v>58909</v>
      </c>
      <c r="H1543" t="n">
        <v>49682</v>
      </c>
      <c r="I1543" t="n">
        <v>237435</v>
      </c>
      <c r="J1543" t="n">
        <v>1054102.800000003</v>
      </c>
      <c r="K1543" t="n">
        <v>56894</v>
      </c>
      <c r="L1543" t="n">
        <v>201606</v>
      </c>
      <c r="M1543" t="n">
        <v>383993</v>
      </c>
      <c r="N1543" t="n">
        <v>65388</v>
      </c>
      <c r="O1543" t="n">
        <v>56067</v>
      </c>
      <c r="P1543" t="n">
        <v>1891</v>
      </c>
    </row>
    <row r="1544">
      <c r="A1544" t="inlineStr">
        <is>
          <t>OO</t>
        </is>
      </c>
      <c r="B1544" t="n">
        <v>2023</v>
      </c>
      <c r="C1544" t="n">
        <v>10</v>
      </c>
      <c r="D1544" t="n">
        <v>59863</v>
      </c>
      <c r="E1544" t="n">
        <v>306</v>
      </c>
      <c r="F1544" t="n">
        <v>114</v>
      </c>
      <c r="G1544" t="n">
        <v>59443</v>
      </c>
      <c r="H1544" t="n">
        <v>50962</v>
      </c>
      <c r="I1544" t="n">
        <v>161587</v>
      </c>
      <c r="J1544" t="n">
        <v>1085755.900000002</v>
      </c>
      <c r="K1544" t="n">
        <v>57262</v>
      </c>
      <c r="L1544" t="n">
        <v>145614</v>
      </c>
      <c r="M1544" t="n">
        <v>402102</v>
      </c>
      <c r="N1544" t="n">
        <v>25366</v>
      </c>
      <c r="O1544" t="n">
        <v>83667</v>
      </c>
      <c r="P1544" t="n">
        <v>993</v>
      </c>
    </row>
    <row r="1545">
      <c r="A1545" t="inlineStr">
        <is>
          <t>OO</t>
        </is>
      </c>
      <c r="B1545" t="n">
        <v>2023</v>
      </c>
      <c r="C1545" t="n">
        <v>11</v>
      </c>
      <c r="D1545" t="n">
        <v>57194</v>
      </c>
      <c r="E1545" t="n">
        <v>118</v>
      </c>
      <c r="F1545" t="n">
        <v>124</v>
      </c>
      <c r="G1545" t="n">
        <v>56952</v>
      </c>
      <c r="H1545" t="n">
        <v>49387</v>
      </c>
      <c r="I1545" t="n">
        <v>45428</v>
      </c>
      <c r="J1545" t="n">
        <v>1172317.799999998</v>
      </c>
      <c r="K1545" t="n">
        <v>54567</v>
      </c>
      <c r="L1545" t="n">
        <v>122388</v>
      </c>
      <c r="M1545" t="n">
        <v>280826</v>
      </c>
      <c r="N1545" t="n">
        <v>92161</v>
      </c>
      <c r="O1545" t="n">
        <v>103246</v>
      </c>
      <c r="P1545" t="n">
        <v>721</v>
      </c>
    </row>
    <row r="1546">
      <c r="A1546" t="inlineStr">
        <is>
          <t>OO</t>
        </is>
      </c>
      <c r="B1546" t="n">
        <v>2023</v>
      </c>
      <c r="C1546" t="n">
        <v>12</v>
      </c>
      <c r="D1546" t="n">
        <v>55995</v>
      </c>
      <c r="E1546" t="n">
        <v>421</v>
      </c>
      <c r="F1546" t="n">
        <v>257</v>
      </c>
      <c r="G1546" t="n">
        <v>55317</v>
      </c>
      <c r="H1546" t="n">
        <v>47157</v>
      </c>
      <c r="I1546" t="n">
        <v>150675</v>
      </c>
      <c r="J1546" t="n">
        <v>1220423.199999989</v>
      </c>
      <c r="K1546" t="n">
        <v>52509</v>
      </c>
      <c r="L1546" t="n">
        <v>136491</v>
      </c>
      <c r="M1546" t="n">
        <v>278428</v>
      </c>
      <c r="N1546" t="n">
        <v>114425</v>
      </c>
      <c r="O1546" t="n">
        <v>196705</v>
      </c>
      <c r="P1546" t="n">
        <v>780</v>
      </c>
    </row>
    <row r="1547">
      <c r="A1547" t="inlineStr">
        <is>
          <t>OO</t>
        </is>
      </c>
      <c r="B1547" t="n">
        <v>2024</v>
      </c>
      <c r="C1547" t="n">
        <v>1</v>
      </c>
      <c r="D1547" t="n">
        <v>56814</v>
      </c>
      <c r="E1547" t="n">
        <v>2384</v>
      </c>
      <c r="F1547" t="n">
        <v>224</v>
      </c>
      <c r="G1547" t="n">
        <v>54206</v>
      </c>
      <c r="H1547" t="n">
        <v>41124</v>
      </c>
      <c r="I1547" t="n">
        <v>824085</v>
      </c>
      <c r="J1547" t="n">
        <v>1226240.199999987</v>
      </c>
      <c r="K1547" t="n">
        <v>53328</v>
      </c>
      <c r="L1547" t="n">
        <v>249238</v>
      </c>
      <c r="M1547" t="n">
        <v>581854</v>
      </c>
      <c r="N1547" t="n">
        <v>149045</v>
      </c>
      <c r="O1547" t="n">
        <v>283294</v>
      </c>
      <c r="P1547" t="n">
        <v>2353</v>
      </c>
    </row>
    <row r="1548">
      <c r="A1548" t="inlineStr">
        <is>
          <t>OO</t>
        </is>
      </c>
      <c r="B1548" t="n">
        <v>2024</v>
      </c>
      <c r="C1548" t="n">
        <v>2</v>
      </c>
      <c r="D1548" t="n">
        <v>53325</v>
      </c>
      <c r="E1548" t="n">
        <v>709</v>
      </c>
      <c r="F1548" t="n">
        <v>219</v>
      </c>
      <c r="G1548" t="n">
        <v>52397</v>
      </c>
      <c r="H1548" t="n">
        <v>43625</v>
      </c>
      <c r="I1548" t="n">
        <v>188895</v>
      </c>
      <c r="J1548" t="n">
        <v>1141260.499999991</v>
      </c>
      <c r="K1548" t="n">
        <v>50034</v>
      </c>
      <c r="L1548" t="n">
        <v>144220</v>
      </c>
      <c r="M1548" t="n">
        <v>308669</v>
      </c>
      <c r="N1548" t="n">
        <v>136882</v>
      </c>
      <c r="O1548" t="n">
        <v>122871</v>
      </c>
      <c r="P1548" t="n">
        <v>2342</v>
      </c>
    </row>
    <row r="1549">
      <c r="A1549" t="inlineStr">
        <is>
          <t>OO</t>
        </is>
      </c>
      <c r="B1549" t="n">
        <v>2024</v>
      </c>
      <c r="C1549" t="n">
        <v>3</v>
      </c>
      <c r="D1549" t="n">
        <v>56241</v>
      </c>
      <c r="E1549" t="n">
        <v>771</v>
      </c>
      <c r="F1549" t="n">
        <v>197</v>
      </c>
      <c r="G1549" t="n">
        <v>55273</v>
      </c>
      <c r="H1549" t="n">
        <v>46140</v>
      </c>
      <c r="I1549" t="n">
        <v>157912</v>
      </c>
      <c r="J1549" t="n">
        <v>1156821.800000006</v>
      </c>
      <c r="K1549" t="n">
        <v>52039</v>
      </c>
      <c r="L1549" t="n">
        <v>106735</v>
      </c>
      <c r="M1549" t="n">
        <v>294819</v>
      </c>
      <c r="N1549" t="n">
        <v>148613</v>
      </c>
      <c r="O1549" t="n">
        <v>95284</v>
      </c>
      <c r="P1549" t="n">
        <v>2562</v>
      </c>
    </row>
    <row r="1550">
      <c r="A1550" t="inlineStr">
        <is>
          <t>OO</t>
        </is>
      </c>
      <c r="B1550" t="n">
        <v>2024</v>
      </c>
      <c r="C1550" t="n">
        <v>4</v>
      </c>
      <c r="D1550" t="n">
        <v>59669</v>
      </c>
      <c r="E1550" t="n">
        <v>400</v>
      </c>
      <c r="F1550" t="n">
        <v>176</v>
      </c>
      <c r="G1550" t="n">
        <v>59093</v>
      </c>
      <c r="H1550" t="n">
        <v>49464</v>
      </c>
      <c r="I1550" t="n">
        <v>291182</v>
      </c>
      <c r="J1550" t="n">
        <v>1107701.500000005</v>
      </c>
      <c r="K1550" t="n">
        <v>56085</v>
      </c>
      <c r="L1550" t="n">
        <v>127115</v>
      </c>
      <c r="M1550" t="n">
        <v>381479</v>
      </c>
      <c r="N1550" t="n">
        <v>135689</v>
      </c>
      <c r="O1550" t="n">
        <v>99582</v>
      </c>
      <c r="P1550" t="n">
        <v>1792</v>
      </c>
    </row>
    <row r="1551">
      <c r="A1551" t="inlineStr">
        <is>
          <t>OO</t>
        </is>
      </c>
      <c r="B1551" t="n">
        <v>2024</v>
      </c>
      <c r="C1551" t="n">
        <v>5</v>
      </c>
      <c r="D1551" t="n">
        <v>62107</v>
      </c>
      <c r="E1551" t="n">
        <v>848</v>
      </c>
      <c r="F1551" t="n">
        <v>201</v>
      </c>
      <c r="G1551" t="n">
        <v>61058</v>
      </c>
      <c r="H1551" t="n">
        <v>48468</v>
      </c>
      <c r="I1551" t="n">
        <v>708463</v>
      </c>
      <c r="J1551" t="n">
        <v>1116924.300000005</v>
      </c>
      <c r="K1551" t="n">
        <v>57969</v>
      </c>
      <c r="L1551" t="n">
        <v>210313</v>
      </c>
      <c r="M1551" t="n">
        <v>493692</v>
      </c>
      <c r="N1551" t="n">
        <v>213722</v>
      </c>
      <c r="O1551" t="n">
        <v>193691</v>
      </c>
      <c r="P1551" t="n">
        <v>1418</v>
      </c>
    </row>
    <row r="1552">
      <c r="A1552" t="inlineStr">
        <is>
          <t>OO</t>
        </is>
      </c>
      <c r="B1552" t="n">
        <v>2024</v>
      </c>
      <c r="C1552" t="n">
        <v>6</v>
      </c>
      <c r="D1552" t="n">
        <v>61853</v>
      </c>
      <c r="E1552" t="n">
        <v>530</v>
      </c>
      <c r="F1552" t="n">
        <v>211</v>
      </c>
      <c r="G1552" t="n">
        <v>61112</v>
      </c>
      <c r="H1552" t="n">
        <v>47375</v>
      </c>
      <c r="I1552" t="n">
        <v>759203</v>
      </c>
      <c r="J1552" t="n">
        <v>1098099.700000001</v>
      </c>
      <c r="K1552" t="n">
        <v>57683</v>
      </c>
      <c r="L1552" t="n">
        <v>185006</v>
      </c>
      <c r="M1552" t="n">
        <v>625406</v>
      </c>
      <c r="N1552" t="n">
        <v>162420</v>
      </c>
      <c r="O1552" t="n">
        <v>159933</v>
      </c>
      <c r="P1552" t="n">
        <v>2503</v>
      </c>
    </row>
    <row r="1553">
      <c r="A1553" t="inlineStr">
        <is>
          <t>OO</t>
        </is>
      </c>
      <c r="B1553" t="n">
        <v>2024</v>
      </c>
      <c r="C1553" t="n">
        <v>7</v>
      </c>
      <c r="D1553" t="n">
        <v>63914</v>
      </c>
      <c r="E1553" t="n">
        <v>568</v>
      </c>
      <c r="F1553" t="n">
        <v>164</v>
      </c>
      <c r="G1553" t="n">
        <v>63182</v>
      </c>
      <c r="H1553" t="n">
        <v>49578</v>
      </c>
      <c r="I1553" t="n">
        <v>637118</v>
      </c>
      <c r="J1553" t="n">
        <v>1131612.799999998</v>
      </c>
      <c r="K1553" t="n">
        <v>59586</v>
      </c>
      <c r="L1553" t="n">
        <v>195515</v>
      </c>
      <c r="M1553" t="n">
        <v>575757</v>
      </c>
      <c r="N1553" t="n">
        <v>148215</v>
      </c>
      <c r="O1553" t="n">
        <v>120288</v>
      </c>
      <c r="P1553" t="n">
        <v>1859</v>
      </c>
    </row>
    <row r="1554">
      <c r="A1554" t="inlineStr">
        <is>
          <t>OO</t>
        </is>
      </c>
      <c r="B1554" t="n">
        <v>2024</v>
      </c>
      <c r="C1554" t="n">
        <v>8</v>
      </c>
      <c r="D1554" t="n">
        <v>65390</v>
      </c>
      <c r="E1554" t="n">
        <v>279</v>
      </c>
      <c r="F1554" t="n">
        <v>197</v>
      </c>
      <c r="G1554" t="n">
        <v>64914</v>
      </c>
      <c r="H1554" t="n">
        <v>51755</v>
      </c>
      <c r="I1554" t="n">
        <v>569311</v>
      </c>
      <c r="J1554" t="n">
        <v>1166213.100000001</v>
      </c>
      <c r="K1554" t="n">
        <v>60917</v>
      </c>
      <c r="L1554" t="n">
        <v>206066</v>
      </c>
      <c r="M1554" t="n">
        <v>530695</v>
      </c>
      <c r="N1554" t="n">
        <v>169079</v>
      </c>
      <c r="O1554" t="n">
        <v>105929</v>
      </c>
      <c r="P1554" t="n">
        <v>1426</v>
      </c>
    </row>
    <row r="1555">
      <c r="A1555" t="inlineStr">
        <is>
          <t>OO</t>
        </is>
      </c>
      <c r="B1555" t="n">
        <v>2024</v>
      </c>
      <c r="C1555" t="n">
        <v>9</v>
      </c>
      <c r="D1555" t="n">
        <v>64633</v>
      </c>
      <c r="E1555" t="n">
        <v>109</v>
      </c>
      <c r="F1555" t="n">
        <v>106</v>
      </c>
      <c r="G1555" t="n">
        <v>64418</v>
      </c>
      <c r="H1555" t="n">
        <v>54500</v>
      </c>
      <c r="I1555" t="n">
        <v>138770</v>
      </c>
      <c r="J1555" t="n">
        <v>1189609.1</v>
      </c>
      <c r="K1555" t="n">
        <v>60242</v>
      </c>
      <c r="L1555" t="n">
        <v>171056</v>
      </c>
      <c r="M1555" t="n">
        <v>370414</v>
      </c>
      <c r="N1555" t="n">
        <v>69106</v>
      </c>
      <c r="O1555" t="n">
        <v>68738</v>
      </c>
      <c r="P1555" t="n">
        <v>557</v>
      </c>
    </row>
    <row r="1556">
      <c r="A1556" t="inlineStr">
        <is>
          <t>OO</t>
        </is>
      </c>
      <c r="B1556" t="n">
        <v>2024</v>
      </c>
      <c r="C1556" t="n">
        <v>10</v>
      </c>
      <c r="D1556" t="n">
        <v>69069</v>
      </c>
      <c r="E1556" t="n">
        <v>120</v>
      </c>
      <c r="F1556" t="n">
        <v>115</v>
      </c>
      <c r="G1556" t="n">
        <v>68834</v>
      </c>
      <c r="H1556" t="n">
        <v>58947</v>
      </c>
      <c r="I1556" t="n">
        <v>121226</v>
      </c>
      <c r="J1556" t="n">
        <v>1299709.300000001</v>
      </c>
      <c r="K1556" t="n">
        <v>64290</v>
      </c>
      <c r="L1556" t="n">
        <v>149460</v>
      </c>
      <c r="M1556" t="n">
        <v>456970</v>
      </c>
      <c r="N1556" t="n">
        <v>64985</v>
      </c>
      <c r="O1556" t="n">
        <v>60830</v>
      </c>
      <c r="P1556" t="n">
        <v>659</v>
      </c>
    </row>
    <row r="1557">
      <c r="A1557" t="inlineStr">
        <is>
          <t>OO</t>
        </is>
      </c>
      <c r="B1557" t="n">
        <v>2024</v>
      </c>
      <c r="C1557" t="n">
        <v>11</v>
      </c>
      <c r="D1557" t="n">
        <v>65042</v>
      </c>
      <c r="E1557" t="n">
        <v>923</v>
      </c>
      <c r="F1557" t="n">
        <v>164</v>
      </c>
      <c r="G1557" t="n">
        <v>63955</v>
      </c>
      <c r="H1557" t="n">
        <v>52271</v>
      </c>
      <c r="I1557" t="n">
        <v>341409</v>
      </c>
      <c r="J1557" t="n">
        <v>1329375.900000007</v>
      </c>
      <c r="K1557" t="n">
        <v>60439</v>
      </c>
      <c r="L1557" t="n">
        <v>169328</v>
      </c>
      <c r="M1557" t="n">
        <v>455817</v>
      </c>
      <c r="N1557" t="n">
        <v>126164</v>
      </c>
      <c r="O1557" t="n">
        <v>139211</v>
      </c>
      <c r="P1557" t="n">
        <v>474</v>
      </c>
    </row>
    <row r="1558">
      <c r="A1558" t="inlineStr">
        <is>
          <t>OO</t>
        </is>
      </c>
      <c r="B1558" t="n">
        <v>2024</v>
      </c>
      <c r="C1558" t="n">
        <v>12</v>
      </c>
      <c r="D1558" t="n">
        <v>66601</v>
      </c>
      <c r="E1558" t="n">
        <v>886</v>
      </c>
      <c r="F1558" t="n">
        <v>271</v>
      </c>
      <c r="G1558" t="n">
        <v>65444</v>
      </c>
      <c r="H1558" t="n">
        <v>51215</v>
      </c>
      <c r="I1558" t="n">
        <v>660444</v>
      </c>
      <c r="J1558" t="n">
        <v>1451862.399999995</v>
      </c>
      <c r="K1558" t="n">
        <v>60834</v>
      </c>
      <c r="L1558" t="n">
        <v>211563</v>
      </c>
      <c r="M1558" t="n">
        <v>615888</v>
      </c>
      <c r="N1558" t="n">
        <v>152979</v>
      </c>
      <c r="O1558" t="n">
        <v>242631</v>
      </c>
      <c r="P1558" t="n">
        <v>1453</v>
      </c>
    </row>
    <row r="1559">
      <c r="A1559" t="inlineStr">
        <is>
          <t>OO</t>
        </is>
      </c>
      <c r="B1559" t="n">
        <v>2025</v>
      </c>
      <c r="C1559" t="n">
        <v>1</v>
      </c>
      <c r="D1559" t="n">
        <v>65036</v>
      </c>
      <c r="E1559" t="n">
        <v>1343</v>
      </c>
      <c r="F1559" t="n">
        <v>191</v>
      </c>
      <c r="G1559" t="n">
        <v>63502</v>
      </c>
      <c r="H1559" t="n">
        <v>50241</v>
      </c>
      <c r="I1559" t="n">
        <v>504264</v>
      </c>
      <c r="J1559" t="n">
        <v>1469625.799999996</v>
      </c>
      <c r="K1559" t="n">
        <v>59264</v>
      </c>
      <c r="L1559" t="n">
        <v>235074</v>
      </c>
      <c r="M1559" t="n">
        <v>541772</v>
      </c>
      <c r="N1559" t="n">
        <v>156670</v>
      </c>
      <c r="O1559" t="n">
        <v>181519</v>
      </c>
      <c r="P1559" t="n">
        <v>1020</v>
      </c>
    </row>
    <row r="1560">
      <c r="A1560" t="inlineStr">
        <is>
          <t>OO</t>
        </is>
      </c>
      <c r="B1560" t="n">
        <v>2025</v>
      </c>
      <c r="C1560" t="n">
        <v>2</v>
      </c>
      <c r="D1560" t="n">
        <v>59806</v>
      </c>
      <c r="E1560" t="n">
        <v>1055</v>
      </c>
      <c r="F1560" t="n">
        <v>189</v>
      </c>
      <c r="G1560" t="n">
        <v>58562</v>
      </c>
      <c r="H1560" t="n">
        <v>44702</v>
      </c>
      <c r="I1560" t="n">
        <v>628650</v>
      </c>
      <c r="J1560" t="n">
        <v>1288667.099999994</v>
      </c>
      <c r="K1560" t="n">
        <v>54548</v>
      </c>
      <c r="L1560" t="n">
        <v>263987</v>
      </c>
      <c r="M1560" t="n">
        <v>542935</v>
      </c>
      <c r="N1560" t="n">
        <v>162303</v>
      </c>
      <c r="O1560" t="n">
        <v>165502</v>
      </c>
      <c r="P1560" t="n">
        <v>663</v>
      </c>
    </row>
    <row r="1561">
      <c r="A1561" t="inlineStr">
        <is>
          <t>OO</t>
        </is>
      </c>
      <c r="B1561" t="n">
        <v>2025</v>
      </c>
      <c r="C1561" t="n">
        <v>3</v>
      </c>
      <c r="D1561" t="n">
        <v>70517</v>
      </c>
      <c r="E1561" t="n">
        <v>1075</v>
      </c>
      <c r="F1561" t="n">
        <v>265</v>
      </c>
      <c r="G1561" t="n">
        <v>69177</v>
      </c>
      <c r="H1561" t="n">
        <v>55444</v>
      </c>
      <c r="I1561" t="n">
        <v>481698</v>
      </c>
      <c r="J1561" t="n">
        <v>1475828.300000011</v>
      </c>
      <c r="K1561" t="n">
        <v>64236</v>
      </c>
      <c r="L1561" t="n">
        <v>213556</v>
      </c>
      <c r="M1561" t="n">
        <v>539058</v>
      </c>
      <c r="N1561" t="n">
        <v>181750</v>
      </c>
      <c r="O1561" t="n">
        <v>158294</v>
      </c>
      <c r="P1561" t="n">
        <v>858</v>
      </c>
    </row>
    <row r="1562">
      <c r="A1562" t="inlineStr">
        <is>
          <t>OO</t>
        </is>
      </c>
      <c r="B1562" t="n">
        <v>2025</v>
      </c>
      <c r="C1562" t="n">
        <v>4</v>
      </c>
      <c r="D1562" t="n">
        <v>69319</v>
      </c>
      <c r="E1562" t="n">
        <v>664</v>
      </c>
      <c r="F1562" t="n">
        <v>204</v>
      </c>
      <c r="G1562" t="n">
        <v>68451</v>
      </c>
      <c r="H1562" t="n">
        <v>56391</v>
      </c>
      <c r="I1562" t="n">
        <v>356693</v>
      </c>
      <c r="J1562" t="n">
        <v>1381684.200000008</v>
      </c>
      <c r="K1562" t="n">
        <v>63899</v>
      </c>
      <c r="L1562" t="n">
        <v>164722</v>
      </c>
      <c r="M1562" t="n">
        <v>436207</v>
      </c>
      <c r="N1562" t="n">
        <v>195305</v>
      </c>
      <c r="O1562" t="n">
        <v>135673</v>
      </c>
      <c r="P1562" t="n">
        <v>2623</v>
      </c>
    </row>
    <row r="1563">
      <c r="A1563" t="inlineStr">
        <is>
          <t>OO</t>
        </is>
      </c>
      <c r="B1563" t="n">
        <v>2025</v>
      </c>
      <c r="C1563" t="n">
        <v>5</v>
      </c>
      <c r="D1563" t="n">
        <v>72962</v>
      </c>
      <c r="E1563" t="n">
        <v>628</v>
      </c>
      <c r="F1563" t="n">
        <v>214</v>
      </c>
      <c r="G1563" t="n">
        <v>72120</v>
      </c>
      <c r="H1563" t="n">
        <v>58639</v>
      </c>
      <c r="I1563" t="n">
        <v>519466</v>
      </c>
      <c r="J1563" t="n">
        <v>1387850.100000008</v>
      </c>
      <c r="K1563" t="n">
        <v>66184</v>
      </c>
      <c r="L1563" t="n">
        <v>192801</v>
      </c>
      <c r="M1563" t="n">
        <v>477415</v>
      </c>
      <c r="N1563" t="n">
        <v>218738</v>
      </c>
      <c r="O1563" t="n">
        <v>166465</v>
      </c>
      <c r="P1563" t="n">
        <v>2275</v>
      </c>
    </row>
    <row r="1564">
      <c r="A1564" t="inlineStr">
        <is>
          <t>OO</t>
        </is>
      </c>
      <c r="B1564" t="n">
        <v>2025</v>
      </c>
      <c r="C1564" t="n">
        <v>6</v>
      </c>
      <c r="D1564" t="n">
        <v>73660</v>
      </c>
      <c r="E1564" t="n">
        <v>589</v>
      </c>
      <c r="F1564" t="n">
        <v>320</v>
      </c>
      <c r="G1564" t="n">
        <v>72751</v>
      </c>
      <c r="H1564" t="n">
        <v>54546</v>
      </c>
      <c r="I1564" t="n">
        <v>1131190</v>
      </c>
      <c r="J1564" t="n">
        <v>1415616.400000001</v>
      </c>
      <c r="K1564" t="n">
        <v>67225</v>
      </c>
      <c r="L1564" t="n">
        <v>348379</v>
      </c>
      <c r="M1564" t="n">
        <v>790247</v>
      </c>
      <c r="N1564" t="n">
        <v>290717</v>
      </c>
      <c r="O1564" t="n">
        <v>175914</v>
      </c>
      <c r="P1564" t="n">
        <v>3229</v>
      </c>
    </row>
    <row r="1565">
      <c r="A1565" t="inlineStr">
        <is>
          <t>OO</t>
        </is>
      </c>
      <c r="B1565" t="n">
        <v>2025</v>
      </c>
      <c r="C1565" t="n">
        <v>7</v>
      </c>
      <c r="D1565" t="n">
        <v>75877</v>
      </c>
      <c r="E1565" t="n">
        <v>1025</v>
      </c>
      <c r="F1565" t="n">
        <v>377</v>
      </c>
      <c r="G1565" t="n">
        <v>74475</v>
      </c>
      <c r="H1565" t="n">
        <v>56111</v>
      </c>
      <c r="I1565" t="n">
        <v>1100681</v>
      </c>
      <c r="J1565" t="n">
        <v>1427019.699999998</v>
      </c>
      <c r="K1565" t="n">
        <v>68729</v>
      </c>
      <c r="L1565" t="n">
        <v>328634</v>
      </c>
      <c r="M1565" t="n">
        <v>725883</v>
      </c>
      <c r="N1565" t="n">
        <v>306333</v>
      </c>
      <c r="O1565" t="n">
        <v>222290</v>
      </c>
      <c r="P1565" t="n">
        <v>2424</v>
      </c>
    </row>
    <row r="1566">
      <c r="A1566" t="inlineStr">
        <is>
          <t>OO</t>
        </is>
      </c>
      <c r="B1566" t="n">
        <v>2025</v>
      </c>
      <c r="C1566" t="n">
        <v>8</v>
      </c>
      <c r="D1566" t="n">
        <v>74150</v>
      </c>
      <c r="E1566" t="n">
        <v>755</v>
      </c>
      <c r="F1566" t="n">
        <v>287</v>
      </c>
      <c r="G1566" t="n">
        <v>73108</v>
      </c>
      <c r="H1566" t="n">
        <v>57890</v>
      </c>
      <c r="I1566" t="n">
        <v>693594</v>
      </c>
      <c r="J1566" t="n">
        <v>1414378.099999993</v>
      </c>
      <c r="K1566" t="n">
        <v>67178</v>
      </c>
      <c r="L1566" t="n">
        <v>259054</v>
      </c>
      <c r="M1566" t="n">
        <v>589077</v>
      </c>
      <c r="N1566" t="n">
        <v>207339</v>
      </c>
      <c r="O1566" t="n">
        <v>175368</v>
      </c>
      <c r="P1566" t="n">
        <v>1395</v>
      </c>
    </row>
    <row r="1567">
      <c r="A1567" t="inlineStr">
        <is>
          <t>OO</t>
        </is>
      </c>
      <c r="B1567" t="n">
        <v>2025</v>
      </c>
      <c r="C1567" t="n">
        <v>9</v>
      </c>
      <c r="D1567" t="n">
        <v>69406</v>
      </c>
      <c r="E1567" t="n">
        <v>272</v>
      </c>
      <c r="F1567" t="n">
        <v>135</v>
      </c>
      <c r="G1567" t="n">
        <v>68999</v>
      </c>
      <c r="H1567" t="n">
        <v>58448</v>
      </c>
      <c r="I1567" t="n">
        <v>99969</v>
      </c>
      <c r="J1567" t="n">
        <v>1381314.800000013</v>
      </c>
      <c r="K1567" t="n">
        <v>63183</v>
      </c>
      <c r="L1567" t="n">
        <v>134860</v>
      </c>
      <c r="M1567" t="n">
        <v>372078</v>
      </c>
      <c r="N1567" t="n">
        <v>131450</v>
      </c>
      <c r="O1567" t="n">
        <v>88572</v>
      </c>
      <c r="P1567" t="n">
        <v>1075</v>
      </c>
    </row>
    <row r="1568">
      <c r="A1568" t="inlineStr">
        <is>
          <t>OO</t>
        </is>
      </c>
      <c r="B1568" t="n">
        <v>2025</v>
      </c>
      <c r="C1568" t="n">
        <v>10</v>
      </c>
      <c r="D1568" t="n">
        <v>71927</v>
      </c>
      <c r="E1568" t="n">
        <v>146</v>
      </c>
      <c r="F1568" t="n">
        <v>150</v>
      </c>
      <c r="G1568" t="n">
        <v>71631</v>
      </c>
      <c r="H1568" t="n">
        <v>59291</v>
      </c>
      <c r="I1568" t="n">
        <v>266257</v>
      </c>
      <c r="J1568" t="n">
        <v>1465595.900000001</v>
      </c>
      <c r="K1568" t="n">
        <v>65781</v>
      </c>
      <c r="L1568" t="n">
        <v>159320</v>
      </c>
      <c r="M1568" t="n">
        <v>501368</v>
      </c>
      <c r="N1568" t="n">
        <v>134444</v>
      </c>
      <c r="O1568" t="n">
        <v>86833</v>
      </c>
      <c r="P1568" t="n">
        <v>863</v>
      </c>
    </row>
    <row r="1569">
      <c r="A1569" t="inlineStr">
        <is>
          <t>OO</t>
        </is>
      </c>
      <c r="B1569" t="n">
        <v>2025</v>
      </c>
      <c r="C1569" t="n">
        <v>11</v>
      </c>
      <c r="D1569" t="n">
        <v>68346</v>
      </c>
      <c r="E1569" t="n">
        <v>2964</v>
      </c>
      <c r="F1569" t="n">
        <v>161</v>
      </c>
      <c r="G1569" t="n">
        <v>65221</v>
      </c>
      <c r="H1569" t="n">
        <v>53498</v>
      </c>
      <c r="I1569" t="n">
        <v>354564</v>
      </c>
      <c r="J1569" t="n">
        <v>1517298.799999999</v>
      </c>
      <c r="K1569" t="n">
        <v>62420</v>
      </c>
      <c r="L1569" t="n">
        <v>152218</v>
      </c>
      <c r="M1569" t="n">
        <v>430790</v>
      </c>
      <c r="N1569" t="n">
        <v>253402</v>
      </c>
      <c r="O1569" t="n">
        <v>148776</v>
      </c>
      <c r="P1569" t="n">
        <v>352</v>
      </c>
    </row>
    <row r="1570">
      <c r="A1570" t="inlineStr">
        <is>
          <t>OO</t>
        </is>
      </c>
      <c r="B1570" t="n">
        <v>2025</v>
      </c>
      <c r="C1570" t="n">
        <v>12</v>
      </c>
      <c r="D1570" t="n">
        <v>68814</v>
      </c>
      <c r="E1570" t="n">
        <v>1327</v>
      </c>
      <c r="F1570" t="n">
        <v>283</v>
      </c>
      <c r="G1570" t="n">
        <v>67204</v>
      </c>
      <c r="H1570" t="n">
        <v>49005</v>
      </c>
      <c r="I1570" t="n">
        <v>1412666</v>
      </c>
      <c r="J1570" t="n">
        <v>1583999.599999996</v>
      </c>
      <c r="K1570" t="n">
        <v>61661</v>
      </c>
      <c r="L1570" t="n">
        <v>441531</v>
      </c>
      <c r="M1570" t="n">
        <v>871661</v>
      </c>
      <c r="N1570" t="n">
        <v>324146</v>
      </c>
      <c r="O1570" t="n">
        <v>333444</v>
      </c>
      <c r="P1570" t="n">
        <v>1082</v>
      </c>
    </row>
    <row r="1571">
      <c r="A1571" t="inlineStr">
        <is>
          <t>OO</t>
        </is>
      </c>
      <c r="B1571" t="n">
        <v>2026</v>
      </c>
      <c r="C1571" t="n">
        <v>1</v>
      </c>
      <c r="D1571" t="n">
        <v>66168</v>
      </c>
      <c r="E1571" t="n">
        <v>2192</v>
      </c>
      <c r="F1571" t="n">
        <v>268</v>
      </c>
      <c r="G1571" t="n">
        <v>63708</v>
      </c>
      <c r="H1571" t="n">
        <v>48996</v>
      </c>
      <c r="I1571" t="n">
        <v>838751</v>
      </c>
      <c r="J1571" t="n">
        <v>1594578.499999991</v>
      </c>
      <c r="K1571" t="n">
        <v>59027</v>
      </c>
      <c r="L1571" t="n">
        <v>280900</v>
      </c>
      <c r="M1571" t="n">
        <v>710690</v>
      </c>
      <c r="N1571" t="n">
        <v>188769</v>
      </c>
      <c r="O1571" t="n">
        <v>293909</v>
      </c>
      <c r="P1571" t="n">
        <v>722</v>
      </c>
    </row>
    <row r="1572">
      <c r="A1572" t="inlineStr">
        <is>
          <t>OO</t>
        </is>
      </c>
      <c r="B1572" t="n">
        <v>2026</v>
      </c>
      <c r="C1572" t="n">
        <v>2</v>
      </c>
      <c r="D1572" t="n">
        <v>62073</v>
      </c>
      <c r="E1572" t="n">
        <v>731</v>
      </c>
      <c r="F1572" t="n">
        <v>198</v>
      </c>
      <c r="G1572" t="n">
        <v>61144</v>
      </c>
      <c r="H1572" t="n">
        <v>47822</v>
      </c>
      <c r="I1572" t="n">
        <v>617691</v>
      </c>
      <c r="J1572" t="n">
        <v>1445191.399999992</v>
      </c>
      <c r="K1572" t="n">
        <v>55603</v>
      </c>
      <c r="L1572" t="n">
        <v>236162</v>
      </c>
      <c r="M1572" t="n">
        <v>662234</v>
      </c>
      <c r="N1572" t="n">
        <v>168357</v>
      </c>
      <c r="O1572" t="n">
        <v>171682</v>
      </c>
      <c r="P1572" t="n">
        <v>3228</v>
      </c>
    </row>
    <row r="1573">
      <c r="A1573" t="inlineStr">
        <is>
          <t>OO</t>
        </is>
      </c>
      <c r="B1573" t="n">
        <v>2026</v>
      </c>
      <c r="C1573" t="n">
        <v>3</v>
      </c>
      <c r="D1573" t="n">
        <v>73390</v>
      </c>
      <c r="E1573" t="n">
        <v>2626</v>
      </c>
      <c r="F1573" t="n">
        <v>217</v>
      </c>
      <c r="G1573" t="n">
        <v>70547</v>
      </c>
      <c r="H1573" t="n">
        <v>54886</v>
      </c>
      <c r="I1573" t="n">
        <v>903512</v>
      </c>
      <c r="J1573" t="n">
        <v>1640033.200000016</v>
      </c>
      <c r="K1573" t="n">
        <v>64751</v>
      </c>
      <c r="L1573" t="n">
        <v>346910</v>
      </c>
      <c r="M1573" t="n">
        <v>782461</v>
      </c>
      <c r="N1573" t="n">
        <v>244410</v>
      </c>
      <c r="O1573" t="n">
        <v>197613</v>
      </c>
      <c r="P1573" t="n">
        <v>661</v>
      </c>
    </row>
    <row r="1574">
      <c r="A1574" t="inlineStr">
        <is>
          <t>OO</t>
        </is>
      </c>
      <c r="B1574" t="n">
        <v>2026</v>
      </c>
      <c r="C1574" t="n">
        <v>4</v>
      </c>
      <c r="D1574" t="n">
        <v>73115</v>
      </c>
      <c r="E1574" t="n">
        <v>1338</v>
      </c>
      <c r="F1574" t="n">
        <v>188</v>
      </c>
      <c r="G1574" t="n">
        <v>71589</v>
      </c>
      <c r="H1574" t="n">
        <v>57137</v>
      </c>
      <c r="I1574" t="n">
        <v>578393</v>
      </c>
      <c r="J1574" t="n">
        <v>1602662.70000001</v>
      </c>
      <c r="K1574" t="n">
        <v>64500</v>
      </c>
      <c r="L1574" t="n">
        <v>308266</v>
      </c>
      <c r="M1574" t="n">
        <v>556889</v>
      </c>
      <c r="N1574" t="n">
        <v>211537</v>
      </c>
      <c r="O1574" t="n">
        <v>150147</v>
      </c>
      <c r="P1574" t="n">
        <v>930</v>
      </c>
    </row>
    <row r="1575">
      <c r="A1575" t="inlineStr">
        <is>
          <t>OO</t>
        </is>
      </c>
      <c r="B1575" t="n">
        <v>2026</v>
      </c>
      <c r="C1575" t="n">
        <v>5</v>
      </c>
      <c r="D1575" t="n">
        <v>75994</v>
      </c>
      <c r="E1575" t="n">
        <v>647</v>
      </c>
      <c r="F1575" t="n">
        <v>203</v>
      </c>
      <c r="G1575" t="n">
        <v>75144</v>
      </c>
      <c r="H1575" t="n">
        <v>60219</v>
      </c>
      <c r="I1575" t="n">
        <v>579807</v>
      </c>
      <c r="J1575" t="n">
        <v>1639367.400000012</v>
      </c>
      <c r="K1575" t="n">
        <v>66764</v>
      </c>
      <c r="L1575" t="n">
        <v>317891</v>
      </c>
      <c r="M1575" t="n">
        <v>535133</v>
      </c>
      <c r="N1575" t="n">
        <v>235319</v>
      </c>
      <c r="O1575" t="n">
        <v>137931</v>
      </c>
      <c r="P1575" t="n">
        <v>760</v>
      </c>
    </row>
    <row r="1576">
      <c r="A1576" t="inlineStr">
        <is>
          <t>OO</t>
        </is>
      </c>
      <c r="B1576" t="n">
        <v>2026</v>
      </c>
      <c r="C1576" t="n">
        <v>6</v>
      </c>
      <c r="D1576" t="n">
        <v>73673</v>
      </c>
      <c r="E1576" t="n">
        <v>1035</v>
      </c>
      <c r="F1576" t="n">
        <v>316</v>
      </c>
      <c r="G1576" t="n">
        <v>72322</v>
      </c>
      <c r="H1576" t="n">
        <v>56132</v>
      </c>
      <c r="I1576" t="n">
        <v>723355</v>
      </c>
      <c r="J1576" t="n">
        <v>1612495.799999992</v>
      </c>
      <c r="K1576" t="n">
        <v>64679</v>
      </c>
      <c r="L1576" t="n">
        <v>333027</v>
      </c>
      <c r="M1576" t="n">
        <v>542453</v>
      </c>
      <c r="N1576" t="n">
        <v>263868</v>
      </c>
      <c r="O1576" t="n">
        <v>181121</v>
      </c>
      <c r="P1576" t="n">
        <v>624</v>
      </c>
    </row>
    <row r="1577">
      <c r="A1577" t="inlineStr">
        <is>
          <t>OO</t>
        </is>
      </c>
      <c r="B1577" t="n">
        <v>2026</v>
      </c>
      <c r="C1577" t="n">
        <v>7</v>
      </c>
      <c r="D1577" t="n">
        <v>77072</v>
      </c>
      <c r="E1577" t="n">
        <v>1193</v>
      </c>
      <c r="F1577" t="n">
        <v>323</v>
      </c>
      <c r="G1577" t="n">
        <v>75556</v>
      </c>
      <c r="H1577" t="n">
        <v>57498</v>
      </c>
      <c r="I1577" t="n">
        <v>951855</v>
      </c>
      <c r="J1577" t="n">
        <v>1657486.599999987</v>
      </c>
      <c r="K1577" t="n">
        <v>67344</v>
      </c>
      <c r="L1577" t="n">
        <v>372465</v>
      </c>
      <c r="M1577" t="n">
        <v>686594</v>
      </c>
      <c r="N1577" t="n">
        <v>294580</v>
      </c>
      <c r="O1577" t="n">
        <v>194204</v>
      </c>
      <c r="P1577" t="n">
        <v>1357</v>
      </c>
    </row>
    <row r="1578">
      <c r="A1578" t="inlineStr">
        <is>
          <t>QX</t>
        </is>
      </c>
      <c r="B1578" t="n">
        <v>2021</v>
      </c>
      <c r="C1578" t="n">
        <v>1</v>
      </c>
      <c r="D1578" t="n">
        <v>8906</v>
      </c>
      <c r="E1578" t="n">
        <v>122</v>
      </c>
      <c r="F1578" t="n">
        <v>19</v>
      </c>
      <c r="G1578" t="n">
        <v>8765</v>
      </c>
      <c r="H1578" t="n">
        <v>8107</v>
      </c>
      <c r="I1578" t="n">
        <v>-46429</v>
      </c>
      <c r="J1578" t="n">
        <v>123123.4999999992</v>
      </c>
      <c r="K1578" t="n">
        <v>8766</v>
      </c>
      <c r="L1578" t="n">
        <v>8857</v>
      </c>
      <c r="M1578" t="n">
        <v>12435</v>
      </c>
      <c r="N1578" t="n">
        <v>5762</v>
      </c>
      <c r="O1578" t="n">
        <v>2033</v>
      </c>
      <c r="P1578" t="n">
        <v>162</v>
      </c>
    </row>
    <row r="1579">
      <c r="A1579" t="inlineStr">
        <is>
          <t>QX</t>
        </is>
      </c>
      <c r="B1579" t="n">
        <v>2021</v>
      </c>
      <c r="C1579" t="n">
        <v>2</v>
      </c>
      <c r="D1579" t="n">
        <v>8336</v>
      </c>
      <c r="E1579" t="n">
        <v>656</v>
      </c>
      <c r="F1579" t="n">
        <v>18</v>
      </c>
      <c r="G1579" t="n">
        <v>7662</v>
      </c>
      <c r="H1579" t="n">
        <v>6339</v>
      </c>
      <c r="I1579" t="n">
        <v>21022</v>
      </c>
      <c r="J1579" t="n">
        <v>108107.9999999999</v>
      </c>
      <c r="K1579" t="n">
        <v>8025</v>
      </c>
      <c r="L1579" t="n">
        <v>20268</v>
      </c>
      <c r="M1579" t="n">
        <v>19102</v>
      </c>
      <c r="N1579" t="n">
        <v>17000</v>
      </c>
      <c r="O1579" t="n">
        <v>8230</v>
      </c>
      <c r="P1579" t="n">
        <v>123</v>
      </c>
    </row>
    <row r="1580">
      <c r="A1580" t="inlineStr">
        <is>
          <t>QX</t>
        </is>
      </c>
      <c r="B1580" t="n">
        <v>2021</v>
      </c>
      <c r="C1580" t="n">
        <v>3</v>
      </c>
      <c r="D1580" t="n">
        <v>9572</v>
      </c>
      <c r="E1580" t="n">
        <v>110</v>
      </c>
      <c r="F1580" t="n">
        <v>22</v>
      </c>
      <c r="G1580" t="n">
        <v>9440</v>
      </c>
      <c r="H1580" t="n">
        <v>8468</v>
      </c>
      <c r="I1580" t="n">
        <v>-17104</v>
      </c>
      <c r="J1580" t="n">
        <v>129092.2999999997</v>
      </c>
      <c r="K1580" t="n">
        <v>9386</v>
      </c>
      <c r="L1580" t="n">
        <v>14962</v>
      </c>
      <c r="M1580" t="n">
        <v>20163</v>
      </c>
      <c r="N1580" t="n">
        <v>7439</v>
      </c>
      <c r="O1580" t="n">
        <v>669</v>
      </c>
      <c r="P1580" t="n">
        <v>103</v>
      </c>
    </row>
    <row r="1581">
      <c r="A1581" t="inlineStr">
        <is>
          <t>QX</t>
        </is>
      </c>
      <c r="B1581" t="n">
        <v>2021</v>
      </c>
      <c r="C1581" t="n">
        <v>4</v>
      </c>
      <c r="D1581" t="n">
        <v>9575</v>
      </c>
      <c r="E1581" t="n">
        <v>100</v>
      </c>
      <c r="F1581" t="n">
        <v>9</v>
      </c>
      <c r="G1581" t="n">
        <v>9466</v>
      </c>
      <c r="H1581" t="n">
        <v>8735</v>
      </c>
      <c r="I1581" t="n">
        <v>-38299</v>
      </c>
      <c r="J1581" t="n">
        <v>136979.4999999993</v>
      </c>
      <c r="K1581" t="n">
        <v>9563</v>
      </c>
      <c r="L1581" t="n">
        <v>9269</v>
      </c>
      <c r="M1581" t="n">
        <v>14307</v>
      </c>
      <c r="N1581" t="n">
        <v>5746</v>
      </c>
      <c r="O1581" t="n">
        <v>243</v>
      </c>
      <c r="P1581" t="n">
        <v>60</v>
      </c>
    </row>
    <row r="1582">
      <c r="A1582" t="inlineStr">
        <is>
          <t>QX</t>
        </is>
      </c>
      <c r="B1582" t="n">
        <v>2021</v>
      </c>
      <c r="C1582" t="n">
        <v>5</v>
      </c>
      <c r="D1582" t="n">
        <v>10137</v>
      </c>
      <c r="E1582" t="n">
        <v>86</v>
      </c>
      <c r="F1582" t="n">
        <v>17</v>
      </c>
      <c r="G1582" t="n">
        <v>10034</v>
      </c>
      <c r="H1582" t="n">
        <v>9103</v>
      </c>
      <c r="I1582" t="n">
        <v>-18972</v>
      </c>
      <c r="J1582" t="n">
        <v>137116.6999999993</v>
      </c>
      <c r="K1582" t="n">
        <v>9844</v>
      </c>
      <c r="L1582" t="n">
        <v>14862</v>
      </c>
      <c r="M1582" t="n">
        <v>22150</v>
      </c>
      <c r="N1582" t="n">
        <v>7299</v>
      </c>
      <c r="O1582" t="n">
        <v>996</v>
      </c>
      <c r="P1582" t="n">
        <v>30</v>
      </c>
    </row>
    <row r="1583">
      <c r="A1583" t="inlineStr">
        <is>
          <t>QX</t>
        </is>
      </c>
      <c r="B1583" t="n">
        <v>2021</v>
      </c>
      <c r="C1583" t="n">
        <v>6</v>
      </c>
      <c r="D1583" t="n">
        <v>10607</v>
      </c>
      <c r="E1583" t="n">
        <v>212</v>
      </c>
      <c r="F1583" t="n">
        <v>12</v>
      </c>
      <c r="G1583" t="n">
        <v>10383</v>
      </c>
      <c r="H1583" t="n">
        <v>8860</v>
      </c>
      <c r="I1583" t="n">
        <v>23380</v>
      </c>
      <c r="J1583" t="n">
        <v>133153.9</v>
      </c>
      <c r="K1583" t="n">
        <v>10365</v>
      </c>
      <c r="L1583" t="n">
        <v>29416</v>
      </c>
      <c r="M1583" t="n">
        <v>28278</v>
      </c>
      <c r="N1583" t="n">
        <v>10177</v>
      </c>
      <c r="O1583" t="n">
        <v>1536</v>
      </c>
      <c r="P1583" t="n">
        <v>44</v>
      </c>
    </row>
    <row r="1584">
      <c r="A1584" t="inlineStr">
        <is>
          <t>QX</t>
        </is>
      </c>
      <c r="B1584" t="n">
        <v>2021</v>
      </c>
      <c r="C1584" t="n">
        <v>7</v>
      </c>
      <c r="D1584" t="n">
        <v>11400</v>
      </c>
      <c r="E1584" t="n">
        <v>125</v>
      </c>
      <c r="F1584" t="n">
        <v>10</v>
      </c>
      <c r="G1584" t="n">
        <v>11265</v>
      </c>
      <c r="H1584" t="n">
        <v>9652</v>
      </c>
      <c r="I1584" t="n">
        <v>19484</v>
      </c>
      <c r="J1584" t="n">
        <v>146317.0000000001</v>
      </c>
      <c r="K1584" t="n">
        <v>11377</v>
      </c>
      <c r="L1584" t="n">
        <v>31316</v>
      </c>
      <c r="M1584" t="n">
        <v>29329</v>
      </c>
      <c r="N1584" t="n">
        <v>10403</v>
      </c>
      <c r="O1584" t="n">
        <v>1114</v>
      </c>
      <c r="P1584" t="n">
        <v>298</v>
      </c>
    </row>
    <row r="1585">
      <c r="A1585" t="inlineStr">
        <is>
          <t>QX</t>
        </is>
      </c>
      <c r="B1585" t="n">
        <v>2021</v>
      </c>
      <c r="C1585" t="n">
        <v>8</v>
      </c>
      <c r="D1585" t="n">
        <v>11127</v>
      </c>
      <c r="E1585" t="n">
        <v>131</v>
      </c>
      <c r="F1585" t="n">
        <v>9</v>
      </c>
      <c r="G1585" t="n">
        <v>10987</v>
      </c>
      <c r="H1585" t="n">
        <v>9212</v>
      </c>
      <c r="I1585" t="n">
        <v>31239</v>
      </c>
      <c r="J1585" t="n">
        <v>142613.5999999999</v>
      </c>
      <c r="K1585" t="n">
        <v>10959</v>
      </c>
      <c r="L1585" t="n">
        <v>36594</v>
      </c>
      <c r="M1585" t="n">
        <v>31844</v>
      </c>
      <c r="N1585" t="n">
        <v>12283</v>
      </c>
      <c r="O1585" t="n">
        <v>1326</v>
      </c>
      <c r="P1585" t="n">
        <v>216</v>
      </c>
    </row>
    <row r="1586">
      <c r="A1586" t="inlineStr">
        <is>
          <t>QX</t>
        </is>
      </c>
      <c r="B1586" t="n">
        <v>2021</v>
      </c>
      <c r="C1586" t="n">
        <v>9</v>
      </c>
      <c r="D1586" t="n">
        <v>9200</v>
      </c>
      <c r="E1586" t="n">
        <v>42</v>
      </c>
      <c r="F1586" t="n">
        <v>11</v>
      </c>
      <c r="G1586" t="n">
        <v>9147</v>
      </c>
      <c r="H1586" t="n">
        <v>8051</v>
      </c>
      <c r="I1586" t="n">
        <v>-5488</v>
      </c>
      <c r="J1586" t="n">
        <v>121871.2999999994</v>
      </c>
      <c r="K1586" t="n">
        <v>8705</v>
      </c>
      <c r="L1586" t="n">
        <v>20917</v>
      </c>
      <c r="M1586" t="n">
        <v>22783</v>
      </c>
      <c r="N1586" t="n">
        <v>8736</v>
      </c>
      <c r="O1586" t="n">
        <v>354</v>
      </c>
      <c r="P1586" t="n">
        <v>196</v>
      </c>
    </row>
    <row r="1587">
      <c r="A1587" t="inlineStr">
        <is>
          <t>QX</t>
        </is>
      </c>
      <c r="B1587" t="n">
        <v>2021</v>
      </c>
      <c r="C1587" t="n">
        <v>10</v>
      </c>
      <c r="D1587" t="n">
        <v>7683</v>
      </c>
      <c r="E1587" t="n">
        <v>30</v>
      </c>
      <c r="F1587" t="n">
        <v>14</v>
      </c>
      <c r="G1587" t="n">
        <v>7639</v>
      </c>
      <c r="H1587" t="n">
        <v>6857</v>
      </c>
      <c r="I1587" t="n">
        <v>-11959</v>
      </c>
      <c r="J1587" t="n">
        <v>104912.0000000003</v>
      </c>
      <c r="K1587" t="n">
        <v>7566</v>
      </c>
      <c r="L1587" t="n">
        <v>13178</v>
      </c>
      <c r="M1587" t="n">
        <v>14357</v>
      </c>
      <c r="N1587" t="n">
        <v>8337</v>
      </c>
      <c r="O1587" t="n">
        <v>702</v>
      </c>
      <c r="P1587" t="n">
        <v>68</v>
      </c>
    </row>
    <row r="1588">
      <c r="A1588" t="inlineStr">
        <is>
          <t>QX</t>
        </is>
      </c>
      <c r="B1588" t="n">
        <v>2021</v>
      </c>
      <c r="C1588" t="n">
        <v>11</v>
      </c>
      <c r="D1588" t="n">
        <v>7687</v>
      </c>
      <c r="E1588" t="n">
        <v>46</v>
      </c>
      <c r="F1588" t="n">
        <v>16</v>
      </c>
      <c r="G1588" t="n">
        <v>7625</v>
      </c>
      <c r="H1588" t="n">
        <v>6724</v>
      </c>
      <c r="I1588" t="n">
        <v>1281</v>
      </c>
      <c r="J1588" t="n">
        <v>109457.0000000001</v>
      </c>
      <c r="K1588" t="n">
        <v>7456</v>
      </c>
      <c r="L1588" t="n">
        <v>18186</v>
      </c>
      <c r="M1588" t="n">
        <v>16561</v>
      </c>
      <c r="N1588" t="n">
        <v>7505</v>
      </c>
      <c r="O1588" t="n">
        <v>1297</v>
      </c>
      <c r="P1588" t="n">
        <v>247</v>
      </c>
    </row>
    <row r="1589">
      <c r="A1589" t="inlineStr">
        <is>
          <t>QX</t>
        </is>
      </c>
      <c r="B1589" t="n">
        <v>2021</v>
      </c>
      <c r="C1589" t="n">
        <v>12</v>
      </c>
      <c r="D1589" t="n">
        <v>7398</v>
      </c>
      <c r="E1589" t="n">
        <v>436</v>
      </c>
      <c r="F1589" t="n">
        <v>15</v>
      </c>
      <c r="G1589" t="n">
        <v>6947</v>
      </c>
      <c r="H1589" t="n">
        <v>5067</v>
      </c>
      <c r="I1589" t="n">
        <v>98139</v>
      </c>
      <c r="J1589" t="n">
        <v>104196.1000000002</v>
      </c>
      <c r="K1589" t="n">
        <v>7042</v>
      </c>
      <c r="L1589" t="n">
        <v>48067</v>
      </c>
      <c r="M1589" t="n">
        <v>37336</v>
      </c>
      <c r="N1589" t="n">
        <v>24934</v>
      </c>
      <c r="O1589" t="n">
        <v>11621</v>
      </c>
      <c r="P1589" t="n">
        <v>372</v>
      </c>
    </row>
    <row r="1590">
      <c r="A1590" t="inlineStr">
        <is>
          <t>QX</t>
        </is>
      </c>
      <c r="B1590" t="n">
        <v>2022</v>
      </c>
      <c r="C1590" t="n">
        <v>1</v>
      </c>
      <c r="D1590" t="n">
        <v>8105</v>
      </c>
      <c r="E1590" t="n">
        <v>426</v>
      </c>
      <c r="F1590" t="n">
        <v>30</v>
      </c>
      <c r="G1590" t="n">
        <v>7649</v>
      </c>
      <c r="H1590" t="n">
        <v>5719</v>
      </c>
      <c r="I1590" t="n">
        <v>83868</v>
      </c>
      <c r="J1590" t="n">
        <v>106840.4000000008</v>
      </c>
      <c r="K1590" t="n">
        <v>8017</v>
      </c>
      <c r="L1590" t="n">
        <v>48135</v>
      </c>
      <c r="M1590" t="n">
        <v>40049</v>
      </c>
      <c r="N1590" t="n">
        <v>16515</v>
      </c>
      <c r="O1590" t="n">
        <v>7463</v>
      </c>
      <c r="P1590" t="n">
        <v>100</v>
      </c>
    </row>
    <row r="1591">
      <c r="A1591" t="inlineStr">
        <is>
          <t>QX</t>
        </is>
      </c>
      <c r="B1591" t="n">
        <v>2022</v>
      </c>
      <c r="C1591" t="n">
        <v>2</v>
      </c>
      <c r="D1591" t="n">
        <v>7026</v>
      </c>
      <c r="E1591" t="n">
        <v>102</v>
      </c>
      <c r="F1591" t="n">
        <v>15</v>
      </c>
      <c r="G1591" t="n">
        <v>6909</v>
      </c>
      <c r="H1591" t="n">
        <v>5926</v>
      </c>
      <c r="I1591" t="n">
        <v>12619</v>
      </c>
      <c r="J1591" t="n">
        <v>92114.40000000068</v>
      </c>
      <c r="K1591" t="n">
        <v>6978</v>
      </c>
      <c r="L1591" t="n">
        <v>18515</v>
      </c>
      <c r="M1591" t="n">
        <v>17796</v>
      </c>
      <c r="N1591" t="n">
        <v>7329</v>
      </c>
      <c r="O1591" t="n">
        <v>2900</v>
      </c>
      <c r="P1591" t="n">
        <v>67</v>
      </c>
    </row>
    <row r="1592">
      <c r="A1592" t="inlineStr">
        <is>
          <t>QX</t>
        </is>
      </c>
      <c r="B1592" t="n">
        <v>2022</v>
      </c>
      <c r="C1592" t="n">
        <v>3</v>
      </c>
      <c r="D1592" t="n">
        <v>7888</v>
      </c>
      <c r="E1592" t="n">
        <v>139</v>
      </c>
      <c r="F1592" t="n">
        <v>12</v>
      </c>
      <c r="G1592" t="n">
        <v>7737</v>
      </c>
      <c r="H1592" t="n">
        <v>6789</v>
      </c>
      <c r="I1592" t="n">
        <v>8616</v>
      </c>
      <c r="J1592" t="n">
        <v>102820.2999999997</v>
      </c>
      <c r="K1592" t="n">
        <v>7790</v>
      </c>
      <c r="L1592" t="n">
        <v>17175</v>
      </c>
      <c r="M1592" t="n">
        <v>20511</v>
      </c>
      <c r="N1592" t="n">
        <v>6850</v>
      </c>
      <c r="O1592" t="n">
        <v>1138</v>
      </c>
      <c r="P1592" t="n">
        <v>243</v>
      </c>
    </row>
    <row r="1593">
      <c r="A1593" t="inlineStr">
        <is>
          <t>QX</t>
        </is>
      </c>
      <c r="B1593" t="n">
        <v>2022</v>
      </c>
      <c r="C1593" t="n">
        <v>4</v>
      </c>
      <c r="D1593" t="n">
        <v>7731</v>
      </c>
      <c r="E1593" t="n">
        <v>160</v>
      </c>
      <c r="F1593" t="n">
        <v>11</v>
      </c>
      <c r="G1593" t="n">
        <v>7560</v>
      </c>
      <c r="H1593" t="n">
        <v>6204</v>
      </c>
      <c r="I1593" t="n">
        <v>42556</v>
      </c>
      <c r="J1593" t="n">
        <v>86749.39999999986</v>
      </c>
      <c r="K1593" t="n">
        <v>7645</v>
      </c>
      <c r="L1593" t="n">
        <v>27844</v>
      </c>
      <c r="M1593" t="n">
        <v>24140</v>
      </c>
      <c r="N1593" t="n">
        <v>12854</v>
      </c>
      <c r="O1593" t="n">
        <v>2043</v>
      </c>
      <c r="P1593" t="n">
        <v>993</v>
      </c>
    </row>
    <row r="1594">
      <c r="A1594" t="inlineStr">
        <is>
          <t>QX</t>
        </is>
      </c>
      <c r="B1594" t="n">
        <v>2022</v>
      </c>
      <c r="C1594" t="n">
        <v>5</v>
      </c>
      <c r="D1594" t="n">
        <v>8278</v>
      </c>
      <c r="E1594" t="n">
        <v>68</v>
      </c>
      <c r="F1594" t="n">
        <v>13</v>
      </c>
      <c r="G1594" t="n">
        <v>8197</v>
      </c>
      <c r="H1594" t="n">
        <v>6905</v>
      </c>
      <c r="I1594" t="n">
        <v>34498</v>
      </c>
      <c r="J1594" t="n">
        <v>89744.19999999963</v>
      </c>
      <c r="K1594" t="n">
        <v>8071</v>
      </c>
      <c r="L1594" t="n">
        <v>27986</v>
      </c>
      <c r="M1594" t="n">
        <v>23840</v>
      </c>
      <c r="N1594" t="n">
        <v>8266</v>
      </c>
      <c r="O1594" t="n">
        <v>618</v>
      </c>
      <c r="P1594" t="n">
        <v>14</v>
      </c>
    </row>
    <row r="1595">
      <c r="A1595" t="inlineStr">
        <is>
          <t>QX</t>
        </is>
      </c>
      <c r="B1595" t="n">
        <v>2022</v>
      </c>
      <c r="C1595" t="n">
        <v>6</v>
      </c>
      <c r="D1595" t="n">
        <v>8776</v>
      </c>
      <c r="E1595" t="n">
        <v>50</v>
      </c>
      <c r="F1595" t="n">
        <v>10</v>
      </c>
      <c r="G1595" t="n">
        <v>8716</v>
      </c>
      <c r="H1595" t="n">
        <v>7106</v>
      </c>
      <c r="I1595" t="n">
        <v>46557</v>
      </c>
      <c r="J1595" t="n">
        <v>94183.09999999977</v>
      </c>
      <c r="K1595" t="n">
        <v>8485</v>
      </c>
      <c r="L1595" t="n">
        <v>33606</v>
      </c>
      <c r="M1595" t="n">
        <v>28380</v>
      </c>
      <c r="N1595" t="n">
        <v>12201</v>
      </c>
      <c r="O1595" t="n">
        <v>596</v>
      </c>
      <c r="P1595" t="n">
        <v>137</v>
      </c>
    </row>
    <row r="1596">
      <c r="A1596" t="inlineStr">
        <is>
          <t>QX</t>
        </is>
      </c>
      <c r="B1596" t="n">
        <v>2022</v>
      </c>
      <c r="C1596" t="n">
        <v>7</v>
      </c>
      <c r="D1596" t="n">
        <v>8516</v>
      </c>
      <c r="E1596" t="n">
        <v>35</v>
      </c>
      <c r="F1596" t="n">
        <v>9</v>
      </c>
      <c r="G1596" t="n">
        <v>8472</v>
      </c>
      <c r="H1596" t="n">
        <v>7423</v>
      </c>
      <c r="I1596" t="n">
        <v>7618</v>
      </c>
      <c r="J1596" t="n">
        <v>97055.30000000013</v>
      </c>
      <c r="K1596" t="n">
        <v>8467</v>
      </c>
      <c r="L1596" t="n">
        <v>20158</v>
      </c>
      <c r="M1596" t="n">
        <v>21398</v>
      </c>
      <c r="N1596" t="n">
        <v>6124</v>
      </c>
      <c r="O1596" t="n">
        <v>1432</v>
      </c>
      <c r="P1596" t="n">
        <v>189</v>
      </c>
    </row>
    <row r="1597">
      <c r="A1597" t="inlineStr">
        <is>
          <t>QX</t>
        </is>
      </c>
      <c r="B1597" t="n">
        <v>2022</v>
      </c>
      <c r="C1597" t="n">
        <v>8</v>
      </c>
      <c r="D1597" t="n">
        <v>8246</v>
      </c>
      <c r="E1597" t="n">
        <v>18</v>
      </c>
      <c r="F1597" t="n">
        <v>4</v>
      </c>
      <c r="G1597" t="n">
        <v>8224</v>
      </c>
      <c r="H1597" t="n">
        <v>7240</v>
      </c>
      <c r="I1597" t="n">
        <v>4287</v>
      </c>
      <c r="J1597" t="n">
        <v>93384.29999999992</v>
      </c>
      <c r="K1597" t="n">
        <v>8207</v>
      </c>
      <c r="L1597" t="n">
        <v>17041</v>
      </c>
      <c r="M1597" t="n">
        <v>17160</v>
      </c>
      <c r="N1597" t="n">
        <v>7956</v>
      </c>
      <c r="O1597" t="n">
        <v>974</v>
      </c>
      <c r="P1597" t="n">
        <v>476</v>
      </c>
    </row>
    <row r="1598">
      <c r="A1598" t="inlineStr">
        <is>
          <t>QX</t>
        </is>
      </c>
      <c r="B1598" t="n">
        <v>2022</v>
      </c>
      <c r="C1598" t="n">
        <v>9</v>
      </c>
      <c r="D1598" t="n">
        <v>7548</v>
      </c>
      <c r="E1598" t="n">
        <v>12</v>
      </c>
      <c r="F1598" t="n">
        <v>11</v>
      </c>
      <c r="G1598" t="n">
        <v>7525</v>
      </c>
      <c r="H1598" t="n">
        <v>6447</v>
      </c>
      <c r="I1598" t="n">
        <v>21585</v>
      </c>
      <c r="J1598" t="n">
        <v>81233.50000000033</v>
      </c>
      <c r="K1598" t="n">
        <v>7346</v>
      </c>
      <c r="L1598" t="n">
        <v>22384</v>
      </c>
      <c r="M1598" t="n">
        <v>18729</v>
      </c>
      <c r="N1598" t="n">
        <v>9461</v>
      </c>
      <c r="O1598" t="n">
        <v>1828</v>
      </c>
      <c r="P1598" t="n">
        <v>381</v>
      </c>
    </row>
    <row r="1599">
      <c r="A1599" t="inlineStr">
        <is>
          <t>QX</t>
        </is>
      </c>
      <c r="B1599" t="n">
        <v>2022</v>
      </c>
      <c r="C1599" t="n">
        <v>10</v>
      </c>
      <c r="D1599" t="n">
        <v>5646</v>
      </c>
      <c r="E1599" t="n">
        <v>16</v>
      </c>
      <c r="F1599" t="n">
        <v>8</v>
      </c>
      <c r="G1599" t="n">
        <v>5622</v>
      </c>
      <c r="H1599" t="n">
        <v>5084</v>
      </c>
      <c r="I1599" t="n">
        <v>-8006</v>
      </c>
      <c r="J1599" t="n">
        <v>63249.4000000002</v>
      </c>
      <c r="K1599" t="n">
        <v>5589</v>
      </c>
      <c r="L1599" t="n">
        <v>7422</v>
      </c>
      <c r="M1599" t="n">
        <v>10525</v>
      </c>
      <c r="N1599" t="n">
        <v>5284</v>
      </c>
      <c r="O1599" t="n">
        <v>984</v>
      </c>
      <c r="P1599" t="n">
        <v>47</v>
      </c>
    </row>
    <row r="1600">
      <c r="A1600" t="inlineStr">
        <is>
          <t>QX</t>
        </is>
      </c>
      <c r="B1600" t="n">
        <v>2022</v>
      </c>
      <c r="C1600" t="n">
        <v>11</v>
      </c>
      <c r="D1600" t="n">
        <v>5478</v>
      </c>
      <c r="E1600" t="n">
        <v>61</v>
      </c>
      <c r="F1600" t="n">
        <v>12</v>
      </c>
      <c r="G1600" t="n">
        <v>5405</v>
      </c>
      <c r="H1600" t="n">
        <v>4352</v>
      </c>
      <c r="I1600" t="n">
        <v>37368</v>
      </c>
      <c r="J1600" t="n">
        <v>64388.30000000013</v>
      </c>
      <c r="K1600" t="n">
        <v>5326</v>
      </c>
      <c r="L1600" t="n">
        <v>22464</v>
      </c>
      <c r="M1600" t="n">
        <v>14196</v>
      </c>
      <c r="N1600" t="n">
        <v>14615</v>
      </c>
      <c r="O1600" t="n">
        <v>5967</v>
      </c>
      <c r="P1600" t="n">
        <v>53</v>
      </c>
    </row>
    <row r="1601">
      <c r="A1601" t="inlineStr">
        <is>
          <t>QX</t>
        </is>
      </c>
      <c r="B1601" t="n">
        <v>2022</v>
      </c>
      <c r="C1601" t="n">
        <v>12</v>
      </c>
      <c r="D1601" t="n">
        <v>5553</v>
      </c>
      <c r="E1601" t="n">
        <v>425</v>
      </c>
      <c r="F1601" t="n">
        <v>23</v>
      </c>
      <c r="G1601" t="n">
        <v>5105</v>
      </c>
      <c r="H1601" t="n">
        <v>3429</v>
      </c>
      <c r="I1601" t="n">
        <v>112774</v>
      </c>
      <c r="J1601" t="n">
        <v>60665.29999999999</v>
      </c>
      <c r="K1601" t="n">
        <v>4985</v>
      </c>
      <c r="L1601" t="n">
        <v>54271</v>
      </c>
      <c r="M1601" t="n">
        <v>28838</v>
      </c>
      <c r="N1601" t="n">
        <v>18995</v>
      </c>
      <c r="O1601" t="n">
        <v>24191</v>
      </c>
      <c r="P1601" t="n">
        <v>100</v>
      </c>
    </row>
    <row r="1602">
      <c r="A1602" t="inlineStr">
        <is>
          <t>UA</t>
        </is>
      </c>
      <c r="B1602" t="n">
        <v>2015</v>
      </c>
      <c r="C1602" t="n">
        <v>1</v>
      </c>
      <c r="D1602" t="n">
        <v>38395</v>
      </c>
      <c r="E1602" t="n">
        <v>967</v>
      </c>
      <c r="F1602" t="n">
        <v>65</v>
      </c>
      <c r="G1602" t="n">
        <v>37363</v>
      </c>
      <c r="H1602" t="n">
        <v>28962</v>
      </c>
      <c r="I1602" t="n">
        <v>237357</v>
      </c>
      <c r="J1602" t="n">
        <v>870221.0000000042</v>
      </c>
      <c r="K1602" t="n">
        <v>38305</v>
      </c>
      <c r="L1602" t="n">
        <v>167279</v>
      </c>
      <c r="M1602" t="n">
        <v>173564</v>
      </c>
      <c r="N1602" t="n">
        <v>114005</v>
      </c>
      <c r="O1602" t="n">
        <v>33093</v>
      </c>
      <c r="P1602" t="n">
        <v>32</v>
      </c>
    </row>
    <row r="1603">
      <c r="A1603" t="inlineStr">
        <is>
          <t>UA</t>
        </is>
      </c>
      <c r="B1603" t="n">
        <v>2015</v>
      </c>
      <c r="C1603" t="n">
        <v>2</v>
      </c>
      <c r="D1603" t="n">
        <v>36235</v>
      </c>
      <c r="E1603" t="n">
        <v>1006</v>
      </c>
      <c r="F1603" t="n">
        <v>57</v>
      </c>
      <c r="G1603" t="n">
        <v>35172</v>
      </c>
      <c r="H1603" t="n">
        <v>26681</v>
      </c>
      <c r="I1603" t="n">
        <v>255372</v>
      </c>
      <c r="J1603" t="n">
        <v>823514.8999999999</v>
      </c>
      <c r="K1603" t="n">
        <v>36140</v>
      </c>
      <c r="L1603" t="n">
        <v>152922</v>
      </c>
      <c r="M1603" t="n">
        <v>163222</v>
      </c>
      <c r="N1603" t="n">
        <v>118593</v>
      </c>
      <c r="O1603" t="n">
        <v>37149</v>
      </c>
      <c r="P1603" t="n">
        <v>0</v>
      </c>
    </row>
    <row r="1604">
      <c r="A1604" t="inlineStr">
        <is>
          <t>UA</t>
        </is>
      </c>
      <c r="B1604" t="n">
        <v>2015</v>
      </c>
      <c r="C1604" t="n">
        <v>3</v>
      </c>
      <c r="D1604" t="n">
        <v>43603</v>
      </c>
      <c r="E1604" t="n">
        <v>641</v>
      </c>
      <c r="F1604" t="n">
        <v>91</v>
      </c>
      <c r="G1604" t="n">
        <v>42871</v>
      </c>
      <c r="H1604" t="n">
        <v>34083</v>
      </c>
      <c r="I1604" t="n">
        <v>209734</v>
      </c>
      <c r="J1604" t="n">
        <v>983371.1999999945</v>
      </c>
      <c r="K1604" t="n">
        <v>43506</v>
      </c>
      <c r="L1604" t="n">
        <v>194410</v>
      </c>
      <c r="M1604" t="n">
        <v>176035</v>
      </c>
      <c r="N1604" t="n">
        <v>124785</v>
      </c>
      <c r="O1604" t="n">
        <v>31272</v>
      </c>
      <c r="P1604" t="n">
        <v>0</v>
      </c>
    </row>
    <row r="1605">
      <c r="A1605" t="inlineStr">
        <is>
          <t>UA</t>
        </is>
      </c>
      <c r="B1605" t="n">
        <v>2015</v>
      </c>
      <c r="C1605" t="n">
        <v>4</v>
      </c>
      <c r="D1605" t="n">
        <v>41342</v>
      </c>
      <c r="E1605" t="n">
        <v>370</v>
      </c>
      <c r="F1605" t="n">
        <v>107</v>
      </c>
      <c r="G1605" t="n">
        <v>40865</v>
      </c>
      <c r="H1605" t="n">
        <v>32819</v>
      </c>
      <c r="I1605" t="n">
        <v>178829</v>
      </c>
      <c r="J1605" t="n">
        <v>919405.5999999966</v>
      </c>
      <c r="K1605" t="n">
        <v>41276</v>
      </c>
      <c r="L1605" t="n">
        <v>196042</v>
      </c>
      <c r="M1605" t="n">
        <v>167650</v>
      </c>
      <c r="N1605" t="n">
        <v>112397</v>
      </c>
      <c r="O1605" t="n">
        <v>17630</v>
      </c>
      <c r="P1605" t="n">
        <v>0</v>
      </c>
    </row>
    <row r="1606">
      <c r="A1606" t="inlineStr">
        <is>
          <t>UA</t>
        </is>
      </c>
      <c r="B1606" t="n">
        <v>2015</v>
      </c>
      <c r="C1606" t="n">
        <v>5</v>
      </c>
      <c r="D1606" t="n">
        <v>44411</v>
      </c>
      <c r="E1606" t="n">
        <v>348</v>
      </c>
      <c r="F1606" t="n">
        <v>199</v>
      </c>
      <c r="G1606" t="n">
        <v>43864</v>
      </c>
      <c r="H1606" t="n">
        <v>34037</v>
      </c>
      <c r="I1606" t="n">
        <v>299490</v>
      </c>
      <c r="J1606" t="n">
        <v>977607.7999999967</v>
      </c>
      <c r="K1606" t="n">
        <v>44327</v>
      </c>
      <c r="L1606" t="n">
        <v>249791</v>
      </c>
      <c r="M1606" t="n">
        <v>176150</v>
      </c>
      <c r="N1606" t="n">
        <v>144926</v>
      </c>
      <c r="O1606" t="n">
        <v>37835</v>
      </c>
      <c r="P1606" t="n">
        <v>362</v>
      </c>
    </row>
    <row r="1607">
      <c r="A1607" t="inlineStr">
        <is>
          <t>UA</t>
        </is>
      </c>
      <c r="B1607" t="n">
        <v>2015</v>
      </c>
      <c r="C1607" t="n">
        <v>6</v>
      </c>
      <c r="D1607" t="n">
        <v>46084</v>
      </c>
      <c r="E1607" t="n">
        <v>1105</v>
      </c>
      <c r="F1607" t="n">
        <v>234</v>
      </c>
      <c r="G1607" t="n">
        <v>44745</v>
      </c>
      <c r="H1607" t="n">
        <v>30576</v>
      </c>
      <c r="I1607" t="n">
        <v>757652</v>
      </c>
      <c r="J1607" t="n">
        <v>984268.200000001</v>
      </c>
      <c r="K1607" t="n">
        <v>46005</v>
      </c>
      <c r="L1607" t="n">
        <v>441425</v>
      </c>
      <c r="M1607" t="n">
        <v>306708</v>
      </c>
      <c r="N1607" t="n">
        <v>197916</v>
      </c>
      <c r="O1607" t="n">
        <v>42807</v>
      </c>
      <c r="P1607" t="n">
        <v>0</v>
      </c>
    </row>
    <row r="1608">
      <c r="A1608" t="inlineStr">
        <is>
          <t>UA</t>
        </is>
      </c>
      <c r="B1608" t="n">
        <v>2015</v>
      </c>
      <c r="C1608" t="n">
        <v>7</v>
      </c>
      <c r="D1608" t="n">
        <v>46478</v>
      </c>
      <c r="E1608" t="n">
        <v>468</v>
      </c>
      <c r="F1608" t="n">
        <v>137</v>
      </c>
      <c r="G1608" t="n">
        <v>45873</v>
      </c>
      <c r="H1608" t="n">
        <v>34180</v>
      </c>
      <c r="I1608" t="n">
        <v>470774</v>
      </c>
      <c r="J1608" t="n">
        <v>1004847.200000001</v>
      </c>
      <c r="K1608" t="n">
        <v>46447</v>
      </c>
      <c r="L1608" t="n">
        <v>352110</v>
      </c>
      <c r="M1608" t="n">
        <v>268091</v>
      </c>
      <c r="N1608" t="n">
        <v>141755</v>
      </c>
      <c r="O1608" t="n">
        <v>24095</v>
      </c>
      <c r="P1608" t="n">
        <v>0</v>
      </c>
    </row>
    <row r="1609">
      <c r="A1609" t="inlineStr">
        <is>
          <t>UA</t>
        </is>
      </c>
      <c r="B1609" t="n">
        <v>2015</v>
      </c>
      <c r="C1609" t="n">
        <v>8</v>
      </c>
      <c r="D1609" t="n">
        <v>45413</v>
      </c>
      <c r="E1609" t="n">
        <v>341</v>
      </c>
      <c r="F1609" t="n">
        <v>131</v>
      </c>
      <c r="G1609" t="n">
        <v>44941</v>
      </c>
      <c r="H1609" t="n">
        <v>35807</v>
      </c>
      <c r="I1609" t="n">
        <v>225336</v>
      </c>
      <c r="J1609" t="n">
        <v>973943.6000000001</v>
      </c>
      <c r="K1609" t="n">
        <v>45350</v>
      </c>
      <c r="L1609" t="n">
        <v>235238</v>
      </c>
      <c r="M1609" t="n">
        <v>185326</v>
      </c>
      <c r="N1609" t="n">
        <v>127334</v>
      </c>
      <c r="O1609" t="n">
        <v>28280</v>
      </c>
      <c r="P1609" t="n">
        <v>714</v>
      </c>
    </row>
    <row r="1610">
      <c r="A1610" t="inlineStr">
        <is>
          <t>UA</t>
        </is>
      </c>
      <c r="B1610" t="n">
        <v>2015</v>
      </c>
      <c r="C1610" t="n">
        <v>9</v>
      </c>
      <c r="D1610" t="n">
        <v>41778</v>
      </c>
      <c r="E1610" t="n">
        <v>106</v>
      </c>
      <c r="F1610" t="n">
        <v>70</v>
      </c>
      <c r="G1610" t="n">
        <v>41602</v>
      </c>
      <c r="H1610" t="n">
        <v>36023</v>
      </c>
      <c r="I1610" t="n">
        <v>-74645</v>
      </c>
      <c r="J1610" t="n">
        <v>920351.5000000071</v>
      </c>
      <c r="K1610" t="n">
        <v>41728</v>
      </c>
      <c r="L1610" t="n">
        <v>126518</v>
      </c>
      <c r="M1610" t="n">
        <v>114873</v>
      </c>
      <c r="N1610" t="n">
        <v>81376</v>
      </c>
      <c r="O1610" t="n">
        <v>10361</v>
      </c>
      <c r="P1610" t="n">
        <v>117</v>
      </c>
    </row>
    <row r="1611">
      <c r="A1611" t="inlineStr">
        <is>
          <t>UA</t>
        </is>
      </c>
      <c r="B1611" t="n">
        <v>2015</v>
      </c>
      <c r="C1611" t="n">
        <v>10</v>
      </c>
      <c r="D1611" t="n">
        <v>45894</v>
      </c>
      <c r="E1611" t="n">
        <v>128</v>
      </c>
      <c r="F1611" t="n">
        <v>90</v>
      </c>
      <c r="G1611" t="n">
        <v>45676</v>
      </c>
      <c r="H1611" t="n">
        <v>40216</v>
      </c>
      <c r="I1611" t="n">
        <v>-112205</v>
      </c>
      <c r="J1611" t="n">
        <v>1043959.900000006</v>
      </c>
      <c r="K1611" t="n">
        <v>45869</v>
      </c>
      <c r="L1611" t="n">
        <v>135264</v>
      </c>
      <c r="M1611" t="n">
        <v>126702</v>
      </c>
      <c r="N1611" t="n">
        <v>75363</v>
      </c>
      <c r="O1611" t="n">
        <v>5643</v>
      </c>
      <c r="P1611" t="n">
        <v>0</v>
      </c>
    </row>
    <row r="1612">
      <c r="A1612" t="inlineStr">
        <is>
          <t>UA</t>
        </is>
      </c>
      <c r="B1612" t="n">
        <v>2015</v>
      </c>
      <c r="C1612" t="n">
        <v>11</v>
      </c>
      <c r="D1612" t="n">
        <v>42647</v>
      </c>
      <c r="E1612" t="n">
        <v>307</v>
      </c>
      <c r="F1612" t="n">
        <v>104</v>
      </c>
      <c r="G1612" t="n">
        <v>42236</v>
      </c>
      <c r="H1612" t="n">
        <v>35796</v>
      </c>
      <c r="I1612" t="n">
        <v>11871</v>
      </c>
      <c r="J1612" t="n">
        <v>1053011.600000006</v>
      </c>
      <c r="K1612" t="n">
        <v>42467</v>
      </c>
      <c r="L1612" t="n">
        <v>182828</v>
      </c>
      <c r="M1612" t="n">
        <v>142992</v>
      </c>
      <c r="N1612" t="n">
        <v>120229</v>
      </c>
      <c r="O1612" t="n">
        <v>22448</v>
      </c>
      <c r="P1612" t="n">
        <v>80</v>
      </c>
    </row>
    <row r="1613">
      <c r="A1613" t="inlineStr">
        <is>
          <t>UA</t>
        </is>
      </c>
      <c r="B1613" t="n">
        <v>2015</v>
      </c>
      <c r="C1613" t="n">
        <v>12</v>
      </c>
      <c r="D1613" t="n">
        <v>43443</v>
      </c>
      <c r="E1613" t="n">
        <v>786</v>
      </c>
      <c r="F1613" t="n">
        <v>103</v>
      </c>
      <c r="G1613" t="n">
        <v>42554</v>
      </c>
      <c r="H1613" t="n">
        <v>33860</v>
      </c>
      <c r="I1613" t="n">
        <v>298392</v>
      </c>
      <c r="J1613" t="n">
        <v>1046874.100000007</v>
      </c>
      <c r="K1613" t="n">
        <v>43174</v>
      </c>
      <c r="L1613" t="n">
        <v>290945</v>
      </c>
      <c r="M1613" t="n">
        <v>213000</v>
      </c>
      <c r="N1613" t="n">
        <v>151693</v>
      </c>
      <c r="O1613" t="n">
        <v>34431</v>
      </c>
      <c r="P1613" t="n">
        <v>0</v>
      </c>
    </row>
    <row r="1614">
      <c r="A1614" t="inlineStr">
        <is>
          <t>UA</t>
        </is>
      </c>
      <c r="B1614" t="n">
        <v>2016</v>
      </c>
      <c r="C1614" t="n">
        <v>1</v>
      </c>
      <c r="D1614" t="n">
        <v>39761</v>
      </c>
      <c r="E1614" t="n">
        <v>1336</v>
      </c>
      <c r="F1614" t="n">
        <v>56</v>
      </c>
      <c r="G1614" t="n">
        <v>38369</v>
      </c>
      <c r="H1614" t="n">
        <v>32798</v>
      </c>
      <c r="I1614" t="n">
        <v>-110849</v>
      </c>
      <c r="J1614" t="n">
        <v>1005445.300000005</v>
      </c>
      <c r="K1614" t="n">
        <v>39576</v>
      </c>
      <c r="L1614" t="n">
        <v>114689</v>
      </c>
      <c r="M1614" t="n">
        <v>123659</v>
      </c>
      <c r="N1614" t="n">
        <v>88045</v>
      </c>
      <c r="O1614" t="n">
        <v>16681</v>
      </c>
      <c r="P1614" t="n">
        <v>46</v>
      </c>
    </row>
    <row r="1615">
      <c r="A1615" t="inlineStr">
        <is>
          <t>UA</t>
        </is>
      </c>
      <c r="B1615" t="n">
        <v>2016</v>
      </c>
      <c r="C1615" t="n">
        <v>2</v>
      </c>
      <c r="D1615" t="n">
        <v>38944</v>
      </c>
      <c r="E1615" t="n">
        <v>348</v>
      </c>
      <c r="F1615" t="n">
        <v>59</v>
      </c>
      <c r="G1615" t="n">
        <v>38537</v>
      </c>
      <c r="H1615" t="n">
        <v>33580</v>
      </c>
      <c r="I1615" t="n">
        <v>-137593</v>
      </c>
      <c r="J1615" t="n">
        <v>981265.3000000048</v>
      </c>
      <c r="K1615" t="n">
        <v>38865</v>
      </c>
      <c r="L1615" t="n">
        <v>134376</v>
      </c>
      <c r="M1615" t="n">
        <v>104276</v>
      </c>
      <c r="N1615" t="n">
        <v>111286</v>
      </c>
      <c r="O1615" t="n">
        <v>23789</v>
      </c>
      <c r="P1615" t="n">
        <v>0</v>
      </c>
    </row>
    <row r="1616">
      <c r="A1616" t="inlineStr">
        <is>
          <t>UA</t>
        </is>
      </c>
      <c r="B1616" t="n">
        <v>2016</v>
      </c>
      <c r="C1616" t="n">
        <v>3</v>
      </c>
      <c r="D1616" t="n">
        <v>44250</v>
      </c>
      <c r="E1616" t="n">
        <v>483</v>
      </c>
      <c r="F1616" t="n">
        <v>77</v>
      </c>
      <c r="G1616" t="n">
        <v>43690</v>
      </c>
      <c r="H1616" t="n">
        <v>35891</v>
      </c>
      <c r="I1616" t="n">
        <v>89767</v>
      </c>
      <c r="J1616" t="n">
        <v>1025353.499999999</v>
      </c>
      <c r="K1616" t="n">
        <v>44023</v>
      </c>
      <c r="L1616" t="n">
        <v>221361</v>
      </c>
      <c r="M1616" t="n">
        <v>159701</v>
      </c>
      <c r="N1616" t="n">
        <v>136767</v>
      </c>
      <c r="O1616" t="n">
        <v>20147</v>
      </c>
      <c r="P1616" t="n">
        <v>38</v>
      </c>
    </row>
    <row r="1617">
      <c r="A1617" t="inlineStr">
        <is>
          <t>UA</t>
        </is>
      </c>
      <c r="B1617" t="n">
        <v>2016</v>
      </c>
      <c r="C1617" t="n">
        <v>4</v>
      </c>
      <c r="D1617" t="n">
        <v>43281</v>
      </c>
      <c r="E1617" t="n">
        <v>650</v>
      </c>
      <c r="F1617" t="n">
        <v>81</v>
      </c>
      <c r="G1617" t="n">
        <v>42550</v>
      </c>
      <c r="H1617" t="n">
        <v>36832</v>
      </c>
      <c r="I1617" t="n">
        <v>-98415</v>
      </c>
      <c r="J1617" t="n">
        <v>998119.4999999988</v>
      </c>
      <c r="K1617" t="n">
        <v>43232</v>
      </c>
      <c r="L1617" t="n">
        <v>160939</v>
      </c>
      <c r="M1617" t="n">
        <v>116888</v>
      </c>
      <c r="N1617" t="n">
        <v>95872</v>
      </c>
      <c r="O1617" t="n">
        <v>13543</v>
      </c>
      <c r="P1617" t="n">
        <v>0</v>
      </c>
    </row>
    <row r="1618">
      <c r="A1618" t="inlineStr">
        <is>
          <t>UA</t>
        </is>
      </c>
      <c r="B1618" t="n">
        <v>2016</v>
      </c>
      <c r="C1618" t="n">
        <v>5</v>
      </c>
      <c r="D1618" t="n">
        <v>45914</v>
      </c>
      <c r="E1618" t="n">
        <v>247</v>
      </c>
      <c r="F1618" t="n">
        <v>172</v>
      </c>
      <c r="G1618" t="n">
        <v>45495</v>
      </c>
      <c r="H1618" t="n">
        <v>38443</v>
      </c>
      <c r="I1618" t="n">
        <v>-6848</v>
      </c>
      <c r="J1618" t="n">
        <v>1055889.299999996</v>
      </c>
      <c r="K1618" t="n">
        <v>45812</v>
      </c>
      <c r="L1618" t="n">
        <v>197833</v>
      </c>
      <c r="M1618" t="n">
        <v>141564</v>
      </c>
      <c r="N1618" t="n">
        <v>119899</v>
      </c>
      <c r="O1618" t="n">
        <v>24531</v>
      </c>
      <c r="P1618" t="n">
        <v>0</v>
      </c>
    </row>
    <row r="1619">
      <c r="A1619" t="inlineStr">
        <is>
          <t>UA</t>
        </is>
      </c>
      <c r="B1619" t="n">
        <v>2016</v>
      </c>
      <c r="C1619" t="n">
        <v>6</v>
      </c>
      <c r="D1619" t="n">
        <v>46424</v>
      </c>
      <c r="E1619" t="n">
        <v>357</v>
      </c>
      <c r="F1619" t="n">
        <v>242</v>
      </c>
      <c r="G1619" t="n">
        <v>45825</v>
      </c>
      <c r="H1619" t="n">
        <v>36772</v>
      </c>
      <c r="I1619" t="n">
        <v>215031</v>
      </c>
      <c r="J1619" t="n">
        <v>1039413.800000002</v>
      </c>
      <c r="K1619" t="n">
        <v>46322</v>
      </c>
      <c r="L1619" t="n">
        <v>265374</v>
      </c>
      <c r="M1619" t="n">
        <v>185203</v>
      </c>
      <c r="N1619" t="n">
        <v>153882</v>
      </c>
      <c r="O1619" t="n">
        <v>37036</v>
      </c>
      <c r="P1619" t="n">
        <v>0</v>
      </c>
    </row>
    <row r="1620">
      <c r="A1620" t="inlineStr">
        <is>
          <t>UA</t>
        </is>
      </c>
      <c r="B1620" t="n">
        <v>2016</v>
      </c>
      <c r="C1620" t="n">
        <v>7</v>
      </c>
      <c r="D1620" t="n">
        <v>48049</v>
      </c>
      <c r="E1620" t="n">
        <v>561</v>
      </c>
      <c r="F1620" t="n">
        <v>230</v>
      </c>
      <c r="G1620" t="n">
        <v>47258</v>
      </c>
      <c r="H1620" t="n">
        <v>36785</v>
      </c>
      <c r="I1620" t="n">
        <v>406446</v>
      </c>
      <c r="J1620" t="n">
        <v>1044153.2</v>
      </c>
      <c r="K1620" t="n">
        <v>47979</v>
      </c>
      <c r="L1620" t="n">
        <v>334788</v>
      </c>
      <c r="M1620" t="n">
        <v>216062</v>
      </c>
      <c r="N1620" t="n">
        <v>202660</v>
      </c>
      <c r="O1620" t="n">
        <v>59741</v>
      </c>
      <c r="P1620" t="n">
        <v>0</v>
      </c>
    </row>
    <row r="1621">
      <c r="A1621" t="inlineStr">
        <is>
          <t>UA</t>
        </is>
      </c>
      <c r="B1621" t="n">
        <v>2016</v>
      </c>
      <c r="C1621" t="n">
        <v>8</v>
      </c>
      <c r="D1621" t="n">
        <v>49758</v>
      </c>
      <c r="E1621" t="n">
        <v>313</v>
      </c>
      <c r="F1621" t="n">
        <v>181</v>
      </c>
      <c r="G1621" t="n">
        <v>49264</v>
      </c>
      <c r="H1621" t="n">
        <v>38571</v>
      </c>
      <c r="I1621" t="n">
        <v>323610</v>
      </c>
      <c r="J1621" t="n">
        <v>1024540.700000002</v>
      </c>
      <c r="K1621" t="n">
        <v>49683</v>
      </c>
      <c r="L1621" t="n">
        <v>304031</v>
      </c>
      <c r="M1621" t="n">
        <v>191407</v>
      </c>
      <c r="N1621" t="n">
        <v>189407</v>
      </c>
      <c r="O1621" t="n">
        <v>32581</v>
      </c>
      <c r="P1621" t="n">
        <v>1717</v>
      </c>
    </row>
    <row r="1622">
      <c r="A1622" t="inlineStr">
        <is>
          <t>UA</t>
        </is>
      </c>
      <c r="B1622" t="n">
        <v>2016</v>
      </c>
      <c r="C1622" t="n">
        <v>9</v>
      </c>
      <c r="D1622" t="n">
        <v>46935</v>
      </c>
      <c r="E1622" t="n">
        <v>175</v>
      </c>
      <c r="F1622" t="n">
        <v>83</v>
      </c>
      <c r="G1622" t="n">
        <v>46677</v>
      </c>
      <c r="H1622" t="n">
        <v>39614</v>
      </c>
      <c r="I1622" t="n">
        <v>13701</v>
      </c>
      <c r="J1622" t="n">
        <v>958271.6000000072</v>
      </c>
      <c r="K1622" t="n">
        <v>46860</v>
      </c>
      <c r="L1622" t="n">
        <v>173630</v>
      </c>
      <c r="M1622" t="n">
        <v>145058</v>
      </c>
      <c r="N1622" t="n">
        <v>121097</v>
      </c>
      <c r="O1622" t="n">
        <v>15524</v>
      </c>
      <c r="P1622" t="n">
        <v>0</v>
      </c>
    </row>
    <row r="1623">
      <c r="A1623" t="inlineStr">
        <is>
          <t>UA</t>
        </is>
      </c>
      <c r="B1623" t="n">
        <v>2016</v>
      </c>
      <c r="C1623" t="n">
        <v>10</v>
      </c>
      <c r="D1623" t="n">
        <v>49951</v>
      </c>
      <c r="E1623" t="n">
        <v>349</v>
      </c>
      <c r="F1623" t="n">
        <v>65</v>
      </c>
      <c r="G1623" t="n">
        <v>49537</v>
      </c>
      <c r="H1623" t="n">
        <v>41638</v>
      </c>
      <c r="I1623" t="n">
        <v>36611</v>
      </c>
      <c r="J1623" t="n">
        <v>1021918.900000008</v>
      </c>
      <c r="K1623" t="n">
        <v>49919</v>
      </c>
      <c r="L1623" t="n">
        <v>199391</v>
      </c>
      <c r="M1623" t="n">
        <v>153199</v>
      </c>
      <c r="N1623" t="n">
        <v>145508</v>
      </c>
      <c r="O1623" t="n">
        <v>4152</v>
      </c>
      <c r="P1623" t="n">
        <v>53</v>
      </c>
    </row>
    <row r="1624">
      <c r="A1624" t="inlineStr">
        <is>
          <t>UA</t>
        </is>
      </c>
      <c r="B1624" t="n">
        <v>2016</v>
      </c>
      <c r="C1624" t="n">
        <v>11</v>
      </c>
      <c r="D1624" t="n">
        <v>46082</v>
      </c>
      <c r="E1624" t="n">
        <v>116</v>
      </c>
      <c r="F1624" t="n">
        <v>64</v>
      </c>
      <c r="G1624" t="n">
        <v>45902</v>
      </c>
      <c r="H1624" t="n">
        <v>39673</v>
      </c>
      <c r="I1624" t="n">
        <v>-143617</v>
      </c>
      <c r="J1624" t="n">
        <v>1055042.500000008</v>
      </c>
      <c r="K1624" t="n">
        <v>45946</v>
      </c>
      <c r="L1624" t="n">
        <v>148179</v>
      </c>
      <c r="M1624" t="n">
        <v>118092</v>
      </c>
      <c r="N1624" t="n">
        <v>110883</v>
      </c>
      <c r="O1624" t="n">
        <v>12354</v>
      </c>
      <c r="P1624" t="n">
        <v>0</v>
      </c>
    </row>
    <row r="1625">
      <c r="A1625" t="inlineStr">
        <is>
          <t>UA</t>
        </is>
      </c>
      <c r="B1625" t="n">
        <v>2016</v>
      </c>
      <c r="C1625" t="n">
        <v>12</v>
      </c>
      <c r="D1625" t="n">
        <v>45718</v>
      </c>
      <c r="E1625" t="n">
        <v>535</v>
      </c>
      <c r="F1625" t="n">
        <v>97</v>
      </c>
      <c r="G1625" t="n">
        <v>45086</v>
      </c>
      <c r="H1625" t="n">
        <v>34752</v>
      </c>
      <c r="I1625" t="n">
        <v>357011</v>
      </c>
      <c r="J1625" t="n">
        <v>1015095.200000009</v>
      </c>
      <c r="K1625" t="n">
        <v>45650</v>
      </c>
      <c r="L1625" t="n">
        <v>277424</v>
      </c>
      <c r="M1625" t="n">
        <v>199703</v>
      </c>
      <c r="N1625" t="n">
        <v>181510</v>
      </c>
      <c r="O1625" t="n">
        <v>51154</v>
      </c>
      <c r="P1625" t="n">
        <v>224</v>
      </c>
    </row>
    <row r="1626">
      <c r="A1626" t="inlineStr">
        <is>
          <t>UA</t>
        </is>
      </c>
      <c r="B1626" t="n">
        <v>2017</v>
      </c>
      <c r="C1626" t="n">
        <v>1</v>
      </c>
      <c r="D1626" t="n">
        <v>42403</v>
      </c>
      <c r="E1626" t="n">
        <v>232</v>
      </c>
      <c r="F1626" t="n">
        <v>115</v>
      </c>
      <c r="G1626" t="n">
        <v>42056</v>
      </c>
      <c r="H1626" t="n">
        <v>33225</v>
      </c>
      <c r="I1626" t="n">
        <v>206578</v>
      </c>
      <c r="J1626" t="n">
        <v>978860.2999999993</v>
      </c>
      <c r="K1626" t="n">
        <v>42373</v>
      </c>
      <c r="L1626" t="n">
        <v>217176</v>
      </c>
      <c r="M1626" t="n">
        <v>189305</v>
      </c>
      <c r="N1626" t="n">
        <v>187095</v>
      </c>
      <c r="O1626" t="n">
        <v>22680</v>
      </c>
      <c r="P1626" t="n">
        <v>148</v>
      </c>
    </row>
    <row r="1627">
      <c r="A1627" t="inlineStr">
        <is>
          <t>UA</t>
        </is>
      </c>
      <c r="B1627" t="n">
        <v>2017</v>
      </c>
      <c r="C1627" t="n">
        <v>2</v>
      </c>
      <c r="D1627" t="n">
        <v>40004</v>
      </c>
      <c r="E1627" t="n">
        <v>370</v>
      </c>
      <c r="F1627" t="n">
        <v>78</v>
      </c>
      <c r="G1627" t="n">
        <v>39556</v>
      </c>
      <c r="H1627" t="n">
        <v>32615</v>
      </c>
      <c r="I1627" t="n">
        <v>55763</v>
      </c>
      <c r="J1627" t="n">
        <v>924343.7000000065</v>
      </c>
      <c r="K1627" t="n">
        <v>39916</v>
      </c>
      <c r="L1627" t="n">
        <v>180273</v>
      </c>
      <c r="M1627" t="n">
        <v>130713</v>
      </c>
      <c r="N1627" t="n">
        <v>161398</v>
      </c>
      <c r="O1627" t="n">
        <v>18207</v>
      </c>
      <c r="P1627" t="n">
        <v>33</v>
      </c>
    </row>
    <row r="1628">
      <c r="A1628" t="inlineStr">
        <is>
          <t>UA</t>
        </is>
      </c>
      <c r="B1628" t="n">
        <v>2017</v>
      </c>
      <c r="C1628" t="n">
        <v>3</v>
      </c>
      <c r="D1628" t="n">
        <v>48497</v>
      </c>
      <c r="E1628" t="n">
        <v>663</v>
      </c>
      <c r="F1628" t="n">
        <v>68</v>
      </c>
      <c r="G1628" t="n">
        <v>47766</v>
      </c>
      <c r="H1628" t="n">
        <v>39262</v>
      </c>
      <c r="I1628" t="n">
        <v>137212</v>
      </c>
      <c r="J1628" t="n">
        <v>1048902.199999994</v>
      </c>
      <c r="K1628" t="n">
        <v>48330</v>
      </c>
      <c r="L1628" t="n">
        <v>217110</v>
      </c>
      <c r="M1628" t="n">
        <v>152120</v>
      </c>
      <c r="N1628" t="n">
        <v>181339</v>
      </c>
      <c r="O1628" t="n">
        <v>11211</v>
      </c>
      <c r="P1628" t="n">
        <v>0</v>
      </c>
    </row>
    <row r="1629">
      <c r="A1629" t="inlineStr">
        <is>
          <t>UA</t>
        </is>
      </c>
      <c r="B1629" t="n">
        <v>2017</v>
      </c>
      <c r="C1629" t="n">
        <v>4</v>
      </c>
      <c r="D1629" t="n">
        <v>45541</v>
      </c>
      <c r="E1629" t="n">
        <v>34</v>
      </c>
      <c r="F1629" t="n">
        <v>84</v>
      </c>
      <c r="G1629" t="n">
        <v>45423</v>
      </c>
      <c r="H1629" t="n">
        <v>37287</v>
      </c>
      <c r="I1629" t="n">
        <v>146852</v>
      </c>
      <c r="J1629" t="n">
        <v>969998.0999999975</v>
      </c>
      <c r="K1629" t="n">
        <v>45503</v>
      </c>
      <c r="L1629" t="n">
        <v>206353</v>
      </c>
      <c r="M1629" t="n">
        <v>124913</v>
      </c>
      <c r="N1629" t="n">
        <v>221799</v>
      </c>
      <c r="O1629" t="n">
        <v>9924</v>
      </c>
      <c r="P1629" t="n">
        <v>0</v>
      </c>
    </row>
    <row r="1630">
      <c r="A1630" t="inlineStr">
        <is>
          <t>UA</t>
        </is>
      </c>
      <c r="B1630" t="n">
        <v>2017</v>
      </c>
      <c r="C1630" t="n">
        <v>5</v>
      </c>
      <c r="D1630" t="n">
        <v>49408</v>
      </c>
      <c r="E1630" t="n">
        <v>69</v>
      </c>
      <c r="F1630" t="n">
        <v>110</v>
      </c>
      <c r="G1630" t="n">
        <v>49229</v>
      </c>
      <c r="H1630" t="n">
        <v>40642</v>
      </c>
      <c r="I1630" t="n">
        <v>131667</v>
      </c>
      <c r="J1630" t="n">
        <v>1041326.999999999</v>
      </c>
      <c r="K1630" t="n">
        <v>49311</v>
      </c>
      <c r="L1630" t="n">
        <v>207859</v>
      </c>
      <c r="M1630" t="n">
        <v>140085</v>
      </c>
      <c r="N1630" t="n">
        <v>234258</v>
      </c>
      <c r="O1630" t="n">
        <v>20395</v>
      </c>
      <c r="P1630" t="n">
        <v>0</v>
      </c>
    </row>
    <row r="1631">
      <c r="A1631" t="inlineStr">
        <is>
          <t>UA</t>
        </is>
      </c>
      <c r="B1631" t="n">
        <v>2017</v>
      </c>
      <c r="C1631" t="n">
        <v>6</v>
      </c>
      <c r="D1631" t="n">
        <v>52015</v>
      </c>
      <c r="E1631" t="n">
        <v>241</v>
      </c>
      <c r="F1631" t="n">
        <v>151</v>
      </c>
      <c r="G1631" t="n">
        <v>51623</v>
      </c>
      <c r="H1631" t="n">
        <v>41292</v>
      </c>
      <c r="I1631" t="n">
        <v>314516</v>
      </c>
      <c r="J1631" t="n">
        <v>1088545.099999997</v>
      </c>
      <c r="K1631" t="n">
        <v>51887</v>
      </c>
      <c r="L1631" t="n">
        <v>302894</v>
      </c>
      <c r="M1631" t="n">
        <v>191316</v>
      </c>
      <c r="N1631" t="n">
        <v>244696</v>
      </c>
      <c r="O1631" t="n">
        <v>30054</v>
      </c>
      <c r="P1631" t="n">
        <v>117</v>
      </c>
    </row>
    <row r="1632">
      <c r="A1632" t="inlineStr">
        <is>
          <t>UA</t>
        </is>
      </c>
      <c r="B1632" t="n">
        <v>2017</v>
      </c>
      <c r="C1632" t="n">
        <v>7</v>
      </c>
      <c r="D1632" t="n">
        <v>53569</v>
      </c>
      <c r="E1632" t="n">
        <v>435</v>
      </c>
      <c r="F1632" t="n">
        <v>228</v>
      </c>
      <c r="G1632" t="n">
        <v>52906</v>
      </c>
      <c r="H1632" t="n">
        <v>42167</v>
      </c>
      <c r="I1632" t="n">
        <v>356075</v>
      </c>
      <c r="J1632" t="n">
        <v>1116842.700000001</v>
      </c>
      <c r="K1632" t="n">
        <v>53537</v>
      </c>
      <c r="L1632" t="n">
        <v>368667</v>
      </c>
      <c r="M1632" t="n">
        <v>196130</v>
      </c>
      <c r="N1632" t="n">
        <v>240875</v>
      </c>
      <c r="O1632" t="n">
        <v>51341</v>
      </c>
      <c r="P1632" t="n">
        <v>0</v>
      </c>
    </row>
    <row r="1633">
      <c r="A1633" t="inlineStr">
        <is>
          <t>UA</t>
        </is>
      </c>
      <c r="B1633" t="n">
        <v>2017</v>
      </c>
      <c r="C1633" t="n">
        <v>8</v>
      </c>
      <c r="D1633" t="n">
        <v>55445</v>
      </c>
      <c r="E1633" t="n">
        <v>2201</v>
      </c>
      <c r="F1633" t="n">
        <v>193</v>
      </c>
      <c r="G1633" t="n">
        <v>53051</v>
      </c>
      <c r="H1633" t="n">
        <v>42958</v>
      </c>
      <c r="I1633" t="n">
        <v>209451</v>
      </c>
      <c r="J1633" t="n">
        <v>1151737.000000002</v>
      </c>
      <c r="K1633" t="n">
        <v>55378</v>
      </c>
      <c r="L1633" t="n">
        <v>275778</v>
      </c>
      <c r="M1633" t="n">
        <v>152343</v>
      </c>
      <c r="N1633" t="n">
        <v>225083</v>
      </c>
      <c r="O1633" t="n">
        <v>50921</v>
      </c>
      <c r="P1633" t="n">
        <v>134</v>
      </c>
    </row>
    <row r="1634">
      <c r="A1634" t="inlineStr">
        <is>
          <t>UA</t>
        </is>
      </c>
      <c r="B1634" t="n">
        <v>2017</v>
      </c>
      <c r="C1634" t="n">
        <v>9</v>
      </c>
      <c r="D1634" t="n">
        <v>48875</v>
      </c>
      <c r="E1634" t="n">
        <v>1456</v>
      </c>
      <c r="F1634" t="n">
        <v>67</v>
      </c>
      <c r="G1634" t="n">
        <v>47352</v>
      </c>
      <c r="H1634" t="n">
        <v>41764</v>
      </c>
      <c r="I1634" t="n">
        <v>-217175</v>
      </c>
      <c r="J1634" t="n">
        <v>1023256.000000005</v>
      </c>
      <c r="K1634" t="n">
        <v>48776</v>
      </c>
      <c r="L1634" t="n">
        <v>112459</v>
      </c>
      <c r="M1634" t="n">
        <v>89683</v>
      </c>
      <c r="N1634" t="n">
        <v>125113</v>
      </c>
      <c r="O1634" t="n">
        <v>8826</v>
      </c>
      <c r="P1634" t="n">
        <v>7</v>
      </c>
    </row>
    <row r="1635">
      <c r="A1635" t="inlineStr">
        <is>
          <t>UA</t>
        </is>
      </c>
      <c r="B1635" t="n">
        <v>2017</v>
      </c>
      <c r="C1635" t="n">
        <v>10</v>
      </c>
      <c r="D1635" t="n">
        <v>51284</v>
      </c>
      <c r="E1635" t="n">
        <v>156</v>
      </c>
      <c r="F1635" t="n">
        <v>85</v>
      </c>
      <c r="G1635" t="n">
        <v>51043</v>
      </c>
      <c r="H1635" t="n">
        <v>44082</v>
      </c>
      <c r="I1635" t="n">
        <v>-68802</v>
      </c>
      <c r="J1635" t="n">
        <v>1081753.700000005</v>
      </c>
      <c r="K1635" t="n">
        <v>51250</v>
      </c>
      <c r="L1635" t="n">
        <v>165076</v>
      </c>
      <c r="M1635" t="n">
        <v>102825</v>
      </c>
      <c r="N1635" t="n">
        <v>183573</v>
      </c>
      <c r="O1635" t="n">
        <v>16738</v>
      </c>
      <c r="P1635" t="n">
        <v>101</v>
      </c>
    </row>
    <row r="1636">
      <c r="A1636" t="inlineStr">
        <is>
          <t>UA</t>
        </is>
      </c>
      <c r="B1636" t="n">
        <v>2017</v>
      </c>
      <c r="C1636" t="n">
        <v>11</v>
      </c>
      <c r="D1636" t="n">
        <v>48354</v>
      </c>
      <c r="E1636" t="n">
        <v>18</v>
      </c>
      <c r="F1636" t="n">
        <v>44</v>
      </c>
      <c r="G1636" t="n">
        <v>48292</v>
      </c>
      <c r="H1636" t="n">
        <v>42827</v>
      </c>
      <c r="I1636" t="n">
        <v>-226794</v>
      </c>
      <c r="J1636" t="n">
        <v>1117198.200000004</v>
      </c>
      <c r="K1636" t="n">
        <v>48145</v>
      </c>
      <c r="L1636" t="n">
        <v>133186</v>
      </c>
      <c r="M1636" t="n">
        <v>89612</v>
      </c>
      <c r="N1636" t="n">
        <v>126180</v>
      </c>
      <c r="O1636" t="n">
        <v>2598</v>
      </c>
      <c r="P1636" t="n">
        <v>0</v>
      </c>
    </row>
    <row r="1637">
      <c r="A1637" t="inlineStr">
        <is>
          <t>UA</t>
        </is>
      </c>
      <c r="B1637" t="n">
        <v>2017</v>
      </c>
      <c r="C1637" t="n">
        <v>12</v>
      </c>
      <c r="D1637" t="n">
        <v>49086</v>
      </c>
      <c r="E1637" t="n">
        <v>84</v>
      </c>
      <c r="F1637" t="n">
        <v>87</v>
      </c>
      <c r="G1637" t="n">
        <v>48915</v>
      </c>
      <c r="H1637" t="n">
        <v>41512</v>
      </c>
      <c r="I1637" t="n">
        <v>-42630</v>
      </c>
      <c r="J1637" t="n">
        <v>1104099.000000001</v>
      </c>
      <c r="K1637" t="n">
        <v>48926</v>
      </c>
      <c r="L1637" t="n">
        <v>158710</v>
      </c>
      <c r="M1637" t="n">
        <v>120433</v>
      </c>
      <c r="N1637" t="n">
        <v>150066</v>
      </c>
      <c r="O1637" t="n">
        <v>30674</v>
      </c>
      <c r="P1637" t="n">
        <v>0</v>
      </c>
    </row>
    <row r="1638">
      <c r="A1638" t="inlineStr">
        <is>
          <t>UA</t>
        </is>
      </c>
      <c r="B1638" t="n">
        <v>2018</v>
      </c>
      <c r="C1638" t="n">
        <v>1</v>
      </c>
      <c r="D1638" t="n">
        <v>45384</v>
      </c>
      <c r="E1638" t="n">
        <v>898</v>
      </c>
      <c r="F1638" t="n">
        <v>81</v>
      </c>
      <c r="G1638" t="n">
        <v>44405</v>
      </c>
      <c r="H1638" t="n">
        <v>38418</v>
      </c>
      <c r="I1638" t="n">
        <v>-105655</v>
      </c>
      <c r="J1638" t="n">
        <v>1043820.900000004</v>
      </c>
      <c r="K1638" t="n">
        <v>45281</v>
      </c>
      <c r="L1638" t="n">
        <v>132831</v>
      </c>
      <c r="M1638" t="n">
        <v>97697</v>
      </c>
      <c r="N1638" t="n">
        <v>120382</v>
      </c>
      <c r="O1638" t="n">
        <v>31978</v>
      </c>
      <c r="P1638" t="n">
        <v>0</v>
      </c>
    </row>
    <row r="1639">
      <c r="A1639" t="inlineStr">
        <is>
          <t>UA</t>
        </is>
      </c>
      <c r="B1639" t="n">
        <v>2018</v>
      </c>
      <c r="C1639" t="n">
        <v>2</v>
      </c>
      <c r="D1639" t="n">
        <v>41650</v>
      </c>
      <c r="E1639" t="n">
        <v>163</v>
      </c>
      <c r="F1639" t="n">
        <v>91</v>
      </c>
      <c r="G1639" t="n">
        <v>41396</v>
      </c>
      <c r="H1639" t="n">
        <v>35270</v>
      </c>
      <c r="I1639" t="n">
        <v>-49472</v>
      </c>
      <c r="J1639" t="n">
        <v>954100.3000000005</v>
      </c>
      <c r="K1639" t="n">
        <v>41573</v>
      </c>
      <c r="L1639" t="n">
        <v>116854</v>
      </c>
      <c r="M1639" t="n">
        <v>84630</v>
      </c>
      <c r="N1639" t="n">
        <v>145335</v>
      </c>
      <c r="O1639" t="n">
        <v>28553</v>
      </c>
      <c r="P1639" t="n">
        <v>247</v>
      </c>
    </row>
    <row r="1640">
      <c r="A1640" t="inlineStr">
        <is>
          <t>UA</t>
        </is>
      </c>
      <c r="B1640" t="n">
        <v>2018</v>
      </c>
      <c r="C1640" t="n">
        <v>3</v>
      </c>
      <c r="D1640" t="n">
        <v>49800</v>
      </c>
      <c r="E1640" t="n">
        <v>1109</v>
      </c>
      <c r="F1640" t="n">
        <v>90</v>
      </c>
      <c r="G1640" t="n">
        <v>48601</v>
      </c>
      <c r="H1640" t="n">
        <v>41798</v>
      </c>
      <c r="I1640" t="n">
        <v>-63520</v>
      </c>
      <c r="J1640" t="n">
        <v>1148288.599999996</v>
      </c>
      <c r="K1640" t="n">
        <v>49744</v>
      </c>
      <c r="L1640" t="n">
        <v>158877</v>
      </c>
      <c r="M1640" t="n">
        <v>113775</v>
      </c>
      <c r="N1640" t="n">
        <v>147731</v>
      </c>
      <c r="O1640" t="n">
        <v>22798</v>
      </c>
      <c r="P1640" t="n">
        <v>0</v>
      </c>
    </row>
    <row r="1641">
      <c r="A1641" t="inlineStr">
        <is>
          <t>UA</t>
        </is>
      </c>
      <c r="B1641" t="n">
        <v>2018</v>
      </c>
      <c r="C1641" t="n">
        <v>4</v>
      </c>
      <c r="D1641" t="n">
        <v>49937</v>
      </c>
      <c r="E1641" t="n">
        <v>94</v>
      </c>
      <c r="F1641" t="n">
        <v>97</v>
      </c>
      <c r="G1641" t="n">
        <v>49746</v>
      </c>
      <c r="H1641" t="n">
        <v>41885</v>
      </c>
      <c r="I1641" t="n">
        <v>91955</v>
      </c>
      <c r="J1641" t="n">
        <v>1008311.299999996</v>
      </c>
      <c r="K1641" t="n">
        <v>49864</v>
      </c>
      <c r="L1641" t="n">
        <v>207076</v>
      </c>
      <c r="M1641" t="n">
        <v>125418</v>
      </c>
      <c r="N1641" t="n">
        <v>174993</v>
      </c>
      <c r="O1641" t="n">
        <v>23286</v>
      </c>
      <c r="P1641" t="n">
        <v>0</v>
      </c>
    </row>
    <row r="1642">
      <c r="A1642" t="inlineStr">
        <is>
          <t>UA</t>
        </is>
      </c>
      <c r="B1642" t="n">
        <v>2018</v>
      </c>
      <c r="C1642" t="n">
        <v>5</v>
      </c>
      <c r="D1642" t="n">
        <v>52816</v>
      </c>
      <c r="E1642" t="n">
        <v>328</v>
      </c>
      <c r="F1642" t="n">
        <v>213</v>
      </c>
      <c r="G1642" t="n">
        <v>52275</v>
      </c>
      <c r="H1642" t="n">
        <v>41647</v>
      </c>
      <c r="I1642" t="n">
        <v>367757</v>
      </c>
      <c r="J1642" t="n">
        <v>1019458.500000001</v>
      </c>
      <c r="K1642" t="n">
        <v>52781</v>
      </c>
      <c r="L1642" t="n">
        <v>295974</v>
      </c>
      <c r="M1642" t="n">
        <v>163170</v>
      </c>
      <c r="N1642" t="n">
        <v>273708</v>
      </c>
      <c r="O1642" t="n">
        <v>49545</v>
      </c>
      <c r="P1642" t="n">
        <v>0</v>
      </c>
    </row>
    <row r="1643">
      <c r="A1643" t="inlineStr">
        <is>
          <t>UA</t>
        </is>
      </c>
      <c r="B1643" t="n">
        <v>2018</v>
      </c>
      <c r="C1643" t="n">
        <v>6</v>
      </c>
      <c r="D1643" t="n">
        <v>55056</v>
      </c>
      <c r="E1643" t="n">
        <v>272</v>
      </c>
      <c r="F1643" t="n">
        <v>205</v>
      </c>
      <c r="G1643" t="n">
        <v>54579</v>
      </c>
      <c r="H1643" t="n">
        <v>41411</v>
      </c>
      <c r="I1643" t="n">
        <v>606335</v>
      </c>
      <c r="J1643" t="n">
        <v>974120.8000000003</v>
      </c>
      <c r="K1643" t="n">
        <v>54991</v>
      </c>
      <c r="L1643" t="n">
        <v>415316</v>
      </c>
      <c r="M1643" t="n">
        <v>208799</v>
      </c>
      <c r="N1643" t="n">
        <v>270975</v>
      </c>
      <c r="O1643" t="n">
        <v>52316</v>
      </c>
      <c r="P1643" t="n">
        <v>25</v>
      </c>
    </row>
    <row r="1644">
      <c r="A1644" t="inlineStr">
        <is>
          <t>UA</t>
        </is>
      </c>
      <c r="B1644" t="n">
        <v>2018</v>
      </c>
      <c r="C1644" t="n">
        <v>7</v>
      </c>
      <c r="D1644" t="n">
        <v>57209</v>
      </c>
      <c r="E1644" t="n">
        <v>394</v>
      </c>
      <c r="F1644" t="n">
        <v>229</v>
      </c>
      <c r="G1644" t="n">
        <v>56586</v>
      </c>
      <c r="H1644" t="n">
        <v>42975</v>
      </c>
      <c r="I1644" t="n">
        <v>683661</v>
      </c>
      <c r="J1644" t="n">
        <v>987329.9999999994</v>
      </c>
      <c r="K1644" t="n">
        <v>57192</v>
      </c>
      <c r="L1644" t="n">
        <v>456643</v>
      </c>
      <c r="M1644" t="n">
        <v>239360</v>
      </c>
      <c r="N1644" t="n">
        <v>275054</v>
      </c>
      <c r="O1644" t="n">
        <v>64350</v>
      </c>
      <c r="P1644" t="n">
        <v>0</v>
      </c>
    </row>
    <row r="1645">
      <c r="A1645" t="inlineStr">
        <is>
          <t>UA</t>
        </is>
      </c>
      <c r="B1645" t="n">
        <v>2018</v>
      </c>
      <c r="C1645" t="n">
        <v>8</v>
      </c>
      <c r="D1645" t="n">
        <v>57921</v>
      </c>
      <c r="E1645" t="n">
        <v>745</v>
      </c>
      <c r="F1645" t="n">
        <v>283</v>
      </c>
      <c r="G1645" t="n">
        <v>56893</v>
      </c>
      <c r="H1645" t="n">
        <v>41018</v>
      </c>
      <c r="I1645" t="n">
        <v>930417</v>
      </c>
      <c r="J1645" t="n">
        <v>976706.1000000004</v>
      </c>
      <c r="K1645" t="n">
        <v>57858</v>
      </c>
      <c r="L1645" t="n">
        <v>517654</v>
      </c>
      <c r="M1645" t="n">
        <v>260988</v>
      </c>
      <c r="N1645" t="n">
        <v>381861</v>
      </c>
      <c r="O1645" t="n">
        <v>85066</v>
      </c>
      <c r="P1645" t="n">
        <v>0</v>
      </c>
    </row>
    <row r="1646">
      <c r="A1646" t="inlineStr">
        <is>
          <t>UA</t>
        </is>
      </c>
      <c r="B1646" t="n">
        <v>2018</v>
      </c>
      <c r="C1646" t="n">
        <v>9</v>
      </c>
      <c r="D1646" t="n">
        <v>52905</v>
      </c>
      <c r="E1646" t="n">
        <v>204</v>
      </c>
      <c r="F1646" t="n">
        <v>120</v>
      </c>
      <c r="G1646" t="n">
        <v>52581</v>
      </c>
      <c r="H1646" t="n">
        <v>43471</v>
      </c>
      <c r="I1646" t="n">
        <v>232306</v>
      </c>
      <c r="J1646" t="n">
        <v>879416.0999999999</v>
      </c>
      <c r="K1646" t="n">
        <v>52826</v>
      </c>
      <c r="L1646" t="n">
        <v>224103</v>
      </c>
      <c r="M1646" t="n">
        <v>147762</v>
      </c>
      <c r="N1646" t="n">
        <v>215435</v>
      </c>
      <c r="O1646" t="n">
        <v>47084</v>
      </c>
      <c r="P1646" t="n">
        <v>32</v>
      </c>
    </row>
    <row r="1647">
      <c r="A1647" t="inlineStr">
        <is>
          <t>UA</t>
        </is>
      </c>
      <c r="B1647" t="n">
        <v>2018</v>
      </c>
      <c r="C1647" t="n">
        <v>10</v>
      </c>
      <c r="D1647" t="n">
        <v>55565</v>
      </c>
      <c r="E1647" t="n">
        <v>64</v>
      </c>
      <c r="F1647" t="n">
        <v>113</v>
      </c>
      <c r="G1647" t="n">
        <v>55388</v>
      </c>
      <c r="H1647" t="n">
        <v>45514</v>
      </c>
      <c r="I1647" t="n">
        <v>188194</v>
      </c>
      <c r="J1647" t="n">
        <v>942107.3999999993</v>
      </c>
      <c r="K1647" t="n">
        <v>55521</v>
      </c>
      <c r="L1647" t="n">
        <v>218922</v>
      </c>
      <c r="M1647" t="n">
        <v>144298</v>
      </c>
      <c r="N1647" t="n">
        <v>195406</v>
      </c>
      <c r="O1647" t="n">
        <v>22633</v>
      </c>
      <c r="P1647" t="n">
        <v>0</v>
      </c>
    </row>
    <row r="1648">
      <c r="A1648" t="inlineStr">
        <is>
          <t>UA</t>
        </is>
      </c>
      <c r="B1648" t="n">
        <v>2018</v>
      </c>
      <c r="C1648" t="n">
        <v>11</v>
      </c>
      <c r="D1648" t="n">
        <v>51792</v>
      </c>
      <c r="E1648" t="n">
        <v>557</v>
      </c>
      <c r="F1648" t="n">
        <v>106</v>
      </c>
      <c r="G1648" t="n">
        <v>51129</v>
      </c>
      <c r="H1648" t="n">
        <v>40316</v>
      </c>
      <c r="I1648" t="n">
        <v>421094</v>
      </c>
      <c r="J1648" t="n">
        <v>956906.1000000066</v>
      </c>
      <c r="K1648" t="n">
        <v>51644</v>
      </c>
      <c r="L1648" t="n">
        <v>274363</v>
      </c>
      <c r="M1648" t="n">
        <v>164081</v>
      </c>
      <c r="N1648" t="n">
        <v>243778</v>
      </c>
      <c r="O1648" t="n">
        <v>49968</v>
      </c>
      <c r="P1648" t="n">
        <v>0</v>
      </c>
    </row>
    <row r="1649">
      <c r="A1649" t="inlineStr">
        <is>
          <t>UA</t>
        </is>
      </c>
      <c r="B1649" t="n">
        <v>2018</v>
      </c>
      <c r="C1649" t="n">
        <v>12</v>
      </c>
      <c r="D1649" t="n">
        <v>51530</v>
      </c>
      <c r="E1649" t="n">
        <v>75</v>
      </c>
      <c r="F1649" t="n">
        <v>119</v>
      </c>
      <c r="G1649" t="n">
        <v>51336</v>
      </c>
      <c r="H1649" t="n">
        <v>41548</v>
      </c>
      <c r="I1649" t="n">
        <v>241836</v>
      </c>
      <c r="J1649" t="n">
        <v>948917.3000000033</v>
      </c>
      <c r="K1649" t="n">
        <v>51483</v>
      </c>
      <c r="L1649" t="n">
        <v>244243</v>
      </c>
      <c r="M1649" t="n">
        <v>156170</v>
      </c>
      <c r="N1649" t="n">
        <v>194728</v>
      </c>
      <c r="O1649" t="n">
        <v>15291</v>
      </c>
      <c r="P1649" t="n">
        <v>0</v>
      </c>
    </row>
    <row r="1650">
      <c r="A1650" t="inlineStr">
        <is>
          <t>UA</t>
        </is>
      </c>
      <c r="B1650" t="n">
        <v>2019</v>
      </c>
      <c r="C1650" t="n">
        <v>1</v>
      </c>
      <c r="D1650" t="n">
        <v>46915</v>
      </c>
      <c r="E1650" t="n">
        <v>697</v>
      </c>
      <c r="F1650" t="n">
        <v>92</v>
      </c>
      <c r="G1650" t="n">
        <v>46126</v>
      </c>
      <c r="H1650" t="n">
        <v>36970</v>
      </c>
      <c r="I1650" t="n">
        <v>302776</v>
      </c>
      <c r="J1650" t="n">
        <v>1033280.200000001</v>
      </c>
      <c r="K1650" t="n">
        <v>46869</v>
      </c>
      <c r="L1650" t="n">
        <v>237279</v>
      </c>
      <c r="M1650" t="n">
        <v>137212</v>
      </c>
      <c r="N1650" t="n">
        <v>295122</v>
      </c>
      <c r="O1650" t="n">
        <v>41221</v>
      </c>
      <c r="P1650" t="n">
        <v>0</v>
      </c>
    </row>
    <row r="1651">
      <c r="A1651" t="inlineStr">
        <is>
          <t>UA</t>
        </is>
      </c>
      <c r="B1651" t="n">
        <v>2019</v>
      </c>
      <c r="C1651" t="n">
        <v>2</v>
      </c>
      <c r="D1651" t="n">
        <v>43722</v>
      </c>
      <c r="E1651" t="n">
        <v>210</v>
      </c>
      <c r="F1651" t="n">
        <v>71</v>
      </c>
      <c r="G1651" t="n">
        <v>43441</v>
      </c>
      <c r="H1651" t="n">
        <v>33661</v>
      </c>
      <c r="I1651" t="n">
        <v>387956</v>
      </c>
      <c r="J1651" t="n">
        <v>920346.5000000013</v>
      </c>
      <c r="K1651" t="n">
        <v>43681</v>
      </c>
      <c r="L1651" t="n">
        <v>252263</v>
      </c>
      <c r="M1651" t="n">
        <v>138334</v>
      </c>
      <c r="N1651" t="n">
        <v>277424</v>
      </c>
      <c r="O1651" t="n">
        <v>48240</v>
      </c>
      <c r="P1651" t="n">
        <v>0</v>
      </c>
    </row>
    <row r="1652">
      <c r="A1652" t="inlineStr">
        <is>
          <t>UA</t>
        </is>
      </c>
      <c r="B1652" t="n">
        <v>2019</v>
      </c>
      <c r="C1652" t="n">
        <v>3</v>
      </c>
      <c r="D1652" t="n">
        <v>53651</v>
      </c>
      <c r="E1652" t="n">
        <v>644</v>
      </c>
      <c r="F1652" t="n">
        <v>95</v>
      </c>
      <c r="G1652" t="n">
        <v>52912</v>
      </c>
      <c r="H1652" t="n">
        <v>42277</v>
      </c>
      <c r="I1652" t="n">
        <v>326375</v>
      </c>
      <c r="J1652" t="n">
        <v>1077733.299999994</v>
      </c>
      <c r="K1652" t="n">
        <v>53551</v>
      </c>
      <c r="L1652" t="n">
        <v>334667</v>
      </c>
      <c r="M1652" t="n">
        <v>175761</v>
      </c>
      <c r="N1652" t="n">
        <v>198890</v>
      </c>
      <c r="O1652" t="n">
        <v>31011</v>
      </c>
      <c r="P1652" t="n">
        <v>546</v>
      </c>
    </row>
    <row r="1653">
      <c r="A1653" t="inlineStr">
        <is>
          <t>UA</t>
        </is>
      </c>
      <c r="B1653" t="n">
        <v>2019</v>
      </c>
      <c r="C1653" t="n">
        <v>4</v>
      </c>
      <c r="D1653" t="n">
        <v>52292</v>
      </c>
      <c r="E1653" t="n">
        <v>529</v>
      </c>
      <c r="F1653" t="n">
        <v>125</v>
      </c>
      <c r="G1653" t="n">
        <v>51638</v>
      </c>
      <c r="H1653" t="n">
        <v>41702</v>
      </c>
      <c r="I1653" t="n">
        <v>343204</v>
      </c>
      <c r="J1653" t="n">
        <v>1055915.299999994</v>
      </c>
      <c r="K1653" t="n">
        <v>52287</v>
      </c>
      <c r="L1653" t="n">
        <v>337621</v>
      </c>
      <c r="M1653" t="n">
        <v>180559</v>
      </c>
      <c r="N1653" t="n">
        <v>209329</v>
      </c>
      <c r="O1653" t="n">
        <v>36730</v>
      </c>
      <c r="P1653" t="n">
        <v>0</v>
      </c>
    </row>
    <row r="1654">
      <c r="A1654" t="inlineStr">
        <is>
          <t>UA</t>
        </is>
      </c>
      <c r="B1654" t="n">
        <v>2019</v>
      </c>
      <c r="C1654" t="n">
        <v>5</v>
      </c>
      <c r="D1654" t="n">
        <v>54360</v>
      </c>
      <c r="E1654" t="n">
        <v>380</v>
      </c>
      <c r="F1654" t="n">
        <v>266</v>
      </c>
      <c r="G1654" t="n">
        <v>53714</v>
      </c>
      <c r="H1654" t="n">
        <v>41015</v>
      </c>
      <c r="I1654" t="n">
        <v>666896</v>
      </c>
      <c r="J1654" t="n">
        <v>1076434.499999996</v>
      </c>
      <c r="K1654" t="n">
        <v>54345</v>
      </c>
      <c r="L1654" t="n">
        <v>432717</v>
      </c>
      <c r="M1654" t="n">
        <v>215472</v>
      </c>
      <c r="N1654" t="n">
        <v>314107</v>
      </c>
      <c r="O1654" t="n">
        <v>93933</v>
      </c>
      <c r="P1654" t="n">
        <v>14</v>
      </c>
    </row>
    <row r="1655">
      <c r="A1655" t="inlineStr">
        <is>
          <t>UA</t>
        </is>
      </c>
      <c r="B1655" t="n">
        <v>2019</v>
      </c>
      <c r="C1655" t="n">
        <v>6</v>
      </c>
      <c r="D1655" t="n">
        <v>54075</v>
      </c>
      <c r="E1655" t="n">
        <v>338</v>
      </c>
      <c r="F1655" t="n">
        <v>283</v>
      </c>
      <c r="G1655" t="n">
        <v>53454</v>
      </c>
      <c r="H1655" t="n">
        <v>37960</v>
      </c>
      <c r="I1655" t="n">
        <v>899674</v>
      </c>
      <c r="J1655" t="n">
        <v>1075709.699999999</v>
      </c>
      <c r="K1655" t="n">
        <v>54012</v>
      </c>
      <c r="L1655" t="n">
        <v>542931</v>
      </c>
      <c r="M1655" t="n">
        <v>248294</v>
      </c>
      <c r="N1655" t="n">
        <v>349370</v>
      </c>
      <c r="O1655" t="n">
        <v>75516</v>
      </c>
      <c r="P1655" t="n">
        <v>1023</v>
      </c>
    </row>
    <row r="1656">
      <c r="A1656" t="inlineStr">
        <is>
          <t>UA</t>
        </is>
      </c>
      <c r="B1656" t="n">
        <v>2019</v>
      </c>
      <c r="C1656" t="n">
        <v>7</v>
      </c>
      <c r="D1656" t="n">
        <v>56106</v>
      </c>
      <c r="E1656" t="n">
        <v>732</v>
      </c>
      <c r="F1656" t="n">
        <v>310</v>
      </c>
      <c r="G1656" t="n">
        <v>55064</v>
      </c>
      <c r="H1656" t="n">
        <v>41308</v>
      </c>
      <c r="I1656" t="n">
        <v>748102</v>
      </c>
      <c r="J1656" t="n">
        <v>1111786.2</v>
      </c>
      <c r="K1656" t="n">
        <v>56081</v>
      </c>
      <c r="L1656" t="n">
        <v>507768</v>
      </c>
      <c r="M1656" t="n">
        <v>239722</v>
      </c>
      <c r="N1656" t="n">
        <v>286053</v>
      </c>
      <c r="O1656" t="n">
        <v>115085</v>
      </c>
      <c r="P1656" t="n">
        <v>0</v>
      </c>
    </row>
    <row r="1657">
      <c r="A1657" t="inlineStr">
        <is>
          <t>UA</t>
        </is>
      </c>
      <c r="B1657" t="n">
        <v>2019</v>
      </c>
      <c r="C1657" t="n">
        <v>8</v>
      </c>
      <c r="D1657" t="n">
        <v>56223</v>
      </c>
      <c r="E1657" t="n">
        <v>517</v>
      </c>
      <c r="F1657" t="n">
        <v>203</v>
      </c>
      <c r="G1657" t="n">
        <v>55503</v>
      </c>
      <c r="H1657" t="n">
        <v>42395</v>
      </c>
      <c r="I1657" t="n">
        <v>644191</v>
      </c>
      <c r="J1657" t="n">
        <v>1115394.099999998</v>
      </c>
      <c r="K1657" t="n">
        <v>56178</v>
      </c>
      <c r="L1657" t="n">
        <v>445638</v>
      </c>
      <c r="M1657" t="n">
        <v>236707</v>
      </c>
      <c r="N1657" t="n">
        <v>290822</v>
      </c>
      <c r="O1657" t="n">
        <v>70150</v>
      </c>
      <c r="P1657" t="n">
        <v>127</v>
      </c>
    </row>
    <row r="1658">
      <c r="A1658" t="inlineStr">
        <is>
          <t>UA</t>
        </is>
      </c>
      <c r="B1658" t="n">
        <v>2019</v>
      </c>
      <c r="C1658" t="n">
        <v>9</v>
      </c>
      <c r="D1658" t="n">
        <v>52021</v>
      </c>
      <c r="E1658" t="n">
        <v>782</v>
      </c>
      <c r="F1658" t="n">
        <v>134</v>
      </c>
      <c r="G1658" t="n">
        <v>51105</v>
      </c>
      <c r="H1658" t="n">
        <v>41695</v>
      </c>
      <c r="I1658" t="n">
        <v>226396</v>
      </c>
      <c r="J1658" t="n">
        <v>1062724.600000002</v>
      </c>
      <c r="K1658" t="n">
        <v>51928</v>
      </c>
      <c r="L1658" t="n">
        <v>273337</v>
      </c>
      <c r="M1658" t="n">
        <v>138224</v>
      </c>
      <c r="N1658" t="n">
        <v>253457</v>
      </c>
      <c r="O1658" t="n">
        <v>31687</v>
      </c>
      <c r="P1658" t="n">
        <v>0</v>
      </c>
    </row>
    <row r="1659">
      <c r="A1659" t="inlineStr">
        <is>
          <t>UA</t>
        </is>
      </c>
      <c r="B1659" t="n">
        <v>2019</v>
      </c>
      <c r="C1659" t="n">
        <v>10</v>
      </c>
      <c r="D1659" t="n">
        <v>55074</v>
      </c>
      <c r="E1659" t="n">
        <v>151</v>
      </c>
      <c r="F1659" t="n">
        <v>91</v>
      </c>
      <c r="G1659" t="n">
        <v>54832</v>
      </c>
      <c r="H1659" t="n">
        <v>45134</v>
      </c>
      <c r="I1659" t="n">
        <v>134660</v>
      </c>
      <c r="J1659" t="n">
        <v>1122644.700000001</v>
      </c>
      <c r="K1659" t="n">
        <v>55004</v>
      </c>
      <c r="L1659" t="n">
        <v>249019</v>
      </c>
      <c r="M1659" t="n">
        <v>134363</v>
      </c>
      <c r="N1659" t="n">
        <v>214209</v>
      </c>
      <c r="O1659" t="n">
        <v>18984</v>
      </c>
      <c r="P1659" t="n">
        <v>36</v>
      </c>
    </row>
    <row r="1660">
      <c r="A1660" t="inlineStr">
        <is>
          <t>UA</t>
        </is>
      </c>
      <c r="B1660" t="n">
        <v>2019</v>
      </c>
      <c r="C1660" t="n">
        <v>11</v>
      </c>
      <c r="D1660" t="n">
        <v>50180</v>
      </c>
      <c r="E1660" t="n">
        <v>265</v>
      </c>
      <c r="F1660" t="n">
        <v>57</v>
      </c>
      <c r="G1660" t="n">
        <v>49858</v>
      </c>
      <c r="H1660" t="n">
        <v>42087</v>
      </c>
      <c r="I1660" t="n">
        <v>87155</v>
      </c>
      <c r="J1660" t="n">
        <v>1044978.800000007</v>
      </c>
      <c r="K1660" t="n">
        <v>50107</v>
      </c>
      <c r="L1660" t="n">
        <v>225991</v>
      </c>
      <c r="M1660" t="n">
        <v>131963</v>
      </c>
      <c r="N1660" t="n">
        <v>159395</v>
      </c>
      <c r="O1660" t="n">
        <v>13827</v>
      </c>
      <c r="P1660" t="n">
        <v>48</v>
      </c>
    </row>
    <row r="1661">
      <c r="A1661" t="inlineStr">
        <is>
          <t>UA</t>
        </is>
      </c>
      <c r="B1661" t="n">
        <v>2019</v>
      </c>
      <c r="C1661" t="n">
        <v>12</v>
      </c>
      <c r="D1661" t="n">
        <v>51291</v>
      </c>
      <c r="E1661" t="n">
        <v>139</v>
      </c>
      <c r="F1661" t="n">
        <v>92</v>
      </c>
      <c r="G1661" t="n">
        <v>51060</v>
      </c>
      <c r="H1661" t="n">
        <v>40367</v>
      </c>
      <c r="I1661" t="n">
        <v>361352</v>
      </c>
      <c r="J1661" t="n">
        <v>1071438.200000002</v>
      </c>
      <c r="K1661" t="n">
        <v>51124</v>
      </c>
      <c r="L1661" t="n">
        <v>306385</v>
      </c>
      <c r="M1661" t="n">
        <v>161066</v>
      </c>
      <c r="N1661" t="n">
        <v>255759</v>
      </c>
      <c r="O1661" t="n">
        <v>27418</v>
      </c>
      <c r="P1661" t="n">
        <v>0</v>
      </c>
    </row>
    <row r="1662">
      <c r="A1662" t="inlineStr">
        <is>
          <t>UA</t>
        </is>
      </c>
      <c r="B1662" t="n">
        <v>2020</v>
      </c>
      <c r="C1662" t="n">
        <v>1</v>
      </c>
      <c r="D1662" t="n">
        <v>48401</v>
      </c>
      <c r="E1662" t="n">
        <v>297</v>
      </c>
      <c r="F1662" t="n">
        <v>85</v>
      </c>
      <c r="G1662" t="n">
        <v>48019</v>
      </c>
      <c r="H1662" t="n">
        <v>41784</v>
      </c>
      <c r="I1662" t="n">
        <v>-134304</v>
      </c>
      <c r="J1662" t="n">
        <v>1155822.699999999</v>
      </c>
      <c r="K1662" t="n">
        <v>48352</v>
      </c>
      <c r="L1662" t="n">
        <v>173045</v>
      </c>
      <c r="M1662" t="n">
        <v>100378</v>
      </c>
      <c r="N1662" t="n">
        <v>116132</v>
      </c>
      <c r="O1662" t="n">
        <v>20853</v>
      </c>
      <c r="P1662" t="n">
        <v>0</v>
      </c>
    </row>
    <row r="1663">
      <c r="A1663" t="inlineStr">
        <is>
          <t>UA</t>
        </is>
      </c>
      <c r="B1663" t="n">
        <v>2020</v>
      </c>
      <c r="C1663" t="n">
        <v>2</v>
      </c>
      <c r="D1663" t="n">
        <v>46244</v>
      </c>
      <c r="E1663" t="n">
        <v>94</v>
      </c>
      <c r="F1663" t="n">
        <v>77</v>
      </c>
      <c r="G1663" t="n">
        <v>46073</v>
      </c>
      <c r="H1663" t="n">
        <v>39590</v>
      </c>
      <c r="I1663" t="n">
        <v>-99523</v>
      </c>
      <c r="J1663" t="n">
        <v>1115704.2</v>
      </c>
      <c r="K1663" t="n">
        <v>46150</v>
      </c>
      <c r="L1663" t="n">
        <v>184750</v>
      </c>
      <c r="M1663" t="n">
        <v>103908</v>
      </c>
      <c r="N1663" t="n">
        <v>135275</v>
      </c>
      <c r="O1663" t="n">
        <v>10274</v>
      </c>
      <c r="P1663" t="n">
        <v>0</v>
      </c>
    </row>
    <row r="1664">
      <c r="A1664" t="inlineStr">
        <is>
          <t>UA</t>
        </is>
      </c>
      <c r="B1664" t="n">
        <v>2020</v>
      </c>
      <c r="C1664" t="n">
        <v>3</v>
      </c>
      <c r="D1664" t="n">
        <v>53803</v>
      </c>
      <c r="E1664" t="n">
        <v>12355</v>
      </c>
      <c r="F1664" t="n">
        <v>46</v>
      </c>
      <c r="G1664" t="n">
        <v>41402</v>
      </c>
      <c r="H1664" t="n">
        <v>37181</v>
      </c>
      <c r="I1664" t="n">
        <v>-290610</v>
      </c>
      <c r="J1664" t="n">
        <v>1215881.9</v>
      </c>
      <c r="K1664" t="n">
        <v>53551</v>
      </c>
      <c r="L1664" t="n">
        <v>101957</v>
      </c>
      <c r="M1664" t="n">
        <v>73522</v>
      </c>
      <c r="N1664" t="n">
        <v>75371</v>
      </c>
      <c r="O1664" t="n">
        <v>5441</v>
      </c>
      <c r="P1664" t="n">
        <v>0</v>
      </c>
    </row>
    <row r="1665">
      <c r="A1665" t="inlineStr">
        <is>
          <t>UA</t>
        </is>
      </c>
      <c r="B1665" t="n">
        <v>2020</v>
      </c>
      <c r="C1665" t="n">
        <v>4</v>
      </c>
      <c r="D1665" t="n">
        <v>17820</v>
      </c>
      <c r="E1665" t="n">
        <v>8862</v>
      </c>
      <c r="F1665" t="n">
        <v>3</v>
      </c>
      <c r="G1665" t="n">
        <v>8955</v>
      </c>
      <c r="H1665" t="n">
        <v>8631</v>
      </c>
      <c r="I1665" t="n">
        <v>-174074</v>
      </c>
      <c r="J1665" t="n">
        <v>390089.0000000008</v>
      </c>
      <c r="K1665" t="n">
        <v>17783</v>
      </c>
      <c r="L1665" t="n">
        <v>3329</v>
      </c>
      <c r="M1665" t="n">
        <v>20401</v>
      </c>
      <c r="N1665" t="n">
        <v>2275</v>
      </c>
      <c r="O1665" t="n">
        <v>935</v>
      </c>
      <c r="P1665" t="n">
        <v>0</v>
      </c>
    </row>
    <row r="1666">
      <c r="A1666" t="inlineStr">
        <is>
          <t>UA</t>
        </is>
      </c>
      <c r="B1666" t="n">
        <v>2020</v>
      </c>
      <c r="C1666" t="n">
        <v>5</v>
      </c>
      <c r="D1666" t="n">
        <v>7166</v>
      </c>
      <c r="E1666" t="n">
        <v>151</v>
      </c>
      <c r="F1666" t="n">
        <v>14</v>
      </c>
      <c r="G1666" t="n">
        <v>7001</v>
      </c>
      <c r="H1666" t="n">
        <v>6709</v>
      </c>
      <c r="I1666" t="n">
        <v>-113753</v>
      </c>
      <c r="J1666" t="n">
        <v>156184.3</v>
      </c>
      <c r="K1666" t="n">
        <v>7164</v>
      </c>
      <c r="L1666" t="n">
        <v>4151</v>
      </c>
      <c r="M1666" t="n">
        <v>12328</v>
      </c>
      <c r="N1666" t="n">
        <v>2530</v>
      </c>
      <c r="O1666" t="n">
        <v>2244</v>
      </c>
      <c r="P1666" t="n">
        <v>0</v>
      </c>
    </row>
    <row r="1667">
      <c r="A1667" t="inlineStr">
        <is>
          <t>UA</t>
        </is>
      </c>
      <c r="B1667" t="n">
        <v>2020</v>
      </c>
      <c r="C1667" t="n">
        <v>6</v>
      </c>
      <c r="D1667" t="n">
        <v>7290</v>
      </c>
      <c r="E1667" t="n">
        <v>5</v>
      </c>
      <c r="F1667" t="n">
        <v>7</v>
      </c>
      <c r="G1667" t="n">
        <v>7278</v>
      </c>
      <c r="H1667" t="n">
        <v>6822</v>
      </c>
      <c r="I1667" t="n">
        <v>-88779</v>
      </c>
      <c r="J1667" t="n">
        <v>145870.1000000001</v>
      </c>
      <c r="K1667" t="n">
        <v>7290</v>
      </c>
      <c r="L1667" t="n">
        <v>4675</v>
      </c>
      <c r="M1667" t="n">
        <v>13098</v>
      </c>
      <c r="N1667" t="n">
        <v>6756</v>
      </c>
      <c r="O1667" t="n">
        <v>5989</v>
      </c>
      <c r="P1667" t="n">
        <v>0</v>
      </c>
    </row>
    <row r="1668">
      <c r="A1668" t="inlineStr">
        <is>
          <t>UA</t>
        </is>
      </c>
      <c r="B1668" t="n">
        <v>2020</v>
      </c>
      <c r="C1668" t="n">
        <v>7</v>
      </c>
      <c r="D1668" t="n">
        <v>14973</v>
      </c>
      <c r="E1668" t="n">
        <v>59</v>
      </c>
      <c r="F1668" t="n">
        <v>41</v>
      </c>
      <c r="G1668" t="n">
        <v>14873</v>
      </c>
      <c r="H1668" t="n">
        <v>13854</v>
      </c>
      <c r="I1668" t="n">
        <v>-171215</v>
      </c>
      <c r="J1668" t="n">
        <v>286072.9000000001</v>
      </c>
      <c r="K1668" t="n">
        <v>14973</v>
      </c>
      <c r="L1668" t="n">
        <v>15324</v>
      </c>
      <c r="M1668" t="n">
        <v>24954</v>
      </c>
      <c r="N1668" t="n">
        <v>15305</v>
      </c>
      <c r="O1668" t="n">
        <v>6770</v>
      </c>
      <c r="P1668" t="n">
        <v>0</v>
      </c>
    </row>
    <row r="1669">
      <c r="A1669" t="inlineStr">
        <is>
          <t>UA</t>
        </is>
      </c>
      <c r="B1669" t="n">
        <v>2020</v>
      </c>
      <c r="C1669" t="n">
        <v>8</v>
      </c>
      <c r="D1669" t="n">
        <v>21628</v>
      </c>
      <c r="E1669" t="n">
        <v>288</v>
      </c>
      <c r="F1669" t="n">
        <v>47</v>
      </c>
      <c r="G1669" t="n">
        <v>21293</v>
      </c>
      <c r="H1669" t="n">
        <v>19872</v>
      </c>
      <c r="I1669" t="n">
        <v>-224096</v>
      </c>
      <c r="J1669" t="n">
        <v>392914.0000000001</v>
      </c>
      <c r="K1669" t="n">
        <v>21620</v>
      </c>
      <c r="L1669" t="n">
        <v>21096</v>
      </c>
      <c r="M1669" t="n">
        <v>36849</v>
      </c>
      <c r="N1669" t="n">
        <v>20625</v>
      </c>
      <c r="O1669" t="n">
        <v>9784</v>
      </c>
      <c r="P1669" t="n">
        <v>72</v>
      </c>
    </row>
    <row r="1670">
      <c r="A1670" t="inlineStr">
        <is>
          <t>UA</t>
        </is>
      </c>
      <c r="B1670" t="n">
        <v>2020</v>
      </c>
      <c r="C1670" t="n">
        <v>9</v>
      </c>
      <c r="D1670" t="n">
        <v>17253</v>
      </c>
      <c r="E1670" t="n">
        <v>53</v>
      </c>
      <c r="F1670" t="n">
        <v>29</v>
      </c>
      <c r="G1670" t="n">
        <v>17171</v>
      </c>
      <c r="H1670" t="n">
        <v>16244</v>
      </c>
      <c r="I1670" t="n">
        <v>-203586</v>
      </c>
      <c r="J1670" t="n">
        <v>346808.1000000004</v>
      </c>
      <c r="K1670" t="n">
        <v>17230</v>
      </c>
      <c r="L1670" t="n">
        <v>13079</v>
      </c>
      <c r="M1670" t="n">
        <v>27511</v>
      </c>
      <c r="N1670" t="n">
        <v>10007</v>
      </c>
      <c r="O1670" t="n">
        <v>6705</v>
      </c>
      <c r="P1670" t="n">
        <v>4</v>
      </c>
    </row>
    <row r="1671">
      <c r="A1671" t="inlineStr">
        <is>
          <t>UA</t>
        </is>
      </c>
      <c r="B1671" t="n">
        <v>2020</v>
      </c>
      <c r="C1671" t="n">
        <v>10</v>
      </c>
      <c r="D1671" t="n">
        <v>23589</v>
      </c>
      <c r="E1671" t="n">
        <v>56</v>
      </c>
      <c r="F1671" t="n">
        <v>34</v>
      </c>
      <c r="G1671" t="n">
        <v>23499</v>
      </c>
      <c r="H1671" t="n">
        <v>21769</v>
      </c>
      <c r="I1671" t="n">
        <v>-205852</v>
      </c>
      <c r="J1671" t="n">
        <v>483012.7999999995</v>
      </c>
      <c r="K1671" t="n">
        <v>23584</v>
      </c>
      <c r="L1671" t="n">
        <v>23022</v>
      </c>
      <c r="M1671" t="n">
        <v>47191</v>
      </c>
      <c r="N1671" t="n">
        <v>20665</v>
      </c>
      <c r="O1671" t="n">
        <v>7213</v>
      </c>
      <c r="P1671" t="n">
        <v>0</v>
      </c>
    </row>
    <row r="1672">
      <c r="A1672" t="inlineStr">
        <is>
          <t>UA</t>
        </is>
      </c>
      <c r="B1672" t="n">
        <v>2020</v>
      </c>
      <c r="C1672" t="n">
        <v>11</v>
      </c>
      <c r="D1672" t="n">
        <v>24158</v>
      </c>
      <c r="E1672" t="n">
        <v>57</v>
      </c>
      <c r="F1672" t="n">
        <v>52</v>
      </c>
      <c r="G1672" t="n">
        <v>24049</v>
      </c>
      <c r="H1672" t="n">
        <v>22334</v>
      </c>
      <c r="I1672" t="n">
        <v>-172888</v>
      </c>
      <c r="J1672" t="n">
        <v>440545.0000000003</v>
      </c>
      <c r="K1672" t="n">
        <v>24076</v>
      </c>
      <c r="L1672" t="n">
        <v>28355</v>
      </c>
      <c r="M1672" t="n">
        <v>42246</v>
      </c>
      <c r="N1672" t="n">
        <v>19639</v>
      </c>
      <c r="O1672" t="n">
        <v>10753</v>
      </c>
      <c r="P1672" t="n">
        <v>0</v>
      </c>
    </row>
    <row r="1673">
      <c r="A1673" t="inlineStr">
        <is>
          <t>UA</t>
        </is>
      </c>
      <c r="B1673" t="n">
        <v>2020</v>
      </c>
      <c r="C1673" t="n">
        <v>12</v>
      </c>
      <c r="D1673" t="n">
        <v>25892</v>
      </c>
      <c r="E1673" t="n">
        <v>316</v>
      </c>
      <c r="F1673" t="n">
        <v>26</v>
      </c>
      <c r="G1673" t="n">
        <v>25550</v>
      </c>
      <c r="H1673" t="n">
        <v>22745</v>
      </c>
      <c r="I1673" t="n">
        <v>-109955</v>
      </c>
      <c r="J1673" t="n">
        <v>477741.7999999982</v>
      </c>
      <c r="K1673" t="n">
        <v>25889</v>
      </c>
      <c r="L1673" t="n">
        <v>46069</v>
      </c>
      <c r="M1673" t="n">
        <v>60624</v>
      </c>
      <c r="N1673" t="n">
        <v>38777</v>
      </c>
      <c r="O1673" t="n">
        <v>7573</v>
      </c>
      <c r="P1673" t="n">
        <v>118</v>
      </c>
    </row>
    <row r="1674">
      <c r="A1674" t="inlineStr">
        <is>
          <t>UA</t>
        </is>
      </c>
      <c r="B1674" t="n">
        <v>2021</v>
      </c>
      <c r="C1674" t="n">
        <v>1</v>
      </c>
      <c r="D1674" t="n">
        <v>23960</v>
      </c>
      <c r="E1674" t="n">
        <v>162</v>
      </c>
      <c r="F1674" t="n">
        <v>36</v>
      </c>
      <c r="G1674" t="n">
        <v>23762</v>
      </c>
      <c r="H1674" t="n">
        <v>21774</v>
      </c>
      <c r="I1674" t="n">
        <v>-164610</v>
      </c>
      <c r="J1674" t="n">
        <v>470434.1999999994</v>
      </c>
      <c r="K1674" t="n">
        <v>23948</v>
      </c>
      <c r="L1674" t="n">
        <v>34165</v>
      </c>
      <c r="M1674" t="n">
        <v>40591</v>
      </c>
      <c r="N1674" t="n">
        <v>42527</v>
      </c>
      <c r="O1674" t="n">
        <v>10322</v>
      </c>
      <c r="P1674" t="n">
        <v>0</v>
      </c>
    </row>
    <row r="1675">
      <c r="A1675" t="inlineStr">
        <is>
          <t>UA</t>
        </is>
      </c>
      <c r="B1675" t="n">
        <v>2021</v>
      </c>
      <c r="C1675" t="n">
        <v>2</v>
      </c>
      <c r="D1675" t="n">
        <v>22280</v>
      </c>
      <c r="E1675" t="n">
        <v>1093</v>
      </c>
      <c r="F1675" t="n">
        <v>23</v>
      </c>
      <c r="G1675" t="n">
        <v>21164</v>
      </c>
      <c r="H1675" t="n">
        <v>18118</v>
      </c>
      <c r="I1675" t="n">
        <v>-23181</v>
      </c>
      <c r="J1675" t="n">
        <v>444400.9999999992</v>
      </c>
      <c r="K1675" t="n">
        <v>22233</v>
      </c>
      <c r="L1675" t="n">
        <v>45615</v>
      </c>
      <c r="M1675" t="n">
        <v>53648</v>
      </c>
      <c r="N1675" t="n">
        <v>48462</v>
      </c>
      <c r="O1675" t="n">
        <v>35939</v>
      </c>
      <c r="P1675" t="n">
        <v>0</v>
      </c>
    </row>
    <row r="1676">
      <c r="A1676" t="inlineStr">
        <is>
          <t>UA</t>
        </is>
      </c>
      <c r="B1676" t="n">
        <v>2021</v>
      </c>
      <c r="C1676" t="n">
        <v>3</v>
      </c>
      <c r="D1676" t="n">
        <v>28946</v>
      </c>
      <c r="E1676" t="n">
        <v>728</v>
      </c>
      <c r="F1676" t="n">
        <v>24</v>
      </c>
      <c r="G1676" t="n">
        <v>28194</v>
      </c>
      <c r="H1676" t="n">
        <v>25593</v>
      </c>
      <c r="I1676" t="n">
        <v>-155313</v>
      </c>
      <c r="J1676" t="n">
        <v>576519.5000000033</v>
      </c>
      <c r="K1676" t="n">
        <v>28928</v>
      </c>
      <c r="L1676" t="n">
        <v>37473</v>
      </c>
      <c r="M1676" t="n">
        <v>50469</v>
      </c>
      <c r="N1676" t="n">
        <v>35544</v>
      </c>
      <c r="O1676" t="n">
        <v>8656</v>
      </c>
      <c r="P1676" t="n">
        <v>0</v>
      </c>
    </row>
    <row r="1677">
      <c r="A1677" t="inlineStr">
        <is>
          <t>UA</t>
        </is>
      </c>
      <c r="B1677" t="n">
        <v>2021</v>
      </c>
      <c r="C1677" t="n">
        <v>4</v>
      </c>
      <c r="D1677" t="n">
        <v>27787</v>
      </c>
      <c r="E1677" t="n">
        <v>47</v>
      </c>
      <c r="F1677" t="n">
        <v>39</v>
      </c>
      <c r="G1677" t="n">
        <v>27701</v>
      </c>
      <c r="H1677" t="n">
        <v>24989</v>
      </c>
      <c r="I1677" t="n">
        <v>-95629</v>
      </c>
      <c r="J1677" t="n">
        <v>521182.800000001</v>
      </c>
      <c r="K1677" t="n">
        <v>27745</v>
      </c>
      <c r="L1677" t="n">
        <v>53523</v>
      </c>
      <c r="M1677" t="n">
        <v>51013</v>
      </c>
      <c r="N1677" t="n">
        <v>50908</v>
      </c>
      <c r="O1677" t="n">
        <v>14383</v>
      </c>
      <c r="P1677" t="n">
        <v>49</v>
      </c>
    </row>
    <row r="1678">
      <c r="A1678" t="inlineStr">
        <is>
          <t>UA</t>
        </is>
      </c>
      <c r="B1678" t="n">
        <v>2021</v>
      </c>
      <c r="C1678" t="n">
        <v>5</v>
      </c>
      <c r="D1678" t="n">
        <v>30957</v>
      </c>
      <c r="E1678" t="n">
        <v>64</v>
      </c>
      <c r="F1678" t="n">
        <v>91</v>
      </c>
      <c r="G1678" t="n">
        <v>30802</v>
      </c>
      <c r="H1678" t="n">
        <v>27080</v>
      </c>
      <c r="I1678" t="n">
        <v>-31767</v>
      </c>
      <c r="J1678" t="n">
        <v>573896.3000000034</v>
      </c>
      <c r="K1678" t="n">
        <v>30899</v>
      </c>
      <c r="L1678" t="n">
        <v>81442</v>
      </c>
      <c r="M1678" t="n">
        <v>78370</v>
      </c>
      <c r="N1678" t="n">
        <v>57853</v>
      </c>
      <c r="O1678" t="n">
        <v>31055</v>
      </c>
      <c r="P1678" t="n">
        <v>0</v>
      </c>
    </row>
    <row r="1679">
      <c r="A1679" t="inlineStr">
        <is>
          <t>UA</t>
        </is>
      </c>
      <c r="B1679" t="n">
        <v>2021</v>
      </c>
      <c r="C1679" t="n">
        <v>6</v>
      </c>
      <c r="D1679" t="n">
        <v>35760</v>
      </c>
      <c r="E1679" t="n">
        <v>66</v>
      </c>
      <c r="F1679" t="n">
        <v>150</v>
      </c>
      <c r="G1679" t="n">
        <v>35544</v>
      </c>
      <c r="H1679" t="n">
        <v>27010</v>
      </c>
      <c r="I1679" t="n">
        <v>391776</v>
      </c>
      <c r="J1679" t="n">
        <v>540321.5000000013</v>
      </c>
      <c r="K1679" t="n">
        <v>35630</v>
      </c>
      <c r="L1679" t="n">
        <v>199200</v>
      </c>
      <c r="M1679" t="n">
        <v>143683</v>
      </c>
      <c r="N1679" t="n">
        <v>153664</v>
      </c>
      <c r="O1679" t="n">
        <v>66922</v>
      </c>
      <c r="P1679" t="n">
        <v>112</v>
      </c>
    </row>
    <row r="1680">
      <c r="A1680" t="inlineStr">
        <is>
          <t>UA</t>
        </is>
      </c>
      <c r="B1680" t="n">
        <v>2021</v>
      </c>
      <c r="C1680" t="n">
        <v>7</v>
      </c>
      <c r="D1680" t="n">
        <v>43445</v>
      </c>
      <c r="E1680" t="n">
        <v>586</v>
      </c>
      <c r="F1680" t="n">
        <v>189</v>
      </c>
      <c r="G1680" t="n">
        <v>42670</v>
      </c>
      <c r="H1680" t="n">
        <v>30541</v>
      </c>
      <c r="I1680" t="n">
        <v>681158</v>
      </c>
      <c r="J1680" t="n">
        <v>628255.0000000027</v>
      </c>
      <c r="K1680" t="n">
        <v>43421</v>
      </c>
      <c r="L1680" t="n">
        <v>344274</v>
      </c>
      <c r="M1680" t="n">
        <v>228895</v>
      </c>
      <c r="N1680" t="n">
        <v>199608</v>
      </c>
      <c r="O1680" t="n">
        <v>72738</v>
      </c>
      <c r="P1680" t="n">
        <v>1285</v>
      </c>
    </row>
    <row r="1681">
      <c r="A1681" t="inlineStr">
        <is>
          <t>UA</t>
        </is>
      </c>
      <c r="B1681" t="n">
        <v>2021</v>
      </c>
      <c r="C1681" t="n">
        <v>8</v>
      </c>
      <c r="D1681" t="n">
        <v>44765</v>
      </c>
      <c r="E1681" t="n">
        <v>628</v>
      </c>
      <c r="F1681" t="n">
        <v>159</v>
      </c>
      <c r="G1681" t="n">
        <v>43978</v>
      </c>
      <c r="H1681" t="n">
        <v>32843</v>
      </c>
      <c r="I1681" t="n">
        <v>542400</v>
      </c>
      <c r="J1681" t="n">
        <v>684104.9000000035</v>
      </c>
      <c r="K1681" t="n">
        <v>44708</v>
      </c>
      <c r="L1681" t="n">
        <v>292047</v>
      </c>
      <c r="M1681" t="n">
        <v>209243</v>
      </c>
      <c r="N1681" t="n">
        <v>177999</v>
      </c>
      <c r="O1681" t="n">
        <v>66251</v>
      </c>
      <c r="P1681" t="n">
        <v>0</v>
      </c>
    </row>
    <row r="1682">
      <c r="A1682" t="inlineStr">
        <is>
          <t>UA</t>
        </is>
      </c>
      <c r="B1682" t="n">
        <v>2021</v>
      </c>
      <c r="C1682" t="n">
        <v>9</v>
      </c>
      <c r="D1682" t="n">
        <v>44427</v>
      </c>
      <c r="E1682" t="n">
        <v>633</v>
      </c>
      <c r="F1682" t="n">
        <v>109</v>
      </c>
      <c r="G1682" t="n">
        <v>43685</v>
      </c>
      <c r="H1682" t="n">
        <v>37604</v>
      </c>
      <c r="I1682" t="n">
        <v>-9702</v>
      </c>
      <c r="J1682" t="n">
        <v>890026.6000000003</v>
      </c>
      <c r="K1682" t="n">
        <v>44135</v>
      </c>
      <c r="L1682" t="n">
        <v>154703</v>
      </c>
      <c r="M1682" t="n">
        <v>132511</v>
      </c>
      <c r="N1682" t="n">
        <v>95363</v>
      </c>
      <c r="O1682" t="n">
        <v>23852</v>
      </c>
      <c r="P1682" t="n">
        <v>42</v>
      </c>
    </row>
    <row r="1683">
      <c r="A1683" t="inlineStr">
        <is>
          <t>UA</t>
        </is>
      </c>
      <c r="B1683" t="n">
        <v>2021</v>
      </c>
      <c r="C1683" t="n">
        <v>10</v>
      </c>
      <c r="D1683" t="n">
        <v>47757</v>
      </c>
      <c r="E1683" t="n">
        <v>254</v>
      </c>
      <c r="F1683" t="n">
        <v>84</v>
      </c>
      <c r="G1683" t="n">
        <v>47419</v>
      </c>
      <c r="H1683" t="n">
        <v>40503</v>
      </c>
      <c r="I1683" t="n">
        <v>16545</v>
      </c>
      <c r="J1683" t="n">
        <v>1023255.100000003</v>
      </c>
      <c r="K1683" t="n">
        <v>47596</v>
      </c>
      <c r="L1683" t="n">
        <v>180552</v>
      </c>
      <c r="M1683" t="n">
        <v>152886</v>
      </c>
      <c r="N1683" t="n">
        <v>98412</v>
      </c>
      <c r="O1683" t="n">
        <v>15949</v>
      </c>
      <c r="P1683" t="n">
        <v>0</v>
      </c>
    </row>
    <row r="1684">
      <c r="A1684" t="inlineStr">
        <is>
          <t>UA</t>
        </is>
      </c>
      <c r="B1684" t="n">
        <v>2021</v>
      </c>
      <c r="C1684" t="n">
        <v>11</v>
      </c>
      <c r="D1684" t="n">
        <v>47212</v>
      </c>
      <c r="E1684" t="n">
        <v>239</v>
      </c>
      <c r="F1684" t="n">
        <v>52</v>
      </c>
      <c r="G1684" t="n">
        <v>46921</v>
      </c>
      <c r="H1684" t="n">
        <v>40801</v>
      </c>
      <c r="I1684" t="n">
        <v>-46857</v>
      </c>
      <c r="J1684" t="n">
        <v>1052979.800000006</v>
      </c>
      <c r="K1684" t="n">
        <v>47030</v>
      </c>
      <c r="L1684" t="n">
        <v>140224</v>
      </c>
      <c r="M1684" t="n">
        <v>139471</v>
      </c>
      <c r="N1684" t="n">
        <v>60312</v>
      </c>
      <c r="O1684" t="n">
        <v>4804</v>
      </c>
      <c r="P1684" t="n">
        <v>131</v>
      </c>
    </row>
    <row r="1685">
      <c r="A1685" t="inlineStr">
        <is>
          <t>UA</t>
        </is>
      </c>
      <c r="B1685" t="n">
        <v>2021</v>
      </c>
      <c r="C1685" t="n">
        <v>12</v>
      </c>
      <c r="D1685" t="n">
        <v>49541</v>
      </c>
      <c r="E1685" t="n">
        <v>1607</v>
      </c>
      <c r="F1685" t="n">
        <v>120</v>
      </c>
      <c r="G1685" t="n">
        <v>47814</v>
      </c>
      <c r="H1685" t="n">
        <v>36615</v>
      </c>
      <c r="I1685" t="n">
        <v>392344</v>
      </c>
      <c r="J1685" t="n">
        <v>1108446.799999997</v>
      </c>
      <c r="K1685" t="n">
        <v>49300</v>
      </c>
      <c r="L1685" t="n">
        <v>284615</v>
      </c>
      <c r="M1685" t="n">
        <v>281946</v>
      </c>
      <c r="N1685" t="n">
        <v>118918</v>
      </c>
      <c r="O1685" t="n">
        <v>17065</v>
      </c>
      <c r="P1685" t="n">
        <v>311</v>
      </c>
    </row>
    <row r="1686">
      <c r="A1686" t="inlineStr">
        <is>
          <t>UA</t>
        </is>
      </c>
      <c r="B1686" t="n">
        <v>2022</v>
      </c>
      <c r="C1686" t="n">
        <v>1</v>
      </c>
      <c r="D1686" t="n">
        <v>45741</v>
      </c>
      <c r="E1686" t="n">
        <v>2906</v>
      </c>
      <c r="F1686" t="n">
        <v>91</v>
      </c>
      <c r="G1686" t="n">
        <v>42744</v>
      </c>
      <c r="H1686" t="n">
        <v>33968</v>
      </c>
      <c r="I1686" t="n">
        <v>203302</v>
      </c>
      <c r="J1686" t="n">
        <v>1069773.899999997</v>
      </c>
      <c r="K1686" t="n">
        <v>45671</v>
      </c>
      <c r="L1686" t="n">
        <v>214345</v>
      </c>
      <c r="M1686" t="n">
        <v>257475</v>
      </c>
      <c r="N1686" t="n">
        <v>99145</v>
      </c>
      <c r="O1686" t="n">
        <v>25600</v>
      </c>
      <c r="P1686" t="n">
        <v>8</v>
      </c>
    </row>
    <row r="1687">
      <c r="A1687" t="inlineStr">
        <is>
          <t>UA</t>
        </is>
      </c>
      <c r="B1687" t="n">
        <v>2022</v>
      </c>
      <c r="C1687" t="n">
        <v>2</v>
      </c>
      <c r="D1687" t="n">
        <v>43982</v>
      </c>
      <c r="E1687" t="n">
        <v>887</v>
      </c>
      <c r="F1687" t="n">
        <v>44</v>
      </c>
      <c r="G1687" t="n">
        <v>43051</v>
      </c>
      <c r="H1687" t="n">
        <v>35172</v>
      </c>
      <c r="I1687" t="n">
        <v>96407</v>
      </c>
      <c r="J1687" t="n">
        <v>993237.2999999982</v>
      </c>
      <c r="K1687" t="n">
        <v>43894</v>
      </c>
      <c r="L1687" t="n">
        <v>180145</v>
      </c>
      <c r="M1687" t="n">
        <v>172397</v>
      </c>
      <c r="N1687" t="n">
        <v>106887</v>
      </c>
      <c r="O1687" t="n">
        <v>17387</v>
      </c>
      <c r="P1687" t="n">
        <v>165</v>
      </c>
    </row>
    <row r="1688">
      <c r="A1688" t="inlineStr">
        <is>
          <t>UA</t>
        </is>
      </c>
      <c r="B1688" t="n">
        <v>2022</v>
      </c>
      <c r="C1688" t="n">
        <v>3</v>
      </c>
      <c r="D1688" t="n">
        <v>50773</v>
      </c>
      <c r="E1688" t="n">
        <v>218</v>
      </c>
      <c r="F1688" t="n">
        <v>104</v>
      </c>
      <c r="G1688" t="n">
        <v>50451</v>
      </c>
      <c r="H1688" t="n">
        <v>40119</v>
      </c>
      <c r="I1688" t="n">
        <v>293523</v>
      </c>
      <c r="J1688" t="n">
        <v>1117901.399999997</v>
      </c>
      <c r="K1688" t="n">
        <v>50480</v>
      </c>
      <c r="L1688" t="n">
        <v>309572</v>
      </c>
      <c r="M1688" t="n">
        <v>210242</v>
      </c>
      <c r="N1688" t="n">
        <v>145054</v>
      </c>
      <c r="O1688" t="n">
        <v>22861</v>
      </c>
      <c r="P1688" t="n">
        <v>59</v>
      </c>
    </row>
    <row r="1689">
      <c r="A1689" t="inlineStr">
        <is>
          <t>UA</t>
        </is>
      </c>
      <c r="B1689" t="n">
        <v>2022</v>
      </c>
      <c r="C1689" t="n">
        <v>4</v>
      </c>
      <c r="D1689" t="n">
        <v>49252</v>
      </c>
      <c r="E1689" t="n">
        <v>485</v>
      </c>
      <c r="F1689" t="n">
        <v>161</v>
      </c>
      <c r="G1689" t="n">
        <v>48606</v>
      </c>
      <c r="H1689" t="n">
        <v>39395</v>
      </c>
      <c r="I1689" t="n">
        <v>296401</v>
      </c>
      <c r="J1689" t="n">
        <v>1012527.400000002</v>
      </c>
      <c r="K1689" t="n">
        <v>49209</v>
      </c>
      <c r="L1689" t="n">
        <v>277196</v>
      </c>
      <c r="M1689" t="n">
        <v>220594</v>
      </c>
      <c r="N1689" t="n">
        <v>137641</v>
      </c>
      <c r="O1689" t="n">
        <v>29163</v>
      </c>
      <c r="P1689" t="n">
        <v>193</v>
      </c>
    </row>
    <row r="1690">
      <c r="A1690" t="inlineStr">
        <is>
          <t>UA</t>
        </is>
      </c>
      <c r="B1690" t="n">
        <v>2022</v>
      </c>
      <c r="C1690" t="n">
        <v>5</v>
      </c>
      <c r="D1690" t="n">
        <v>53646</v>
      </c>
      <c r="E1690" t="n">
        <v>1005</v>
      </c>
      <c r="F1690" t="n">
        <v>175</v>
      </c>
      <c r="G1690" t="n">
        <v>52466</v>
      </c>
      <c r="H1690" t="n">
        <v>40947</v>
      </c>
      <c r="I1690" t="n">
        <v>450909</v>
      </c>
      <c r="J1690" t="n">
        <v>1095334.199999994</v>
      </c>
      <c r="K1690" t="n">
        <v>53537</v>
      </c>
      <c r="L1690" t="n">
        <v>345632</v>
      </c>
      <c r="M1690" t="n">
        <v>262443</v>
      </c>
      <c r="N1690" t="n">
        <v>179973</v>
      </c>
      <c r="O1690" t="n">
        <v>41992</v>
      </c>
      <c r="P1690" t="n">
        <v>0</v>
      </c>
    </row>
    <row r="1691">
      <c r="A1691" t="inlineStr">
        <is>
          <t>UA</t>
        </is>
      </c>
      <c r="B1691" t="n">
        <v>2022</v>
      </c>
      <c r="C1691" t="n">
        <v>6</v>
      </c>
      <c r="D1691" t="n">
        <v>53105</v>
      </c>
      <c r="E1691" t="n">
        <v>1748</v>
      </c>
      <c r="F1691" t="n">
        <v>228</v>
      </c>
      <c r="G1691" t="n">
        <v>51129</v>
      </c>
      <c r="H1691" t="n">
        <v>39830</v>
      </c>
      <c r="I1691" t="n">
        <v>503344</v>
      </c>
      <c r="J1691" t="n">
        <v>1084617.299999999</v>
      </c>
      <c r="K1691" t="n">
        <v>53054</v>
      </c>
      <c r="L1691" t="n">
        <v>365724</v>
      </c>
      <c r="M1691" t="n">
        <v>301238</v>
      </c>
      <c r="N1691" t="n">
        <v>159743</v>
      </c>
      <c r="O1691" t="n">
        <v>50903</v>
      </c>
      <c r="P1691" t="n">
        <v>10</v>
      </c>
    </row>
    <row r="1692">
      <c r="A1692" t="inlineStr">
        <is>
          <t>UA</t>
        </is>
      </c>
      <c r="B1692" t="n">
        <v>2022</v>
      </c>
      <c r="C1692" t="n">
        <v>7</v>
      </c>
      <c r="D1692" t="n">
        <v>55510</v>
      </c>
      <c r="E1692" t="n">
        <v>825</v>
      </c>
      <c r="F1692" t="n">
        <v>203</v>
      </c>
      <c r="G1692" t="n">
        <v>54482</v>
      </c>
      <c r="H1692" t="n">
        <v>42655</v>
      </c>
      <c r="I1692" t="n">
        <v>427761</v>
      </c>
      <c r="J1692" t="n">
        <v>1151783.099999994</v>
      </c>
      <c r="K1692" t="n">
        <v>55445</v>
      </c>
      <c r="L1692" t="n">
        <v>371849</v>
      </c>
      <c r="M1692" t="n">
        <v>305057</v>
      </c>
      <c r="N1692" t="n">
        <v>155676</v>
      </c>
      <c r="O1692" t="n">
        <v>44328</v>
      </c>
      <c r="P1692" t="n">
        <v>15</v>
      </c>
    </row>
    <row r="1693">
      <c r="A1693" t="inlineStr">
        <is>
          <t>UA</t>
        </is>
      </c>
      <c r="B1693" t="n">
        <v>2022</v>
      </c>
      <c r="C1693" t="n">
        <v>8</v>
      </c>
      <c r="D1693" t="n">
        <v>54918</v>
      </c>
      <c r="E1693" t="n">
        <v>1190</v>
      </c>
      <c r="F1693" t="n">
        <v>234</v>
      </c>
      <c r="G1693" t="n">
        <v>53494</v>
      </c>
      <c r="H1693" t="n">
        <v>42933</v>
      </c>
      <c r="I1693" t="n">
        <v>392338</v>
      </c>
      <c r="J1693" t="n">
        <v>1142461.800000001</v>
      </c>
      <c r="K1693" t="n">
        <v>54853</v>
      </c>
      <c r="L1693" t="n">
        <v>327602</v>
      </c>
      <c r="M1693" t="n">
        <v>280909</v>
      </c>
      <c r="N1693" t="n">
        <v>181771</v>
      </c>
      <c r="O1693" t="n">
        <v>63708</v>
      </c>
      <c r="P1693" t="n">
        <v>559</v>
      </c>
    </row>
    <row r="1694">
      <c r="A1694" t="inlineStr">
        <is>
          <t>UA</t>
        </is>
      </c>
      <c r="B1694" t="n">
        <v>2022</v>
      </c>
      <c r="C1694" t="n">
        <v>9</v>
      </c>
      <c r="D1694" t="n">
        <v>50893</v>
      </c>
      <c r="E1694" t="n">
        <v>554</v>
      </c>
      <c r="F1694" t="n">
        <v>102</v>
      </c>
      <c r="G1694" t="n">
        <v>50237</v>
      </c>
      <c r="H1694" t="n">
        <v>44041</v>
      </c>
      <c r="I1694" t="n">
        <v>-134289</v>
      </c>
      <c r="J1694" t="n">
        <v>1055986.000000004</v>
      </c>
      <c r="K1694" t="n">
        <v>50708</v>
      </c>
      <c r="L1694" t="n">
        <v>131205</v>
      </c>
      <c r="M1694" t="n">
        <v>130685</v>
      </c>
      <c r="N1694" t="n">
        <v>94165</v>
      </c>
      <c r="O1694" t="n">
        <v>24169</v>
      </c>
      <c r="P1694" t="n">
        <v>24</v>
      </c>
    </row>
    <row r="1695">
      <c r="A1695" t="inlineStr">
        <is>
          <t>UA</t>
        </is>
      </c>
      <c r="B1695" t="n">
        <v>2022</v>
      </c>
      <c r="C1695" t="n">
        <v>10</v>
      </c>
      <c r="D1695" t="n">
        <v>56495</v>
      </c>
      <c r="E1695" t="n">
        <v>288</v>
      </c>
      <c r="F1695" t="n">
        <v>78</v>
      </c>
      <c r="G1695" t="n">
        <v>56129</v>
      </c>
      <c r="H1695" t="n">
        <v>49325</v>
      </c>
      <c r="I1695" t="n">
        <v>-124721</v>
      </c>
      <c r="J1695" t="n">
        <v>1150699.200000003</v>
      </c>
      <c r="K1695" t="n">
        <v>56451</v>
      </c>
      <c r="L1695" t="n">
        <v>147072</v>
      </c>
      <c r="M1695" t="n">
        <v>157220</v>
      </c>
      <c r="N1695" t="n">
        <v>96263</v>
      </c>
      <c r="O1695" t="n">
        <v>5535</v>
      </c>
      <c r="P1695" t="n">
        <v>32</v>
      </c>
    </row>
    <row r="1696">
      <c r="A1696" t="inlineStr">
        <is>
          <t>UA</t>
        </is>
      </c>
      <c r="B1696" t="n">
        <v>2022</v>
      </c>
      <c r="C1696" t="n">
        <v>11</v>
      </c>
      <c r="D1696" t="n">
        <v>53741</v>
      </c>
      <c r="E1696" t="n">
        <v>360</v>
      </c>
      <c r="F1696" t="n">
        <v>61</v>
      </c>
      <c r="G1696" t="n">
        <v>53320</v>
      </c>
      <c r="H1696" t="n">
        <v>45087</v>
      </c>
      <c r="I1696" t="n">
        <v>42094</v>
      </c>
      <c r="J1696" t="n">
        <v>1185682.200000006</v>
      </c>
      <c r="K1696" t="n">
        <v>53593</v>
      </c>
      <c r="L1696" t="n">
        <v>211327</v>
      </c>
      <c r="M1696" t="n">
        <v>172659</v>
      </c>
      <c r="N1696" t="n">
        <v>121632</v>
      </c>
      <c r="O1696" t="n">
        <v>18253</v>
      </c>
      <c r="P1696" t="n">
        <v>230</v>
      </c>
    </row>
    <row r="1697">
      <c r="A1697" t="inlineStr">
        <is>
          <t>UA</t>
        </is>
      </c>
      <c r="B1697" t="n">
        <v>2022</v>
      </c>
      <c r="C1697" t="n">
        <v>12</v>
      </c>
      <c r="D1697" t="n">
        <v>58417</v>
      </c>
      <c r="E1697" t="n">
        <v>1420</v>
      </c>
      <c r="F1697" t="n">
        <v>117</v>
      </c>
      <c r="G1697" t="n">
        <v>56880</v>
      </c>
      <c r="H1697" t="n">
        <v>41499</v>
      </c>
      <c r="I1697" t="n">
        <v>846444</v>
      </c>
      <c r="J1697" t="n">
        <v>1271593.199999999</v>
      </c>
      <c r="K1697" t="n">
        <v>58186</v>
      </c>
      <c r="L1697" t="n">
        <v>550833</v>
      </c>
      <c r="M1697" t="n">
        <v>435405</v>
      </c>
      <c r="N1697" t="n">
        <v>190033</v>
      </c>
      <c r="O1697" t="n">
        <v>48328</v>
      </c>
      <c r="P1697" t="n">
        <v>79</v>
      </c>
    </row>
    <row r="1698">
      <c r="A1698" t="inlineStr">
        <is>
          <t>UA</t>
        </is>
      </c>
      <c r="B1698" t="n">
        <v>2023</v>
      </c>
      <c r="C1698" t="n">
        <v>1</v>
      </c>
      <c r="D1698" t="n">
        <v>56657</v>
      </c>
      <c r="E1698" t="n">
        <v>415</v>
      </c>
      <c r="F1698" t="n">
        <v>140</v>
      </c>
      <c r="G1698" t="n">
        <v>56102</v>
      </c>
      <c r="H1698" t="n">
        <v>43137</v>
      </c>
      <c r="I1698" t="n">
        <v>466527</v>
      </c>
      <c r="J1698" t="n">
        <v>1287419.799999998</v>
      </c>
      <c r="K1698" t="n">
        <v>56493</v>
      </c>
      <c r="L1698" t="n">
        <v>374992</v>
      </c>
      <c r="M1698" t="n">
        <v>281261</v>
      </c>
      <c r="N1698" t="n">
        <v>223115</v>
      </c>
      <c r="O1698" t="n">
        <v>27462</v>
      </c>
      <c r="P1698" t="n">
        <v>55</v>
      </c>
    </row>
    <row r="1699">
      <c r="A1699" t="inlineStr">
        <is>
          <t>UA</t>
        </is>
      </c>
      <c r="B1699" t="n">
        <v>2023</v>
      </c>
      <c r="C1699" t="n">
        <v>2</v>
      </c>
      <c r="D1699" t="n">
        <v>53408</v>
      </c>
      <c r="E1699" t="n">
        <v>398</v>
      </c>
      <c r="F1699" t="n">
        <v>84</v>
      </c>
      <c r="G1699" t="n">
        <v>52926</v>
      </c>
      <c r="H1699" t="n">
        <v>41966</v>
      </c>
      <c r="I1699" t="n">
        <v>246923</v>
      </c>
      <c r="J1699" t="n">
        <v>1160619.4</v>
      </c>
      <c r="K1699" t="n">
        <v>53153</v>
      </c>
      <c r="L1699" t="n">
        <v>261804</v>
      </c>
      <c r="M1699" t="n">
        <v>229673</v>
      </c>
      <c r="N1699" t="n">
        <v>163558</v>
      </c>
      <c r="O1699" t="n">
        <v>22170</v>
      </c>
      <c r="P1699" t="n">
        <v>48</v>
      </c>
    </row>
    <row r="1700">
      <c r="A1700" t="inlineStr">
        <is>
          <t>UA</t>
        </is>
      </c>
      <c r="B1700" t="n">
        <v>2023</v>
      </c>
      <c r="C1700" t="n">
        <v>3</v>
      </c>
      <c r="D1700" t="n">
        <v>61590</v>
      </c>
      <c r="E1700" t="n">
        <v>403</v>
      </c>
      <c r="F1700" t="n">
        <v>108</v>
      </c>
      <c r="G1700" t="n">
        <v>61079</v>
      </c>
      <c r="H1700" t="n">
        <v>47389</v>
      </c>
      <c r="I1700" t="n">
        <v>423454</v>
      </c>
      <c r="J1700" t="n">
        <v>1300699.199999998</v>
      </c>
      <c r="K1700" t="n">
        <v>60813</v>
      </c>
      <c r="L1700" t="n">
        <v>322303</v>
      </c>
      <c r="M1700" t="n">
        <v>264188</v>
      </c>
      <c r="N1700" t="n">
        <v>223437</v>
      </c>
      <c r="O1700" t="n">
        <v>20698</v>
      </c>
      <c r="P1700" t="n">
        <v>93</v>
      </c>
    </row>
    <row r="1701">
      <c r="A1701" t="inlineStr">
        <is>
          <t>UA</t>
        </is>
      </c>
      <c r="B1701" t="n">
        <v>2023</v>
      </c>
      <c r="C1701" t="n">
        <v>4</v>
      </c>
      <c r="D1701" t="n">
        <v>57791</v>
      </c>
      <c r="E1701" t="n">
        <v>953</v>
      </c>
      <c r="F1701" t="n">
        <v>267</v>
      </c>
      <c r="G1701" t="n">
        <v>56571</v>
      </c>
      <c r="H1701" t="n">
        <v>43493</v>
      </c>
      <c r="I1701" t="n">
        <v>591693</v>
      </c>
      <c r="J1701" t="n">
        <v>1229251.099999995</v>
      </c>
      <c r="K1701" t="n">
        <v>57258</v>
      </c>
      <c r="L1701" t="n">
        <v>400105</v>
      </c>
      <c r="M1701" t="n">
        <v>342111</v>
      </c>
      <c r="N1701" t="n">
        <v>216786</v>
      </c>
      <c r="O1701" t="n">
        <v>47566</v>
      </c>
      <c r="P1701" t="n">
        <v>44</v>
      </c>
    </row>
    <row r="1702">
      <c r="A1702" t="inlineStr">
        <is>
          <t>UA</t>
        </is>
      </c>
      <c r="B1702" t="n">
        <v>2023</v>
      </c>
      <c r="C1702" t="n">
        <v>5</v>
      </c>
      <c r="D1702" t="n">
        <v>62340</v>
      </c>
      <c r="E1702" t="n">
        <v>510</v>
      </c>
      <c r="F1702" t="n">
        <v>214</v>
      </c>
      <c r="G1702" t="n">
        <v>61616</v>
      </c>
      <c r="H1702" t="n">
        <v>48627</v>
      </c>
      <c r="I1702" t="n">
        <v>383049</v>
      </c>
      <c r="J1702" t="n">
        <v>1328434.999999996</v>
      </c>
      <c r="K1702" t="n">
        <v>61822</v>
      </c>
      <c r="L1702" t="n">
        <v>373812</v>
      </c>
      <c r="M1702" t="n">
        <v>297711</v>
      </c>
      <c r="N1702" t="n">
        <v>183542</v>
      </c>
      <c r="O1702" t="n">
        <v>45160</v>
      </c>
      <c r="P1702" t="n">
        <v>0</v>
      </c>
    </row>
    <row r="1703">
      <c r="A1703" t="inlineStr">
        <is>
          <t>UA</t>
        </is>
      </c>
      <c r="B1703" t="n">
        <v>2023</v>
      </c>
      <c r="C1703" t="n">
        <v>6</v>
      </c>
      <c r="D1703" t="n">
        <v>62395</v>
      </c>
      <c r="E1703" t="n">
        <v>3309</v>
      </c>
      <c r="F1703" t="n">
        <v>295</v>
      </c>
      <c r="G1703" t="n">
        <v>58791</v>
      </c>
      <c r="H1703" t="n">
        <v>40601</v>
      </c>
      <c r="I1703" t="n">
        <v>1214775</v>
      </c>
      <c r="J1703" t="n">
        <v>1272949.899999999</v>
      </c>
      <c r="K1703" t="n">
        <v>62056</v>
      </c>
      <c r="L1703" t="n">
        <v>614512</v>
      </c>
      <c r="M1703" t="n">
        <v>633946</v>
      </c>
      <c r="N1703" t="n">
        <v>265266</v>
      </c>
      <c r="O1703" t="n">
        <v>63934</v>
      </c>
      <c r="P1703" t="n">
        <v>344</v>
      </c>
    </row>
    <row r="1704">
      <c r="A1704" t="inlineStr">
        <is>
          <t>UA</t>
        </is>
      </c>
      <c r="B1704" t="n">
        <v>2023</v>
      </c>
      <c r="C1704" t="n">
        <v>7</v>
      </c>
      <c r="D1704" t="n">
        <v>65002</v>
      </c>
      <c r="E1704" t="n">
        <v>2437</v>
      </c>
      <c r="F1704" t="n">
        <v>294</v>
      </c>
      <c r="G1704" t="n">
        <v>62271</v>
      </c>
      <c r="H1704" t="n">
        <v>42214</v>
      </c>
      <c r="I1704" t="n">
        <v>1288140</v>
      </c>
      <c r="J1704" t="n">
        <v>1322906.699999996</v>
      </c>
      <c r="K1704" t="n">
        <v>64584</v>
      </c>
      <c r="L1704" t="n">
        <v>691631</v>
      </c>
      <c r="M1704" t="n">
        <v>549794</v>
      </c>
      <c r="N1704" t="n">
        <v>310004</v>
      </c>
      <c r="O1704" t="n">
        <v>109429</v>
      </c>
      <c r="P1704" t="n">
        <v>11</v>
      </c>
    </row>
    <row r="1705">
      <c r="A1705" t="inlineStr">
        <is>
          <t>UA</t>
        </is>
      </c>
      <c r="B1705" t="n">
        <v>2023</v>
      </c>
      <c r="C1705" t="n">
        <v>8</v>
      </c>
      <c r="D1705" t="n">
        <v>66801</v>
      </c>
      <c r="E1705" t="n">
        <v>814</v>
      </c>
      <c r="F1705" t="n">
        <v>180</v>
      </c>
      <c r="G1705" t="n">
        <v>65807</v>
      </c>
      <c r="H1705" t="n">
        <v>52908</v>
      </c>
      <c r="I1705" t="n">
        <v>312676</v>
      </c>
      <c r="J1705" t="n">
        <v>1356478.799999998</v>
      </c>
      <c r="K1705" t="n">
        <v>66415</v>
      </c>
      <c r="L1705" t="n">
        <v>377427</v>
      </c>
      <c r="M1705" t="n">
        <v>293062</v>
      </c>
      <c r="N1705" t="n">
        <v>173547</v>
      </c>
      <c r="O1705" t="n">
        <v>39760</v>
      </c>
      <c r="P1705" t="n">
        <v>622</v>
      </c>
    </row>
    <row r="1706">
      <c r="A1706" t="inlineStr">
        <is>
          <t>UA</t>
        </is>
      </c>
      <c r="B1706" t="n">
        <v>2023</v>
      </c>
      <c r="C1706" t="n">
        <v>9</v>
      </c>
      <c r="D1706" t="n">
        <v>62591</v>
      </c>
      <c r="E1706" t="n">
        <v>760</v>
      </c>
      <c r="F1706" t="n">
        <v>124</v>
      </c>
      <c r="G1706" t="n">
        <v>61707</v>
      </c>
      <c r="H1706" t="n">
        <v>50928</v>
      </c>
      <c r="I1706" t="n">
        <v>208776</v>
      </c>
      <c r="J1706" t="n">
        <v>1304510.899999999</v>
      </c>
      <c r="K1706" t="n">
        <v>62178</v>
      </c>
      <c r="L1706" t="n">
        <v>263994</v>
      </c>
      <c r="M1706" t="n">
        <v>258550</v>
      </c>
      <c r="N1706" t="n">
        <v>196115</v>
      </c>
      <c r="O1706" t="n">
        <v>48156</v>
      </c>
      <c r="P1706" t="n">
        <v>226</v>
      </c>
    </row>
    <row r="1707">
      <c r="A1707" t="inlineStr">
        <is>
          <t>UA</t>
        </is>
      </c>
      <c r="B1707" t="n">
        <v>2023</v>
      </c>
      <c r="C1707" t="n">
        <v>10</v>
      </c>
      <c r="D1707" t="n">
        <v>65896</v>
      </c>
      <c r="E1707" t="n">
        <v>133</v>
      </c>
      <c r="F1707" t="n">
        <v>68</v>
      </c>
      <c r="G1707" t="n">
        <v>65695</v>
      </c>
      <c r="H1707" t="n">
        <v>57311</v>
      </c>
      <c r="I1707" t="n">
        <v>-175507</v>
      </c>
      <c r="J1707" t="n">
        <v>1393032.200000001</v>
      </c>
      <c r="K1707" t="n">
        <v>65443</v>
      </c>
      <c r="L1707" t="n">
        <v>197159</v>
      </c>
      <c r="M1707" t="n">
        <v>178540</v>
      </c>
      <c r="N1707" t="n">
        <v>99736</v>
      </c>
      <c r="O1707" t="n">
        <v>9685</v>
      </c>
      <c r="P1707" t="n">
        <v>77</v>
      </c>
    </row>
    <row r="1708">
      <c r="A1708" t="inlineStr">
        <is>
          <t>UA</t>
        </is>
      </c>
      <c r="B1708" t="n">
        <v>2023</v>
      </c>
      <c r="C1708" t="n">
        <v>11</v>
      </c>
      <c r="D1708" t="n">
        <v>57897</v>
      </c>
      <c r="E1708" t="n">
        <v>61</v>
      </c>
      <c r="F1708" t="n">
        <v>51</v>
      </c>
      <c r="G1708" t="n">
        <v>57785</v>
      </c>
      <c r="H1708" t="n">
        <v>51428</v>
      </c>
      <c r="I1708" t="n">
        <v>-272608</v>
      </c>
      <c r="J1708" t="n">
        <v>1370027.100000002</v>
      </c>
      <c r="K1708" t="n">
        <v>57472</v>
      </c>
      <c r="L1708" t="n">
        <v>144646</v>
      </c>
      <c r="M1708" t="n">
        <v>140682</v>
      </c>
      <c r="N1708" t="n">
        <v>69948</v>
      </c>
      <c r="O1708" t="n">
        <v>4246</v>
      </c>
      <c r="P1708" t="n">
        <v>101</v>
      </c>
    </row>
    <row r="1709">
      <c r="A1709" t="inlineStr">
        <is>
          <t>UA</t>
        </is>
      </c>
      <c r="B1709" t="n">
        <v>2023</v>
      </c>
      <c r="C1709" t="n">
        <v>12</v>
      </c>
      <c r="D1709" t="n">
        <v>59844</v>
      </c>
      <c r="E1709" t="n">
        <v>77</v>
      </c>
      <c r="F1709" t="n">
        <v>85</v>
      </c>
      <c r="G1709" t="n">
        <v>59682</v>
      </c>
      <c r="H1709" t="n">
        <v>51644</v>
      </c>
      <c r="I1709" t="n">
        <v>-131223</v>
      </c>
      <c r="J1709" t="n">
        <v>1382412.100000001</v>
      </c>
      <c r="K1709" t="n">
        <v>59285</v>
      </c>
      <c r="L1709" t="n">
        <v>192836</v>
      </c>
      <c r="M1709" t="n">
        <v>169926</v>
      </c>
      <c r="N1709" t="n">
        <v>110522</v>
      </c>
      <c r="O1709" t="n">
        <v>9992</v>
      </c>
      <c r="P1709" t="n">
        <v>65</v>
      </c>
    </row>
    <row r="1710">
      <c r="A1710" t="inlineStr">
        <is>
          <t>UA</t>
        </is>
      </c>
      <c r="B1710" t="n">
        <v>2024</v>
      </c>
      <c r="C1710" t="n">
        <v>1</v>
      </c>
      <c r="D1710" t="n">
        <v>58855</v>
      </c>
      <c r="E1710" t="n">
        <v>4714</v>
      </c>
      <c r="F1710" t="n">
        <v>138</v>
      </c>
      <c r="G1710" t="n">
        <v>54003</v>
      </c>
      <c r="H1710" t="n">
        <v>42344</v>
      </c>
      <c r="I1710" t="n">
        <v>478324</v>
      </c>
      <c r="J1710" t="n">
        <v>1439016.799999998</v>
      </c>
      <c r="K1710" t="n">
        <v>58252</v>
      </c>
      <c r="L1710" t="n">
        <v>413094</v>
      </c>
      <c r="M1710" t="n">
        <v>283178</v>
      </c>
      <c r="N1710" t="n">
        <v>175194</v>
      </c>
      <c r="O1710" t="n">
        <v>97103</v>
      </c>
      <c r="P1710" t="n">
        <v>0</v>
      </c>
    </row>
    <row r="1711">
      <c r="A1711" t="inlineStr">
        <is>
          <t>UA</t>
        </is>
      </c>
      <c r="B1711" t="n">
        <v>2024</v>
      </c>
      <c r="C1711" t="n">
        <v>2</v>
      </c>
      <c r="D1711" t="n">
        <v>56834</v>
      </c>
      <c r="E1711" t="n">
        <v>335</v>
      </c>
      <c r="F1711" t="n">
        <v>124</v>
      </c>
      <c r="G1711" t="n">
        <v>56375</v>
      </c>
      <c r="H1711" t="n">
        <v>47332</v>
      </c>
      <c r="I1711" t="n">
        <v>33756</v>
      </c>
      <c r="J1711" t="n">
        <v>1391381.899999999</v>
      </c>
      <c r="K1711" t="n">
        <v>56266</v>
      </c>
      <c r="L1711" t="n">
        <v>234747</v>
      </c>
      <c r="M1711" t="n">
        <v>178123</v>
      </c>
      <c r="N1711" t="n">
        <v>186916</v>
      </c>
      <c r="O1711" t="n">
        <v>32912</v>
      </c>
      <c r="P1711" t="n">
        <v>142</v>
      </c>
    </row>
    <row r="1712">
      <c r="A1712" t="inlineStr">
        <is>
          <t>UA</t>
        </is>
      </c>
      <c r="B1712" t="n">
        <v>2024</v>
      </c>
      <c r="C1712" t="n">
        <v>3</v>
      </c>
      <c r="D1712" t="n">
        <v>64929</v>
      </c>
      <c r="E1712" t="n">
        <v>333</v>
      </c>
      <c r="F1712" t="n">
        <v>129</v>
      </c>
      <c r="G1712" t="n">
        <v>64467</v>
      </c>
      <c r="H1712" t="n">
        <v>52354</v>
      </c>
      <c r="I1712" t="n">
        <v>194649</v>
      </c>
      <c r="J1712" t="n">
        <v>1601528.399999998</v>
      </c>
      <c r="K1712" t="n">
        <v>63853</v>
      </c>
      <c r="L1712" t="n">
        <v>320079</v>
      </c>
      <c r="M1712" t="n">
        <v>230840</v>
      </c>
      <c r="N1712" t="n">
        <v>224012</v>
      </c>
      <c r="O1712" t="n">
        <v>22522</v>
      </c>
      <c r="P1712" t="n">
        <v>119</v>
      </c>
    </row>
    <row r="1713">
      <c r="A1713" t="inlineStr">
        <is>
          <t>UA</t>
        </is>
      </c>
      <c r="B1713" t="n">
        <v>2024</v>
      </c>
      <c r="C1713" t="n">
        <v>4</v>
      </c>
      <c r="D1713" t="n">
        <v>61044</v>
      </c>
      <c r="E1713" t="n">
        <v>345</v>
      </c>
      <c r="F1713" t="n">
        <v>160</v>
      </c>
      <c r="G1713" t="n">
        <v>60539</v>
      </c>
      <c r="H1713" t="n">
        <v>48935</v>
      </c>
      <c r="I1713" t="n">
        <v>227194</v>
      </c>
      <c r="J1713" t="n">
        <v>1428045.999999991</v>
      </c>
      <c r="K1713" t="n">
        <v>60255</v>
      </c>
      <c r="L1713" t="n">
        <v>321301</v>
      </c>
      <c r="M1713" t="n">
        <v>212483</v>
      </c>
      <c r="N1713" t="n">
        <v>210036</v>
      </c>
      <c r="O1713" t="n">
        <v>24907</v>
      </c>
      <c r="P1713" t="n">
        <v>59</v>
      </c>
    </row>
    <row r="1714">
      <c r="A1714" t="inlineStr">
        <is>
          <t>UA</t>
        </is>
      </c>
      <c r="B1714" t="n">
        <v>2024</v>
      </c>
      <c r="C1714" t="n">
        <v>5</v>
      </c>
      <c r="D1714" t="n">
        <v>64156</v>
      </c>
      <c r="E1714" t="n">
        <v>773</v>
      </c>
      <c r="F1714" t="n">
        <v>303</v>
      </c>
      <c r="G1714" t="n">
        <v>63080</v>
      </c>
      <c r="H1714" t="n">
        <v>46450</v>
      </c>
      <c r="I1714" t="n">
        <v>861003</v>
      </c>
      <c r="J1714" t="n">
        <v>1452093.999999993</v>
      </c>
      <c r="K1714" t="n">
        <v>63079</v>
      </c>
      <c r="L1714" t="n">
        <v>578974</v>
      </c>
      <c r="M1714" t="n">
        <v>340346</v>
      </c>
      <c r="N1714" t="n">
        <v>306195</v>
      </c>
      <c r="O1714" t="n">
        <v>101266</v>
      </c>
      <c r="P1714" t="n">
        <v>53</v>
      </c>
    </row>
    <row r="1715">
      <c r="A1715" t="inlineStr">
        <is>
          <t>UA</t>
        </is>
      </c>
      <c r="B1715" t="n">
        <v>2024</v>
      </c>
      <c r="C1715" t="n">
        <v>6</v>
      </c>
      <c r="D1715" t="n">
        <v>63005</v>
      </c>
      <c r="E1715" t="n">
        <v>781</v>
      </c>
      <c r="F1715" t="n">
        <v>263</v>
      </c>
      <c r="G1715" t="n">
        <v>61961</v>
      </c>
      <c r="H1715" t="n">
        <v>46994</v>
      </c>
      <c r="I1715" t="n">
        <v>672707</v>
      </c>
      <c r="J1715" t="n">
        <v>1366909.599999995</v>
      </c>
      <c r="K1715" t="n">
        <v>62168</v>
      </c>
      <c r="L1715" t="n">
        <v>495139</v>
      </c>
      <c r="M1715" t="n">
        <v>316787</v>
      </c>
      <c r="N1715" t="n">
        <v>250868</v>
      </c>
      <c r="O1715" t="n">
        <v>68404</v>
      </c>
      <c r="P1715" t="n">
        <v>53</v>
      </c>
    </row>
    <row r="1716">
      <c r="A1716" t="inlineStr">
        <is>
          <t>UA</t>
        </is>
      </c>
      <c r="B1716" t="n">
        <v>2024</v>
      </c>
      <c r="C1716" t="n">
        <v>7</v>
      </c>
      <c r="D1716" t="n">
        <v>65463</v>
      </c>
      <c r="E1716" t="n">
        <v>2452</v>
      </c>
      <c r="F1716" t="n">
        <v>320</v>
      </c>
      <c r="G1716" t="n">
        <v>62691</v>
      </c>
      <c r="H1716" t="n">
        <v>44706</v>
      </c>
      <c r="I1716" t="n">
        <v>1102166</v>
      </c>
      <c r="J1716" t="n">
        <v>1396861.099999995</v>
      </c>
      <c r="K1716" t="n">
        <v>64601</v>
      </c>
      <c r="L1716" t="n">
        <v>653775</v>
      </c>
      <c r="M1716" t="n">
        <v>502544</v>
      </c>
      <c r="N1716" t="n">
        <v>298359</v>
      </c>
      <c r="O1716" t="n">
        <v>70949</v>
      </c>
      <c r="P1716" t="n">
        <v>52</v>
      </c>
    </row>
    <row r="1717">
      <c r="A1717" t="inlineStr">
        <is>
          <t>UA</t>
        </is>
      </c>
      <c r="B1717" t="n">
        <v>2024</v>
      </c>
      <c r="C1717" t="n">
        <v>8</v>
      </c>
      <c r="D1717" t="n">
        <v>65939</v>
      </c>
      <c r="E1717" t="n">
        <v>1332</v>
      </c>
      <c r="F1717" t="n">
        <v>354</v>
      </c>
      <c r="G1717" t="n">
        <v>64253</v>
      </c>
      <c r="H1717" t="n">
        <v>49412</v>
      </c>
      <c r="I1717" t="n">
        <v>643749</v>
      </c>
      <c r="J1717" t="n">
        <v>1392001.799999994</v>
      </c>
      <c r="K1717" t="n">
        <v>65204</v>
      </c>
      <c r="L1717" t="n">
        <v>477465</v>
      </c>
      <c r="M1717" t="n">
        <v>319042</v>
      </c>
      <c r="N1717" t="n">
        <v>258400</v>
      </c>
      <c r="O1717" t="n">
        <v>78783</v>
      </c>
      <c r="P1717" t="n">
        <v>55</v>
      </c>
    </row>
    <row r="1718">
      <c r="A1718" t="inlineStr">
        <is>
          <t>UA</t>
        </is>
      </c>
      <c r="B1718" t="n">
        <v>2024</v>
      </c>
      <c r="C1718" t="n">
        <v>9</v>
      </c>
      <c r="D1718" t="n">
        <v>64212</v>
      </c>
      <c r="E1718" t="n">
        <v>341</v>
      </c>
      <c r="F1718" t="n">
        <v>82</v>
      </c>
      <c r="G1718" t="n">
        <v>63789</v>
      </c>
      <c r="H1718" t="n">
        <v>55338</v>
      </c>
      <c r="I1718" t="n">
        <v>-110040</v>
      </c>
      <c r="J1718" t="n">
        <v>1383210.299999999</v>
      </c>
      <c r="K1718" t="n">
        <v>63639</v>
      </c>
      <c r="L1718" t="n">
        <v>203306</v>
      </c>
      <c r="M1718" t="n">
        <v>170378</v>
      </c>
      <c r="N1718" t="n">
        <v>112834</v>
      </c>
      <c r="O1718" t="n">
        <v>13718</v>
      </c>
      <c r="P1718" t="n">
        <v>0</v>
      </c>
    </row>
    <row r="1719">
      <c r="A1719" t="inlineStr">
        <is>
          <t>UA</t>
        </is>
      </c>
      <c r="B1719" t="n">
        <v>2024</v>
      </c>
      <c r="C1719" t="n">
        <v>10</v>
      </c>
      <c r="D1719" t="n">
        <v>68403</v>
      </c>
      <c r="E1719" t="n">
        <v>551</v>
      </c>
      <c r="F1719" t="n">
        <v>77</v>
      </c>
      <c r="G1719" t="n">
        <v>67775</v>
      </c>
      <c r="H1719" t="n">
        <v>59823</v>
      </c>
      <c r="I1719" t="n">
        <v>-217243</v>
      </c>
      <c r="J1719" t="n">
        <v>1506466.500000002</v>
      </c>
      <c r="K1719" t="n">
        <v>67930</v>
      </c>
      <c r="L1719" t="n">
        <v>180412</v>
      </c>
      <c r="M1719" t="n">
        <v>172611</v>
      </c>
      <c r="N1719" t="n">
        <v>101616</v>
      </c>
      <c r="O1719" t="n">
        <v>7620</v>
      </c>
      <c r="P1719" t="n">
        <v>0</v>
      </c>
    </row>
    <row r="1720">
      <c r="A1720" t="inlineStr">
        <is>
          <t>UA</t>
        </is>
      </c>
      <c r="B1720" t="n">
        <v>2024</v>
      </c>
      <c r="C1720" t="n">
        <v>11</v>
      </c>
      <c r="D1720" t="n">
        <v>63581</v>
      </c>
      <c r="E1720" t="n">
        <v>190</v>
      </c>
      <c r="F1720" t="n">
        <v>76</v>
      </c>
      <c r="G1720" t="n">
        <v>63315</v>
      </c>
      <c r="H1720" t="n">
        <v>52403</v>
      </c>
      <c r="I1720" t="n">
        <v>124982</v>
      </c>
      <c r="J1720" t="n">
        <v>1563739.400000001</v>
      </c>
      <c r="K1720" t="n">
        <v>63189</v>
      </c>
      <c r="L1720" t="n">
        <v>264252</v>
      </c>
      <c r="M1720" t="n">
        <v>189051</v>
      </c>
      <c r="N1720" t="n">
        <v>248620</v>
      </c>
      <c r="O1720" t="n">
        <v>16578</v>
      </c>
      <c r="P1720" t="n">
        <v>0</v>
      </c>
    </row>
    <row r="1721">
      <c r="A1721" t="inlineStr">
        <is>
          <t>UA</t>
        </is>
      </c>
      <c r="B1721" t="n">
        <v>2024</v>
      </c>
      <c r="C1721" t="n">
        <v>12</v>
      </c>
      <c r="D1721" t="n">
        <v>64030</v>
      </c>
      <c r="E1721" t="n">
        <v>331</v>
      </c>
      <c r="F1721" t="n">
        <v>129</v>
      </c>
      <c r="G1721" t="n">
        <v>63570</v>
      </c>
      <c r="H1721" t="n">
        <v>51615</v>
      </c>
      <c r="I1721" t="n">
        <v>271944</v>
      </c>
      <c r="J1721" t="n">
        <v>1565413.399999998</v>
      </c>
      <c r="K1721" t="n">
        <v>63175</v>
      </c>
      <c r="L1721" t="n">
        <v>303330</v>
      </c>
      <c r="M1721" t="n">
        <v>251777</v>
      </c>
      <c r="N1721" t="n">
        <v>203088</v>
      </c>
      <c r="O1721" t="n">
        <v>44963</v>
      </c>
      <c r="P1721" t="n">
        <v>37</v>
      </c>
    </row>
    <row r="1722">
      <c r="A1722" t="inlineStr">
        <is>
          <t>UA</t>
        </is>
      </c>
      <c r="B1722" t="n">
        <v>2025</v>
      </c>
      <c r="C1722" t="n">
        <v>1</v>
      </c>
      <c r="D1722" t="n">
        <v>62007</v>
      </c>
      <c r="E1722" t="n">
        <v>1189</v>
      </c>
      <c r="F1722" t="n">
        <v>150</v>
      </c>
      <c r="G1722" t="n">
        <v>60668</v>
      </c>
      <c r="H1722" t="n">
        <v>49974</v>
      </c>
      <c r="I1722" t="n">
        <v>78258</v>
      </c>
      <c r="J1722" t="n">
        <v>1615146.099999997</v>
      </c>
      <c r="K1722" t="n">
        <v>61194</v>
      </c>
      <c r="L1722" t="n">
        <v>248856</v>
      </c>
      <c r="M1722" t="n">
        <v>225300</v>
      </c>
      <c r="N1722" t="n">
        <v>170665</v>
      </c>
      <c r="O1722" t="n">
        <v>29376</v>
      </c>
      <c r="P1722" t="n">
        <v>0</v>
      </c>
    </row>
    <row r="1723">
      <c r="A1723" t="inlineStr">
        <is>
          <t>UA</t>
        </is>
      </c>
      <c r="B1723" t="n">
        <v>2025</v>
      </c>
      <c r="C1723" t="n">
        <v>2</v>
      </c>
      <c r="D1723" t="n">
        <v>57628</v>
      </c>
      <c r="E1723" t="n">
        <v>181</v>
      </c>
      <c r="F1723" t="n">
        <v>98</v>
      </c>
      <c r="G1723" t="n">
        <v>57349</v>
      </c>
      <c r="H1723" t="n">
        <v>46601</v>
      </c>
      <c r="I1723" t="n">
        <v>152527</v>
      </c>
      <c r="J1723" t="n">
        <v>1486751.300000001</v>
      </c>
      <c r="K1723" t="n">
        <v>56941</v>
      </c>
      <c r="L1723" t="n">
        <v>249320</v>
      </c>
      <c r="M1723" t="n">
        <v>195080</v>
      </c>
      <c r="N1723" t="n">
        <v>231583</v>
      </c>
      <c r="O1723" t="n">
        <v>46868</v>
      </c>
      <c r="P1723" t="n">
        <v>52</v>
      </c>
    </row>
    <row r="1724">
      <c r="A1724" t="inlineStr">
        <is>
          <t>UA</t>
        </is>
      </c>
      <c r="B1724" t="n">
        <v>2025</v>
      </c>
      <c r="C1724" t="n">
        <v>3</v>
      </c>
      <c r="D1724" t="n">
        <v>66994</v>
      </c>
      <c r="E1724" t="n">
        <v>212</v>
      </c>
      <c r="F1724" t="n">
        <v>165</v>
      </c>
      <c r="G1724" t="n">
        <v>66617</v>
      </c>
      <c r="H1724" t="n">
        <v>55062</v>
      </c>
      <c r="I1724" t="n">
        <v>121379</v>
      </c>
      <c r="J1724" t="n">
        <v>1731367.399999989</v>
      </c>
      <c r="K1724" t="n">
        <v>65858</v>
      </c>
      <c r="L1724" t="n">
        <v>304128</v>
      </c>
      <c r="M1724" t="n">
        <v>214753</v>
      </c>
      <c r="N1724" t="n">
        <v>237175</v>
      </c>
      <c r="O1724" t="n">
        <v>41423</v>
      </c>
      <c r="P1724" t="n">
        <v>129</v>
      </c>
    </row>
    <row r="1725">
      <c r="A1725" t="inlineStr">
        <is>
          <t>UA</t>
        </is>
      </c>
      <c r="B1725" t="n">
        <v>2025</v>
      </c>
      <c r="C1725" t="n">
        <v>4</v>
      </c>
      <c r="D1725" t="n">
        <v>64256</v>
      </c>
      <c r="E1725" t="n">
        <v>279</v>
      </c>
      <c r="F1725" t="n">
        <v>178</v>
      </c>
      <c r="G1725" t="n">
        <v>63799</v>
      </c>
      <c r="H1725" t="n">
        <v>52163</v>
      </c>
      <c r="I1725" t="n">
        <v>260209</v>
      </c>
      <c r="J1725" t="n">
        <v>1647465.099999991</v>
      </c>
      <c r="K1725" t="n">
        <v>63394</v>
      </c>
      <c r="L1725" t="n">
        <v>310244</v>
      </c>
      <c r="M1725" t="n">
        <v>206353</v>
      </c>
      <c r="N1725" t="n">
        <v>312686</v>
      </c>
      <c r="O1725" t="n">
        <v>34049</v>
      </c>
      <c r="P1725" t="n">
        <v>0</v>
      </c>
    </row>
    <row r="1726">
      <c r="A1726" t="inlineStr">
        <is>
          <t>UA</t>
        </is>
      </c>
      <c r="B1726" t="n">
        <v>2025</v>
      </c>
      <c r="C1726" t="n">
        <v>5</v>
      </c>
      <c r="D1726" t="n">
        <v>67807</v>
      </c>
      <c r="E1726" t="n">
        <v>603</v>
      </c>
      <c r="F1726" t="n">
        <v>191</v>
      </c>
      <c r="G1726" t="n">
        <v>67013</v>
      </c>
      <c r="H1726" t="n">
        <v>50634</v>
      </c>
      <c r="I1726" t="n">
        <v>746453</v>
      </c>
      <c r="J1726" t="n">
        <v>1648565.79999999</v>
      </c>
      <c r="K1726" t="n">
        <v>66554</v>
      </c>
      <c r="L1726" t="n">
        <v>407693</v>
      </c>
      <c r="M1726" t="n">
        <v>286678</v>
      </c>
      <c r="N1726" t="n">
        <v>496941</v>
      </c>
      <c r="O1726" t="n">
        <v>73018</v>
      </c>
      <c r="P1726" t="n">
        <v>42</v>
      </c>
    </row>
    <row r="1727">
      <c r="A1727" t="inlineStr">
        <is>
          <t>UA</t>
        </is>
      </c>
      <c r="B1727" t="n">
        <v>2025</v>
      </c>
      <c r="C1727" t="n">
        <v>6</v>
      </c>
      <c r="D1727" t="n">
        <v>66324</v>
      </c>
      <c r="E1727" t="n">
        <v>436</v>
      </c>
      <c r="F1727" t="n">
        <v>314</v>
      </c>
      <c r="G1727" t="n">
        <v>65574</v>
      </c>
      <c r="H1727" t="n">
        <v>48248</v>
      </c>
      <c r="I1727" t="n">
        <v>894194</v>
      </c>
      <c r="J1727" t="n">
        <v>1537101.299999997</v>
      </c>
      <c r="K1727" t="n">
        <v>65206</v>
      </c>
      <c r="L1727" t="n">
        <v>499912</v>
      </c>
      <c r="M1727" t="n">
        <v>330250</v>
      </c>
      <c r="N1727" t="n">
        <v>416238</v>
      </c>
      <c r="O1727" t="n">
        <v>91957</v>
      </c>
      <c r="P1727" t="n">
        <v>118</v>
      </c>
    </row>
    <row r="1728">
      <c r="A1728" t="inlineStr">
        <is>
          <t>UA</t>
        </is>
      </c>
      <c r="B1728" t="n">
        <v>2025</v>
      </c>
      <c r="C1728" t="n">
        <v>7</v>
      </c>
      <c r="D1728" t="n">
        <v>69788</v>
      </c>
      <c r="E1728" t="n">
        <v>1218</v>
      </c>
      <c r="F1728" t="n">
        <v>519</v>
      </c>
      <c r="G1728" t="n">
        <v>68051</v>
      </c>
      <c r="H1728" t="n">
        <v>47369</v>
      </c>
      <c r="I1728" t="n">
        <v>1374965</v>
      </c>
      <c r="J1728" t="n">
        <v>1619310.199999996</v>
      </c>
      <c r="K1728" t="n">
        <v>68724</v>
      </c>
      <c r="L1728" t="n">
        <v>712516</v>
      </c>
      <c r="M1728" t="n">
        <v>443061</v>
      </c>
      <c r="N1728" t="n">
        <v>506130</v>
      </c>
      <c r="O1728" t="n">
        <v>147134</v>
      </c>
      <c r="P1728" t="n">
        <v>241</v>
      </c>
    </row>
    <row r="1729">
      <c r="A1729" t="inlineStr">
        <is>
          <t>UA</t>
        </is>
      </c>
      <c r="B1729" t="n">
        <v>2025</v>
      </c>
      <c r="C1729" t="n">
        <v>8</v>
      </c>
      <c r="D1729" t="n">
        <v>68946</v>
      </c>
      <c r="E1729" t="n">
        <v>789</v>
      </c>
      <c r="F1729" t="n">
        <v>272</v>
      </c>
      <c r="G1729" t="n">
        <v>67885</v>
      </c>
      <c r="H1729" t="n">
        <v>51917</v>
      </c>
      <c r="I1729" t="n">
        <v>682239</v>
      </c>
      <c r="J1729" t="n">
        <v>1564075.100000002</v>
      </c>
      <c r="K1729" t="n">
        <v>67900</v>
      </c>
      <c r="L1729" t="n">
        <v>444799</v>
      </c>
      <c r="M1729" t="n">
        <v>344206</v>
      </c>
      <c r="N1729" t="n">
        <v>326522</v>
      </c>
      <c r="O1729" t="n">
        <v>60269</v>
      </c>
      <c r="P1729" t="n">
        <v>136</v>
      </c>
    </row>
    <row r="1730">
      <c r="A1730" t="inlineStr">
        <is>
          <t>UA</t>
        </is>
      </c>
      <c r="B1730" t="n">
        <v>2025</v>
      </c>
      <c r="C1730" t="n">
        <v>9</v>
      </c>
      <c r="D1730" t="n">
        <v>67550</v>
      </c>
      <c r="E1730" t="n">
        <v>176</v>
      </c>
      <c r="F1730" t="n">
        <v>143</v>
      </c>
      <c r="G1730" t="n">
        <v>67231</v>
      </c>
      <c r="H1730" t="n">
        <v>55813</v>
      </c>
      <c r="I1730" t="n">
        <v>151633</v>
      </c>
      <c r="J1730" t="n">
        <v>1523521.200000005</v>
      </c>
      <c r="K1730" t="n">
        <v>66415</v>
      </c>
      <c r="L1730" t="n">
        <v>267731</v>
      </c>
      <c r="M1730" t="n">
        <v>183562</v>
      </c>
      <c r="N1730" t="n">
        <v>239013</v>
      </c>
      <c r="O1730" t="n">
        <v>26178</v>
      </c>
      <c r="P1730" t="n">
        <v>0</v>
      </c>
    </row>
    <row r="1731">
      <c r="A1731" t="inlineStr">
        <is>
          <t>UA</t>
        </is>
      </c>
      <c r="B1731" t="n">
        <v>2025</v>
      </c>
      <c r="C1731" t="n">
        <v>10</v>
      </c>
      <c r="D1731" t="n">
        <v>71415</v>
      </c>
      <c r="E1731" t="n">
        <v>191</v>
      </c>
      <c r="F1731" t="n">
        <v>102</v>
      </c>
      <c r="G1731" t="n">
        <v>71122</v>
      </c>
      <c r="H1731" t="n">
        <v>57179</v>
      </c>
      <c r="I1731" t="n">
        <v>269269</v>
      </c>
      <c r="J1731" t="n">
        <v>1654481.300000006</v>
      </c>
      <c r="K1731" t="n">
        <v>70407</v>
      </c>
      <c r="L1731" t="n">
        <v>250915</v>
      </c>
      <c r="M1731" t="n">
        <v>208211</v>
      </c>
      <c r="N1731" t="n">
        <v>325440</v>
      </c>
      <c r="O1731" t="n">
        <v>13043</v>
      </c>
      <c r="P1731" t="n">
        <v>1</v>
      </c>
    </row>
    <row r="1732">
      <c r="A1732" t="inlineStr">
        <is>
          <t>UA</t>
        </is>
      </c>
      <c r="B1732" t="n">
        <v>2025</v>
      </c>
      <c r="C1732" t="n">
        <v>11</v>
      </c>
      <c r="D1732" t="n">
        <v>66691</v>
      </c>
      <c r="E1732" t="n">
        <v>993</v>
      </c>
      <c r="F1732" t="n">
        <v>83</v>
      </c>
      <c r="G1732" t="n">
        <v>65615</v>
      </c>
      <c r="H1732" t="n">
        <v>52042</v>
      </c>
      <c r="I1732" t="n">
        <v>501592</v>
      </c>
      <c r="J1732" t="n">
        <v>1660826.000000007</v>
      </c>
      <c r="K1732" t="n">
        <v>65752</v>
      </c>
      <c r="L1732" t="n">
        <v>375898</v>
      </c>
      <c r="M1732" t="n">
        <v>235908</v>
      </c>
      <c r="N1732" t="n">
        <v>416368</v>
      </c>
      <c r="O1732" t="n">
        <v>28429</v>
      </c>
      <c r="P1732" t="n">
        <v>0</v>
      </c>
    </row>
    <row r="1733">
      <c r="A1733" t="inlineStr">
        <is>
          <t>UA</t>
        </is>
      </c>
      <c r="B1733" t="n">
        <v>2025</v>
      </c>
      <c r="C1733" t="n">
        <v>12</v>
      </c>
      <c r="D1733" t="n">
        <v>65865</v>
      </c>
      <c r="E1733" t="n">
        <v>260</v>
      </c>
      <c r="F1733" t="n">
        <v>152</v>
      </c>
      <c r="G1733" t="n">
        <v>65453</v>
      </c>
      <c r="H1733" t="n">
        <v>50560</v>
      </c>
      <c r="I1733" t="n">
        <v>514196</v>
      </c>
      <c r="J1733" t="n">
        <v>1674995.200000002</v>
      </c>
      <c r="K1733" t="n">
        <v>64641</v>
      </c>
      <c r="L1733" t="n">
        <v>400591</v>
      </c>
      <c r="M1733" t="n">
        <v>265817</v>
      </c>
      <c r="N1733" t="n">
        <v>322747</v>
      </c>
      <c r="O1733" t="n">
        <v>40458</v>
      </c>
      <c r="P1733" t="n">
        <v>0</v>
      </c>
    </row>
    <row r="1734">
      <c r="A1734" t="inlineStr">
        <is>
          <t>UA</t>
        </is>
      </c>
      <c r="B1734" t="n">
        <v>2026</v>
      </c>
      <c r="C1734" t="n">
        <v>1</v>
      </c>
      <c r="D1734" t="n">
        <v>63781</v>
      </c>
      <c r="E1734" t="n">
        <v>1515</v>
      </c>
      <c r="F1734" t="n">
        <v>90</v>
      </c>
      <c r="G1734" t="n">
        <v>62176</v>
      </c>
      <c r="H1734" t="n">
        <v>51010</v>
      </c>
      <c r="I1734" t="n">
        <v>125355</v>
      </c>
      <c r="J1734" t="n">
        <v>1729150.599999999</v>
      </c>
      <c r="K1734" t="n">
        <v>62583</v>
      </c>
      <c r="L1734" t="n">
        <v>262567</v>
      </c>
      <c r="M1734" t="n">
        <v>226050</v>
      </c>
      <c r="N1734" t="n">
        <v>219194</v>
      </c>
      <c r="O1734" t="n">
        <v>41005</v>
      </c>
      <c r="P1734" t="n">
        <v>0</v>
      </c>
    </row>
    <row r="1735">
      <c r="A1735" t="inlineStr">
        <is>
          <t>UA</t>
        </is>
      </c>
      <c r="B1735" t="n">
        <v>2026</v>
      </c>
      <c r="C1735" t="n">
        <v>2</v>
      </c>
      <c r="D1735" t="n">
        <v>59806</v>
      </c>
      <c r="E1735" t="n">
        <v>962</v>
      </c>
      <c r="F1735" t="n">
        <v>104</v>
      </c>
      <c r="G1735" t="n">
        <v>58740</v>
      </c>
      <c r="H1735" t="n">
        <v>49461</v>
      </c>
      <c r="I1735" t="n">
        <v>-7822</v>
      </c>
      <c r="J1735" t="n">
        <v>1599213.500000003</v>
      </c>
      <c r="K1735" t="n">
        <v>58738</v>
      </c>
      <c r="L1735" t="n">
        <v>207221</v>
      </c>
      <c r="M1735" t="n">
        <v>173819</v>
      </c>
      <c r="N1735" t="n">
        <v>194101</v>
      </c>
      <c r="O1735" t="n">
        <v>24416</v>
      </c>
      <c r="P1735" t="n">
        <v>139</v>
      </c>
    </row>
    <row r="1736">
      <c r="A1736" t="inlineStr">
        <is>
          <t>UA</t>
        </is>
      </c>
      <c r="B1736" t="n">
        <v>2026</v>
      </c>
      <c r="C1736" t="n">
        <v>3</v>
      </c>
      <c r="D1736" t="n">
        <v>70757</v>
      </c>
      <c r="E1736" t="n">
        <v>1056</v>
      </c>
      <c r="F1736" t="n">
        <v>283</v>
      </c>
      <c r="G1736" t="n">
        <v>69418</v>
      </c>
      <c r="H1736" t="n">
        <v>54932</v>
      </c>
      <c r="I1736" t="n">
        <v>533006</v>
      </c>
      <c r="J1736" t="n">
        <v>1884596.999999996</v>
      </c>
      <c r="K1736" t="n">
        <v>68966</v>
      </c>
      <c r="L1736" t="n">
        <v>436463</v>
      </c>
      <c r="M1736" t="n">
        <v>296193</v>
      </c>
      <c r="N1736" t="n">
        <v>414231</v>
      </c>
      <c r="O1736" t="n">
        <v>54167</v>
      </c>
      <c r="P1736" t="n">
        <v>118</v>
      </c>
    </row>
    <row r="1737">
      <c r="A1737" t="inlineStr">
        <is>
          <t>UA</t>
        </is>
      </c>
      <c r="B1737" t="n">
        <v>2026</v>
      </c>
      <c r="C1737" t="n">
        <v>4</v>
      </c>
      <c r="D1737" t="n">
        <v>69451</v>
      </c>
      <c r="E1737" t="n">
        <v>375</v>
      </c>
      <c r="F1737" t="n">
        <v>171</v>
      </c>
      <c r="G1737" t="n">
        <v>68905</v>
      </c>
      <c r="H1737" t="n">
        <v>56890</v>
      </c>
      <c r="I1737" t="n">
        <v>121727</v>
      </c>
      <c r="J1737" t="n">
        <v>1868686.099999995</v>
      </c>
      <c r="K1737" t="n">
        <v>67955</v>
      </c>
      <c r="L1737" t="n">
        <v>266264</v>
      </c>
      <c r="M1737" t="n">
        <v>191484</v>
      </c>
      <c r="N1737" t="n">
        <v>310338</v>
      </c>
      <c r="O1737" t="n">
        <v>32597</v>
      </c>
      <c r="P1737" t="n">
        <v>317</v>
      </c>
    </row>
    <row r="1738">
      <c r="A1738" t="inlineStr">
        <is>
          <t>UA</t>
        </is>
      </c>
      <c r="B1738" t="n">
        <v>2026</v>
      </c>
      <c r="C1738" t="n">
        <v>5</v>
      </c>
      <c r="D1738" t="n">
        <v>74200</v>
      </c>
      <c r="E1738" t="n">
        <v>286</v>
      </c>
      <c r="F1738" t="n">
        <v>216</v>
      </c>
      <c r="G1738" t="n">
        <v>73698</v>
      </c>
      <c r="H1738" t="n">
        <v>58965</v>
      </c>
      <c r="I1738" t="n">
        <v>314071</v>
      </c>
      <c r="J1738" t="n">
        <v>1935147.499999996</v>
      </c>
      <c r="K1738" t="n">
        <v>72182</v>
      </c>
      <c r="L1738" t="n">
        <v>367325</v>
      </c>
      <c r="M1738" t="n">
        <v>237329</v>
      </c>
      <c r="N1738" t="n">
        <v>331868</v>
      </c>
      <c r="O1738" t="n">
        <v>37748</v>
      </c>
      <c r="P1738" t="n">
        <v>272</v>
      </c>
    </row>
    <row r="1739">
      <c r="A1739" t="inlineStr">
        <is>
          <t>UA</t>
        </is>
      </c>
      <c r="B1739" t="n">
        <v>2026</v>
      </c>
      <c r="C1739" t="n">
        <v>6</v>
      </c>
      <c r="D1739" t="n">
        <v>72791</v>
      </c>
      <c r="E1739" t="n">
        <v>452</v>
      </c>
      <c r="F1739" t="n">
        <v>294</v>
      </c>
      <c r="G1739" t="n">
        <v>72045</v>
      </c>
      <c r="H1739" t="n">
        <v>53821</v>
      </c>
      <c r="I1739" t="n">
        <v>841247</v>
      </c>
      <c r="J1739" t="n">
        <v>1849614.399999988</v>
      </c>
      <c r="K1739" t="n">
        <v>71267</v>
      </c>
      <c r="L1739" t="n">
        <v>507176</v>
      </c>
      <c r="M1739" t="n">
        <v>317808</v>
      </c>
      <c r="N1739" t="n">
        <v>490164</v>
      </c>
      <c r="O1739" t="n">
        <v>59457</v>
      </c>
      <c r="P1739" t="n">
        <v>80</v>
      </c>
    </row>
    <row r="1740">
      <c r="A1740" t="inlineStr">
        <is>
          <t>UA</t>
        </is>
      </c>
      <c r="B1740" t="n">
        <v>2026</v>
      </c>
      <c r="C1740" t="n">
        <v>7</v>
      </c>
      <c r="D1740" t="n">
        <v>74440</v>
      </c>
      <c r="E1740" t="n">
        <v>1455</v>
      </c>
      <c r="F1740" t="n">
        <v>539</v>
      </c>
      <c r="G1740" t="n">
        <v>72446</v>
      </c>
      <c r="H1740" t="n">
        <v>53194</v>
      </c>
      <c r="I1740" t="n">
        <v>1072272</v>
      </c>
      <c r="J1740" t="n">
        <v>1891741.799999998</v>
      </c>
      <c r="K1740" t="n">
        <v>72873</v>
      </c>
      <c r="L1740" t="n">
        <v>580668</v>
      </c>
      <c r="M1740" t="n">
        <v>413144</v>
      </c>
      <c r="N1740" t="n">
        <v>518722</v>
      </c>
      <c r="O1740" t="n">
        <v>90437</v>
      </c>
      <c r="P1740" t="n">
        <v>53</v>
      </c>
    </row>
    <row r="1741">
      <c r="A1741" t="inlineStr">
        <is>
          <t>US</t>
        </is>
      </c>
      <c r="B1741" t="n">
        <v>2015</v>
      </c>
      <c r="C1741" t="n">
        <v>1</v>
      </c>
      <c r="D1741" t="n">
        <v>33489</v>
      </c>
      <c r="E1741" t="n">
        <v>959</v>
      </c>
      <c r="F1741" t="n">
        <v>52</v>
      </c>
      <c r="G1741" t="n">
        <v>32478</v>
      </c>
      <c r="H1741" t="n">
        <v>26456</v>
      </c>
      <c r="I1741" t="n">
        <v>100924</v>
      </c>
      <c r="J1741" t="n">
        <v>568247.6000000001</v>
      </c>
      <c r="K1741" t="n">
        <v>33434</v>
      </c>
      <c r="L1741" t="n">
        <v>81147</v>
      </c>
      <c r="M1741" t="n">
        <v>100893</v>
      </c>
      <c r="N1741" t="n">
        <v>97172</v>
      </c>
      <c r="O1741" t="n">
        <v>7694</v>
      </c>
      <c r="P1741" t="n">
        <v>1011</v>
      </c>
    </row>
    <row r="1742">
      <c r="A1742" t="inlineStr">
        <is>
          <t>US</t>
        </is>
      </c>
      <c r="B1742" t="n">
        <v>2015</v>
      </c>
      <c r="C1742" t="n">
        <v>2</v>
      </c>
      <c r="D1742" t="n">
        <v>30153</v>
      </c>
      <c r="E1742" t="n">
        <v>1574</v>
      </c>
      <c r="F1742" t="n">
        <v>70</v>
      </c>
      <c r="G1742" t="n">
        <v>28509</v>
      </c>
      <c r="H1742" t="n">
        <v>21935</v>
      </c>
      <c r="I1742" t="n">
        <v>202826</v>
      </c>
      <c r="J1742" t="n">
        <v>520758.7000000007</v>
      </c>
      <c r="K1742" t="n">
        <v>30129</v>
      </c>
      <c r="L1742" t="n">
        <v>103793</v>
      </c>
      <c r="M1742" t="n">
        <v>122276</v>
      </c>
      <c r="N1742" t="n">
        <v>104675</v>
      </c>
      <c r="O1742" t="n">
        <v>20949</v>
      </c>
      <c r="P1742" t="n">
        <v>898</v>
      </c>
    </row>
    <row r="1743">
      <c r="A1743" t="inlineStr">
        <is>
          <t>US</t>
        </is>
      </c>
      <c r="B1743" t="n">
        <v>2015</v>
      </c>
      <c r="C1743" t="n">
        <v>3</v>
      </c>
      <c r="D1743" t="n">
        <v>34516</v>
      </c>
      <c r="E1743" t="n">
        <v>784</v>
      </c>
      <c r="F1743" t="n">
        <v>85</v>
      </c>
      <c r="G1743" t="n">
        <v>33647</v>
      </c>
      <c r="H1743" t="n">
        <v>27308</v>
      </c>
      <c r="I1743" t="n">
        <v>112071</v>
      </c>
      <c r="J1743" t="n">
        <v>607166.0000000002</v>
      </c>
      <c r="K1743" t="n">
        <v>34489</v>
      </c>
      <c r="L1743" t="n">
        <v>92508</v>
      </c>
      <c r="M1743" t="n">
        <v>99630</v>
      </c>
      <c r="N1743" t="n">
        <v>104742</v>
      </c>
      <c r="O1743" t="n">
        <v>10478</v>
      </c>
      <c r="P1743" t="n">
        <v>1248</v>
      </c>
    </row>
    <row r="1744">
      <c r="A1744" t="inlineStr">
        <is>
          <t>US</t>
        </is>
      </c>
      <c r="B1744" t="n">
        <v>2015</v>
      </c>
      <c r="C1744" t="n">
        <v>4</v>
      </c>
      <c r="D1744" t="n">
        <v>32496</v>
      </c>
      <c r="E1744" t="n">
        <v>196</v>
      </c>
      <c r="F1744" t="n">
        <v>49</v>
      </c>
      <c r="G1744" t="n">
        <v>32251</v>
      </c>
      <c r="H1744" t="n">
        <v>26515</v>
      </c>
      <c r="I1744" t="n">
        <v>85797</v>
      </c>
      <c r="J1744" t="n">
        <v>531378.5999999995</v>
      </c>
      <c r="K1744" t="n">
        <v>32491</v>
      </c>
      <c r="L1744" t="n">
        <v>67666</v>
      </c>
      <c r="M1744" t="n">
        <v>99408</v>
      </c>
      <c r="N1744" t="n">
        <v>86131</v>
      </c>
      <c r="O1744" t="n">
        <v>4827</v>
      </c>
      <c r="P1744" t="n">
        <v>536</v>
      </c>
    </row>
    <row r="1745">
      <c r="A1745" t="inlineStr">
        <is>
          <t>US</t>
        </is>
      </c>
      <c r="B1745" t="n">
        <v>2015</v>
      </c>
      <c r="C1745" t="n">
        <v>5</v>
      </c>
      <c r="D1745" t="n">
        <v>33761</v>
      </c>
      <c r="E1745" t="n">
        <v>232</v>
      </c>
      <c r="F1745" t="n">
        <v>80</v>
      </c>
      <c r="G1745" t="n">
        <v>33449</v>
      </c>
      <c r="H1745" t="n">
        <v>28522</v>
      </c>
      <c r="I1745" t="n">
        <v>22799</v>
      </c>
      <c r="J1745" t="n">
        <v>556763.5000000005</v>
      </c>
      <c r="K1745" t="n">
        <v>33659</v>
      </c>
      <c r="L1745" t="n">
        <v>69562</v>
      </c>
      <c r="M1745" t="n">
        <v>84559</v>
      </c>
      <c r="N1745" t="n">
        <v>82367</v>
      </c>
      <c r="O1745" t="n">
        <v>7565</v>
      </c>
      <c r="P1745" t="n">
        <v>786</v>
      </c>
    </row>
    <row r="1746">
      <c r="A1746" t="inlineStr">
        <is>
          <t>US</t>
        </is>
      </c>
      <c r="B1746" t="n">
        <v>2015</v>
      </c>
      <c r="C1746" t="n">
        <v>6</v>
      </c>
      <c r="D1746" t="n">
        <v>34300</v>
      </c>
      <c r="E1746" t="n">
        <v>322</v>
      </c>
      <c r="F1746" t="n">
        <v>89</v>
      </c>
      <c r="G1746" t="n">
        <v>33889</v>
      </c>
      <c r="H1746" t="n">
        <v>26938</v>
      </c>
      <c r="I1746" t="n">
        <v>195414</v>
      </c>
      <c r="J1746" t="n">
        <v>581550.3999999997</v>
      </c>
      <c r="K1746" t="n">
        <v>34288</v>
      </c>
      <c r="L1746" t="n">
        <v>108384</v>
      </c>
      <c r="M1746" t="n">
        <v>129556</v>
      </c>
      <c r="N1746" t="n">
        <v>126876</v>
      </c>
      <c r="O1746" t="n">
        <v>19044</v>
      </c>
      <c r="P1746" t="n">
        <v>1684</v>
      </c>
    </row>
    <row r="1747">
      <c r="A1747" t="inlineStr">
        <is>
          <t>VX</t>
        </is>
      </c>
      <c r="B1747" t="n">
        <v>2015</v>
      </c>
      <c r="C1747" t="n">
        <v>1</v>
      </c>
      <c r="D1747" t="n">
        <v>4731</v>
      </c>
      <c r="E1747" t="n">
        <v>80</v>
      </c>
      <c r="F1747" t="n">
        <v>4</v>
      </c>
      <c r="G1747" t="n">
        <v>4647</v>
      </c>
      <c r="H1747" t="n">
        <v>3891</v>
      </c>
      <c r="I1747" t="n">
        <v>6602</v>
      </c>
      <c r="J1747" t="n">
        <v>90808.60000000003</v>
      </c>
      <c r="K1747" t="n">
        <v>4731</v>
      </c>
      <c r="L1747" t="n">
        <v>12141</v>
      </c>
      <c r="M1747" t="n">
        <v>10001</v>
      </c>
      <c r="N1747" t="n">
        <v>14906</v>
      </c>
      <c r="O1747" t="n">
        <v>3951</v>
      </c>
      <c r="P1747" t="n">
        <v>152</v>
      </c>
    </row>
    <row r="1748">
      <c r="A1748" t="inlineStr">
        <is>
          <t>VX</t>
        </is>
      </c>
      <c r="B1748" t="n">
        <v>2015</v>
      </c>
      <c r="C1748" t="n">
        <v>2</v>
      </c>
      <c r="D1748" t="n">
        <v>4223</v>
      </c>
      <c r="E1748" t="n">
        <v>155</v>
      </c>
      <c r="F1748" t="n">
        <v>14</v>
      </c>
      <c r="G1748" t="n">
        <v>4054</v>
      </c>
      <c r="H1748" t="n">
        <v>3215</v>
      </c>
      <c r="I1748" t="n">
        <v>31558</v>
      </c>
      <c r="J1748" t="n">
        <v>81836.00000000001</v>
      </c>
      <c r="K1748" t="n">
        <v>4222</v>
      </c>
      <c r="L1748" t="n">
        <v>21339</v>
      </c>
      <c r="M1748" t="n">
        <v>9137</v>
      </c>
      <c r="N1748" t="n">
        <v>23867</v>
      </c>
      <c r="O1748" t="n">
        <v>3686</v>
      </c>
      <c r="P1748" t="n">
        <v>20</v>
      </c>
    </row>
    <row r="1749">
      <c r="A1749" t="inlineStr">
        <is>
          <t>VX</t>
        </is>
      </c>
      <c r="B1749" t="n">
        <v>2015</v>
      </c>
      <c r="C1749" t="n">
        <v>3</v>
      </c>
      <c r="D1749" t="n">
        <v>4873</v>
      </c>
      <c r="E1749" t="n">
        <v>57</v>
      </c>
      <c r="F1749" t="n">
        <v>20</v>
      </c>
      <c r="G1749" t="n">
        <v>4796</v>
      </c>
      <c r="H1749" t="n">
        <v>3845</v>
      </c>
      <c r="I1749" t="n">
        <v>25650</v>
      </c>
      <c r="J1749" t="n">
        <v>87205.79999999999</v>
      </c>
      <c r="K1749" t="n">
        <v>4869</v>
      </c>
      <c r="L1749" t="n">
        <v>21708</v>
      </c>
      <c r="M1749" t="n">
        <v>11845</v>
      </c>
      <c r="N1749" t="n">
        <v>19879</v>
      </c>
      <c r="O1749" t="n">
        <v>3680</v>
      </c>
      <c r="P1749" t="n">
        <v>85</v>
      </c>
    </row>
    <row r="1750">
      <c r="A1750" t="inlineStr">
        <is>
          <t>VX</t>
        </is>
      </c>
      <c r="B1750" t="n">
        <v>2015</v>
      </c>
      <c r="C1750" t="n">
        <v>4</v>
      </c>
      <c r="D1750" t="n">
        <v>4915</v>
      </c>
      <c r="E1750" t="n">
        <v>14</v>
      </c>
      <c r="F1750" t="n">
        <v>5</v>
      </c>
      <c r="G1750" t="n">
        <v>4896</v>
      </c>
      <c r="H1750" t="n">
        <v>4104</v>
      </c>
      <c r="I1750" t="n">
        <v>4874</v>
      </c>
      <c r="J1750" t="n">
        <v>86994.99999999994</v>
      </c>
      <c r="K1750" t="n">
        <v>4911</v>
      </c>
      <c r="L1750" t="n">
        <v>14478</v>
      </c>
      <c r="M1750" t="n">
        <v>8035</v>
      </c>
      <c r="N1750" t="n">
        <v>12807</v>
      </c>
      <c r="O1750" t="n">
        <v>4129</v>
      </c>
      <c r="P1750" t="n">
        <v>20</v>
      </c>
    </row>
    <row r="1751">
      <c r="A1751" t="inlineStr">
        <is>
          <t>VX</t>
        </is>
      </c>
      <c r="B1751" t="n">
        <v>2015</v>
      </c>
      <c r="C1751" t="n">
        <v>5</v>
      </c>
      <c r="D1751" t="n">
        <v>5236</v>
      </c>
      <c r="E1751" t="n">
        <v>30</v>
      </c>
      <c r="F1751" t="n">
        <v>11</v>
      </c>
      <c r="G1751" t="n">
        <v>5195</v>
      </c>
      <c r="H1751" t="n">
        <v>3979</v>
      </c>
      <c r="I1751" t="n">
        <v>36895</v>
      </c>
      <c r="J1751" t="n">
        <v>88165.40000000005</v>
      </c>
      <c r="K1751" t="n">
        <v>5235</v>
      </c>
      <c r="L1751" t="n">
        <v>24594</v>
      </c>
      <c r="M1751" t="n">
        <v>10328</v>
      </c>
      <c r="N1751" t="n">
        <v>26702</v>
      </c>
      <c r="O1751" t="n">
        <v>3693</v>
      </c>
      <c r="P1751" t="n">
        <v>84</v>
      </c>
    </row>
    <row r="1752">
      <c r="A1752" t="inlineStr">
        <is>
          <t>VX</t>
        </is>
      </c>
      <c r="B1752" t="n">
        <v>2015</v>
      </c>
      <c r="C1752" t="n">
        <v>6</v>
      </c>
      <c r="D1752" t="n">
        <v>5260</v>
      </c>
      <c r="E1752" t="n">
        <v>21</v>
      </c>
      <c r="F1752" t="n">
        <v>12</v>
      </c>
      <c r="G1752" t="n">
        <v>5227</v>
      </c>
      <c r="H1752" t="n">
        <v>4235</v>
      </c>
      <c r="I1752" t="n">
        <v>30209</v>
      </c>
      <c r="J1752" t="n">
        <v>80168.2</v>
      </c>
      <c r="K1752" t="n">
        <v>5260</v>
      </c>
      <c r="L1752" t="n">
        <v>20239</v>
      </c>
      <c r="M1752" t="n">
        <v>12205</v>
      </c>
      <c r="N1752" t="n">
        <v>19128</v>
      </c>
      <c r="O1752" t="n">
        <v>3681</v>
      </c>
      <c r="P1752" t="n">
        <v>88</v>
      </c>
    </row>
    <row r="1753">
      <c r="A1753" t="inlineStr">
        <is>
          <t>VX</t>
        </is>
      </c>
      <c r="B1753" t="n">
        <v>2015</v>
      </c>
      <c r="C1753" t="n">
        <v>7</v>
      </c>
      <c r="D1753" t="n">
        <v>5411</v>
      </c>
      <c r="E1753" t="n">
        <v>18</v>
      </c>
      <c r="F1753" t="n">
        <v>9</v>
      </c>
      <c r="G1753" t="n">
        <v>5384</v>
      </c>
      <c r="H1753" t="n">
        <v>4158</v>
      </c>
      <c r="I1753" t="n">
        <v>38419</v>
      </c>
      <c r="J1753" t="n">
        <v>82831.09999999995</v>
      </c>
      <c r="K1753" t="n">
        <v>5411</v>
      </c>
      <c r="L1753" t="n">
        <v>24173</v>
      </c>
      <c r="M1753" t="n">
        <v>11456</v>
      </c>
      <c r="N1753" t="n">
        <v>25046</v>
      </c>
      <c r="O1753" t="n">
        <v>2729</v>
      </c>
      <c r="P1753" t="n">
        <v>346</v>
      </c>
    </row>
    <row r="1754">
      <c r="A1754" t="inlineStr">
        <is>
          <t>VX</t>
        </is>
      </c>
      <c r="B1754" t="n">
        <v>2015</v>
      </c>
      <c r="C1754" t="n">
        <v>8</v>
      </c>
      <c r="D1754" t="n">
        <v>5688</v>
      </c>
      <c r="E1754" t="n">
        <v>24</v>
      </c>
      <c r="F1754" t="n">
        <v>6</v>
      </c>
      <c r="G1754" t="n">
        <v>5658</v>
      </c>
      <c r="H1754" t="n">
        <v>4585</v>
      </c>
      <c r="I1754" t="n">
        <v>28891</v>
      </c>
      <c r="J1754" t="n">
        <v>85354.70000000007</v>
      </c>
      <c r="K1754" t="n">
        <v>5646</v>
      </c>
      <c r="L1754" t="n">
        <v>23929</v>
      </c>
      <c r="M1754" t="n">
        <v>11877</v>
      </c>
      <c r="N1754" t="n">
        <v>20249</v>
      </c>
      <c r="O1754" t="n">
        <v>1307</v>
      </c>
      <c r="P1754" t="n">
        <v>169</v>
      </c>
    </row>
    <row r="1755">
      <c r="A1755" t="inlineStr">
        <is>
          <t>VX</t>
        </is>
      </c>
      <c r="B1755" t="n">
        <v>2015</v>
      </c>
      <c r="C1755" t="n">
        <v>9</v>
      </c>
      <c r="D1755" t="n">
        <v>5154</v>
      </c>
      <c r="E1755" t="n">
        <v>11</v>
      </c>
      <c r="F1755" t="n">
        <v>2</v>
      </c>
      <c r="G1755" t="n">
        <v>5141</v>
      </c>
      <c r="H1755" t="n">
        <v>4454</v>
      </c>
      <c r="I1755" t="n">
        <v>365</v>
      </c>
      <c r="J1755" t="n">
        <v>83409.60000000008</v>
      </c>
      <c r="K1755" t="n">
        <v>5153</v>
      </c>
      <c r="L1755" t="n">
        <v>10010</v>
      </c>
      <c r="M1755" t="n">
        <v>7936</v>
      </c>
      <c r="N1755" t="n">
        <v>10624</v>
      </c>
      <c r="O1755" t="n">
        <v>1638</v>
      </c>
      <c r="P1755" t="n">
        <v>97</v>
      </c>
    </row>
    <row r="1756">
      <c r="A1756" t="inlineStr">
        <is>
          <t>VX</t>
        </is>
      </c>
      <c r="B1756" t="n">
        <v>2015</v>
      </c>
      <c r="C1756" t="n">
        <v>10</v>
      </c>
      <c r="D1756" t="n">
        <v>5464</v>
      </c>
      <c r="E1756" t="n">
        <v>23</v>
      </c>
      <c r="F1756" t="n">
        <v>6</v>
      </c>
      <c r="G1756" t="n">
        <v>5435</v>
      </c>
      <c r="H1756" t="n">
        <v>4552</v>
      </c>
      <c r="I1756" t="n">
        <v>12252</v>
      </c>
      <c r="J1756" t="n">
        <v>97176.19999999997</v>
      </c>
      <c r="K1756" t="n">
        <v>5464</v>
      </c>
      <c r="L1756" t="n">
        <v>21466</v>
      </c>
      <c r="M1756" t="n">
        <v>12112</v>
      </c>
      <c r="N1756" t="n">
        <v>14759</v>
      </c>
      <c r="O1756" t="n">
        <v>1377</v>
      </c>
      <c r="P1756" t="n">
        <v>103</v>
      </c>
    </row>
    <row r="1757">
      <c r="A1757" t="inlineStr">
        <is>
          <t>VX</t>
        </is>
      </c>
      <c r="B1757" t="n">
        <v>2015</v>
      </c>
      <c r="C1757" t="n">
        <v>11</v>
      </c>
      <c r="D1757" t="n">
        <v>5414</v>
      </c>
      <c r="E1757" t="n">
        <v>57</v>
      </c>
      <c r="F1757" t="n">
        <v>12</v>
      </c>
      <c r="G1757" t="n">
        <v>5345</v>
      </c>
      <c r="H1757" t="n">
        <v>4520</v>
      </c>
      <c r="I1757" t="n">
        <v>622</v>
      </c>
      <c r="J1757" t="n">
        <v>105076.7000000001</v>
      </c>
      <c r="K1757" t="n">
        <v>5410</v>
      </c>
      <c r="L1757" t="n">
        <v>14631</v>
      </c>
      <c r="M1757" t="n">
        <v>11690</v>
      </c>
      <c r="N1757" t="n">
        <v>11190</v>
      </c>
      <c r="O1757" t="n">
        <v>2229</v>
      </c>
      <c r="P1757" t="n">
        <v>215</v>
      </c>
    </row>
    <row r="1758">
      <c r="A1758" t="inlineStr">
        <is>
          <t>VX</t>
        </is>
      </c>
      <c r="B1758" t="n">
        <v>2015</v>
      </c>
      <c r="C1758" t="n">
        <v>12</v>
      </c>
      <c r="D1758" t="n">
        <v>5534</v>
      </c>
      <c r="E1758" t="n">
        <v>44</v>
      </c>
      <c r="F1758" t="n">
        <v>20</v>
      </c>
      <c r="G1758" t="n">
        <v>5470</v>
      </c>
      <c r="H1758" t="n">
        <v>3932</v>
      </c>
      <c r="I1758" t="n">
        <v>73838</v>
      </c>
      <c r="J1758" t="n">
        <v>109989.8000000001</v>
      </c>
      <c r="K1758" t="n">
        <v>5534</v>
      </c>
      <c r="L1758" t="n">
        <v>46801</v>
      </c>
      <c r="M1758" t="n">
        <v>14088</v>
      </c>
      <c r="N1758" t="n">
        <v>40651</v>
      </c>
      <c r="O1758" t="n">
        <v>3164</v>
      </c>
      <c r="P1758" t="n">
        <v>447</v>
      </c>
    </row>
    <row r="1759">
      <c r="A1759" t="inlineStr">
        <is>
          <t>VX</t>
        </is>
      </c>
      <c r="B1759" t="n">
        <v>2016</v>
      </c>
      <c r="C1759" t="n">
        <v>1</v>
      </c>
      <c r="D1759" t="n">
        <v>5384</v>
      </c>
      <c r="E1759" t="n">
        <v>159</v>
      </c>
      <c r="F1759" t="n">
        <v>7</v>
      </c>
      <c r="G1759" t="n">
        <v>5218</v>
      </c>
      <c r="H1759" t="n">
        <v>4013</v>
      </c>
      <c r="I1759" t="n">
        <v>39739</v>
      </c>
      <c r="J1759" t="n">
        <v>106211.3</v>
      </c>
      <c r="K1759" t="n">
        <v>5380</v>
      </c>
      <c r="L1759" t="n">
        <v>28931</v>
      </c>
      <c r="M1759" t="n">
        <v>13105</v>
      </c>
      <c r="N1759" t="n">
        <v>31251</v>
      </c>
      <c r="O1759" t="n">
        <v>2296</v>
      </c>
      <c r="P1759" t="n">
        <v>81</v>
      </c>
    </row>
    <row r="1760">
      <c r="A1760" t="inlineStr">
        <is>
          <t>VX</t>
        </is>
      </c>
      <c r="B1760" t="n">
        <v>2016</v>
      </c>
      <c r="C1760" t="n">
        <v>2</v>
      </c>
      <c r="D1760" t="n">
        <v>4941</v>
      </c>
      <c r="E1760" t="n">
        <v>38</v>
      </c>
      <c r="F1760" t="n">
        <v>9</v>
      </c>
      <c r="G1760" t="n">
        <v>4894</v>
      </c>
      <c r="H1760" t="n">
        <v>4180</v>
      </c>
      <c r="I1760" t="n">
        <v>6141</v>
      </c>
      <c r="J1760" t="n">
        <v>97010.20000000004</v>
      </c>
      <c r="K1760" t="n">
        <v>4938</v>
      </c>
      <c r="L1760" t="n">
        <v>16607</v>
      </c>
      <c r="M1760" t="n">
        <v>8812</v>
      </c>
      <c r="N1760" t="n">
        <v>17813</v>
      </c>
      <c r="O1760" t="n">
        <v>3913</v>
      </c>
      <c r="P1760" t="n">
        <v>264</v>
      </c>
    </row>
    <row r="1761">
      <c r="A1761" t="inlineStr">
        <is>
          <t>VX</t>
        </is>
      </c>
      <c r="B1761" t="n">
        <v>2016</v>
      </c>
      <c r="C1761" t="n">
        <v>3</v>
      </c>
      <c r="D1761" t="n">
        <v>5635</v>
      </c>
      <c r="E1761" t="n">
        <v>68</v>
      </c>
      <c r="F1761" t="n">
        <v>9</v>
      </c>
      <c r="G1761" t="n">
        <v>5558</v>
      </c>
      <c r="H1761" t="n">
        <v>4156</v>
      </c>
      <c r="I1761" t="n">
        <v>60660</v>
      </c>
      <c r="J1761" t="n">
        <v>102422.1</v>
      </c>
      <c r="K1761" t="n">
        <v>5632</v>
      </c>
      <c r="L1761" t="n">
        <v>36479</v>
      </c>
      <c r="M1761" t="n">
        <v>14177</v>
      </c>
      <c r="N1761" t="n">
        <v>37953</v>
      </c>
      <c r="O1761" t="n">
        <v>2714</v>
      </c>
      <c r="P1761" t="n">
        <v>169</v>
      </c>
    </row>
    <row r="1762">
      <c r="A1762" t="inlineStr">
        <is>
          <t>VX</t>
        </is>
      </c>
      <c r="B1762" t="n">
        <v>2016</v>
      </c>
      <c r="C1762" t="n">
        <v>4</v>
      </c>
      <c r="D1762" t="n">
        <v>5644</v>
      </c>
      <c r="E1762" t="n">
        <v>45</v>
      </c>
      <c r="F1762" t="n">
        <v>6</v>
      </c>
      <c r="G1762" t="n">
        <v>5593</v>
      </c>
      <c r="H1762" t="n">
        <v>4314</v>
      </c>
      <c r="I1762" t="n">
        <v>31998</v>
      </c>
      <c r="J1762" t="n">
        <v>100932.6999999999</v>
      </c>
      <c r="K1762" t="n">
        <v>5644</v>
      </c>
      <c r="L1762" t="n">
        <v>26497</v>
      </c>
      <c r="M1762" t="n">
        <v>11949</v>
      </c>
      <c r="N1762" t="n">
        <v>22712</v>
      </c>
      <c r="O1762" t="n">
        <v>3228</v>
      </c>
      <c r="P1762" t="n">
        <v>312</v>
      </c>
    </row>
    <row r="1763">
      <c r="A1763" t="inlineStr">
        <is>
          <t>VX</t>
        </is>
      </c>
      <c r="B1763" t="n">
        <v>2016</v>
      </c>
      <c r="C1763" t="n">
        <v>5</v>
      </c>
      <c r="D1763" t="n">
        <v>5847</v>
      </c>
      <c r="E1763" t="n">
        <v>40</v>
      </c>
      <c r="F1763" t="n">
        <v>12</v>
      </c>
      <c r="G1763" t="n">
        <v>5795</v>
      </c>
      <c r="H1763" t="n">
        <v>4484</v>
      </c>
      <c r="I1763" t="n">
        <v>42918</v>
      </c>
      <c r="J1763" t="n">
        <v>103644.9000000001</v>
      </c>
      <c r="K1763" t="n">
        <v>5847</v>
      </c>
      <c r="L1763" t="n">
        <v>29315</v>
      </c>
      <c r="M1763" t="n">
        <v>16731</v>
      </c>
      <c r="N1763" t="n">
        <v>23752</v>
      </c>
      <c r="O1763" t="n">
        <v>3280</v>
      </c>
      <c r="P1763" t="n">
        <v>122</v>
      </c>
    </row>
    <row r="1764">
      <c r="A1764" t="inlineStr">
        <is>
          <t>VX</t>
        </is>
      </c>
      <c r="B1764" t="n">
        <v>2016</v>
      </c>
      <c r="C1764" t="n">
        <v>6</v>
      </c>
      <c r="D1764" t="n">
        <v>5919</v>
      </c>
      <c r="E1764" t="n">
        <v>71</v>
      </c>
      <c r="F1764" t="n">
        <v>15</v>
      </c>
      <c r="G1764" t="n">
        <v>5833</v>
      </c>
      <c r="H1764" t="n">
        <v>4295</v>
      </c>
      <c r="I1764" t="n">
        <v>56692</v>
      </c>
      <c r="J1764" t="n">
        <v>95410.20000000026</v>
      </c>
      <c r="K1764" t="n">
        <v>5917</v>
      </c>
      <c r="L1764" t="n">
        <v>31387</v>
      </c>
      <c r="M1764" t="n">
        <v>19628</v>
      </c>
      <c r="N1764" t="n">
        <v>22243</v>
      </c>
      <c r="O1764" t="n">
        <v>4356</v>
      </c>
      <c r="P1764" t="n">
        <v>1107</v>
      </c>
    </row>
    <row r="1765">
      <c r="A1765" t="inlineStr">
        <is>
          <t>VX</t>
        </is>
      </c>
      <c r="B1765" t="n">
        <v>2016</v>
      </c>
      <c r="C1765" t="n">
        <v>7</v>
      </c>
      <c r="D1765" t="n">
        <v>6100</v>
      </c>
      <c r="E1765" t="n">
        <v>32</v>
      </c>
      <c r="F1765" t="n">
        <v>19</v>
      </c>
      <c r="G1765" t="n">
        <v>6049</v>
      </c>
      <c r="H1765" t="n">
        <v>4602</v>
      </c>
      <c r="I1765" t="n">
        <v>53758</v>
      </c>
      <c r="J1765" t="n">
        <v>98810.90000000024</v>
      </c>
      <c r="K1765" t="n">
        <v>6100</v>
      </c>
      <c r="L1765" t="n">
        <v>30058</v>
      </c>
      <c r="M1765" t="n">
        <v>18937</v>
      </c>
      <c r="N1765" t="n">
        <v>27440</v>
      </c>
      <c r="O1765" t="n">
        <v>4044</v>
      </c>
      <c r="P1765" t="n">
        <v>130</v>
      </c>
    </row>
    <row r="1766">
      <c r="A1766" t="inlineStr">
        <is>
          <t>VX</t>
        </is>
      </c>
      <c r="B1766" t="n">
        <v>2016</v>
      </c>
      <c r="C1766" t="n">
        <v>8</v>
      </c>
      <c r="D1766" t="n">
        <v>6071</v>
      </c>
      <c r="E1766" t="n">
        <v>17</v>
      </c>
      <c r="F1766" t="n">
        <v>7</v>
      </c>
      <c r="G1766" t="n">
        <v>6047</v>
      </c>
      <c r="H1766" t="n">
        <v>4486</v>
      </c>
      <c r="I1766" t="n">
        <v>52268</v>
      </c>
      <c r="J1766" t="n">
        <v>97985.30000000025</v>
      </c>
      <c r="K1766" t="n">
        <v>6071</v>
      </c>
      <c r="L1766" t="n">
        <v>28099</v>
      </c>
      <c r="M1766" t="n">
        <v>16205</v>
      </c>
      <c r="N1766" t="n">
        <v>29260</v>
      </c>
      <c r="O1766" t="n">
        <v>3086</v>
      </c>
      <c r="P1766" t="n">
        <v>346</v>
      </c>
    </row>
    <row r="1767">
      <c r="A1767" t="inlineStr">
        <is>
          <t>VX</t>
        </is>
      </c>
      <c r="B1767" t="n">
        <v>2016</v>
      </c>
      <c r="C1767" t="n">
        <v>9</v>
      </c>
      <c r="D1767" t="n">
        <v>5726</v>
      </c>
      <c r="E1767" t="n">
        <v>18</v>
      </c>
      <c r="F1767" t="n">
        <v>4</v>
      </c>
      <c r="G1767" t="n">
        <v>5704</v>
      </c>
      <c r="H1767" t="n">
        <v>4711</v>
      </c>
      <c r="I1767" t="n">
        <v>15045</v>
      </c>
      <c r="J1767" t="n">
        <v>92320.19999999992</v>
      </c>
      <c r="K1767" t="n">
        <v>5726</v>
      </c>
      <c r="L1767" t="n">
        <v>17983</v>
      </c>
      <c r="M1767" t="n">
        <v>10510</v>
      </c>
      <c r="N1767" t="n">
        <v>15377</v>
      </c>
      <c r="O1767" t="n">
        <v>3010</v>
      </c>
      <c r="P1767" t="n">
        <v>614</v>
      </c>
    </row>
    <row r="1768">
      <c r="A1768" t="inlineStr">
        <is>
          <t>VX</t>
        </is>
      </c>
      <c r="B1768" t="n">
        <v>2016</v>
      </c>
      <c r="C1768" t="n">
        <v>10</v>
      </c>
      <c r="D1768" t="n">
        <v>5854</v>
      </c>
      <c r="E1768" t="n">
        <v>70</v>
      </c>
      <c r="F1768" t="n">
        <v>16</v>
      </c>
      <c r="G1768" t="n">
        <v>5768</v>
      </c>
      <c r="H1768" t="n">
        <v>4465</v>
      </c>
      <c r="I1768" t="n">
        <v>54682</v>
      </c>
      <c r="J1768" t="n">
        <v>97177.70000000008</v>
      </c>
      <c r="K1768" t="n">
        <v>5854</v>
      </c>
      <c r="L1768" t="n">
        <v>29291</v>
      </c>
      <c r="M1768" t="n">
        <v>10477</v>
      </c>
      <c r="N1768" t="n">
        <v>43483</v>
      </c>
      <c r="O1768" t="n">
        <v>2931</v>
      </c>
      <c r="P1768" t="n">
        <v>169</v>
      </c>
    </row>
    <row r="1769">
      <c r="A1769" t="inlineStr">
        <is>
          <t>VX</t>
        </is>
      </c>
      <c r="B1769" t="n">
        <v>2016</v>
      </c>
      <c r="C1769" t="n">
        <v>11</v>
      </c>
      <c r="D1769" t="n">
        <v>5917</v>
      </c>
      <c r="E1769" t="n">
        <v>13</v>
      </c>
      <c r="F1769" t="n">
        <v>2</v>
      </c>
      <c r="G1769" t="n">
        <v>5902</v>
      </c>
      <c r="H1769" t="n">
        <v>4819</v>
      </c>
      <c r="I1769" t="n">
        <v>4790</v>
      </c>
      <c r="J1769" t="n">
        <v>105021.6999999999</v>
      </c>
      <c r="K1769" t="n">
        <v>5898</v>
      </c>
      <c r="L1769" t="n">
        <v>18218</v>
      </c>
      <c r="M1769" t="n">
        <v>11302</v>
      </c>
      <c r="N1769" t="n">
        <v>17878</v>
      </c>
      <c r="O1769" t="n">
        <v>3588</v>
      </c>
      <c r="P1769" t="n">
        <v>65</v>
      </c>
    </row>
    <row r="1770">
      <c r="A1770" t="inlineStr">
        <is>
          <t>VX</t>
        </is>
      </c>
      <c r="B1770" t="n">
        <v>2016</v>
      </c>
      <c r="C1770" t="n">
        <v>12</v>
      </c>
      <c r="D1770" t="n">
        <v>6083</v>
      </c>
      <c r="E1770" t="n">
        <v>98</v>
      </c>
      <c r="F1770" t="n">
        <v>89</v>
      </c>
      <c r="G1770" t="n">
        <v>5896</v>
      </c>
      <c r="H1770" t="n">
        <v>4155</v>
      </c>
      <c r="I1770" t="n">
        <v>83342</v>
      </c>
      <c r="J1770" t="n">
        <v>110638.1000000001</v>
      </c>
      <c r="K1770" t="n">
        <v>6082</v>
      </c>
      <c r="L1770" t="n">
        <v>51002</v>
      </c>
      <c r="M1770" t="n">
        <v>20335</v>
      </c>
      <c r="N1770" t="n">
        <v>35832</v>
      </c>
      <c r="O1770" t="n">
        <v>7755</v>
      </c>
      <c r="P1770" t="n">
        <v>276</v>
      </c>
    </row>
    <row r="1771">
      <c r="A1771" t="inlineStr">
        <is>
          <t>VX</t>
        </is>
      </c>
      <c r="B1771" t="n">
        <v>2017</v>
      </c>
      <c r="C1771" t="n">
        <v>1</v>
      </c>
      <c r="D1771" t="n">
        <v>5782</v>
      </c>
      <c r="E1771" t="n">
        <v>137</v>
      </c>
      <c r="F1771" t="n">
        <v>77</v>
      </c>
      <c r="G1771" t="n">
        <v>5568</v>
      </c>
      <c r="H1771" t="n">
        <v>3694</v>
      </c>
      <c r="I1771" t="n">
        <v>86671</v>
      </c>
      <c r="J1771" t="n">
        <v>104398.0000000001</v>
      </c>
      <c r="K1771" t="n">
        <v>5782</v>
      </c>
      <c r="L1771" t="n">
        <v>46317</v>
      </c>
      <c r="M1771" t="n">
        <v>17445</v>
      </c>
      <c r="N1771" t="n">
        <v>47026</v>
      </c>
      <c r="O1771" t="n">
        <v>6264</v>
      </c>
      <c r="P1771" t="n">
        <v>78</v>
      </c>
    </row>
    <row r="1772">
      <c r="A1772" t="inlineStr">
        <is>
          <t>VX</t>
        </is>
      </c>
      <c r="B1772" t="n">
        <v>2017</v>
      </c>
      <c r="C1772" t="n">
        <v>2</v>
      </c>
      <c r="D1772" t="n">
        <v>5140</v>
      </c>
      <c r="E1772" t="n">
        <v>180</v>
      </c>
      <c r="F1772" t="n">
        <v>40</v>
      </c>
      <c r="G1772" t="n">
        <v>4920</v>
      </c>
      <c r="H1772" t="n">
        <v>3321</v>
      </c>
      <c r="I1772" t="n">
        <v>73379</v>
      </c>
      <c r="J1772" t="n">
        <v>92405.99999999997</v>
      </c>
      <c r="K1772" t="n">
        <v>5140</v>
      </c>
      <c r="L1772" t="n">
        <v>31262</v>
      </c>
      <c r="M1772" t="n">
        <v>11092</v>
      </c>
      <c r="N1772" t="n">
        <v>47519</v>
      </c>
      <c r="O1772" t="n">
        <v>7663</v>
      </c>
      <c r="P1772" t="n">
        <v>143</v>
      </c>
    </row>
    <row r="1773">
      <c r="A1773" t="inlineStr">
        <is>
          <t>VX</t>
        </is>
      </c>
      <c r="B1773" t="n">
        <v>2017</v>
      </c>
      <c r="C1773" t="n">
        <v>3</v>
      </c>
      <c r="D1773" t="n">
        <v>5816</v>
      </c>
      <c r="E1773" t="n">
        <v>143</v>
      </c>
      <c r="F1773" t="n">
        <v>12</v>
      </c>
      <c r="G1773" t="n">
        <v>5661</v>
      </c>
      <c r="H1773" t="n">
        <v>3810</v>
      </c>
      <c r="I1773" t="n">
        <v>87273</v>
      </c>
      <c r="J1773" t="n">
        <v>97756.10000000008</v>
      </c>
      <c r="K1773" t="n">
        <v>5816</v>
      </c>
      <c r="L1773" t="n">
        <v>40898</v>
      </c>
      <c r="M1773" t="n">
        <v>14656</v>
      </c>
      <c r="N1773" t="n">
        <v>46911</v>
      </c>
      <c r="O1773" t="n">
        <v>4238</v>
      </c>
      <c r="P1773" t="n">
        <v>192</v>
      </c>
    </row>
    <row r="1774">
      <c r="A1774" t="inlineStr">
        <is>
          <t>VX</t>
        </is>
      </c>
      <c r="B1774" t="n">
        <v>2017</v>
      </c>
      <c r="C1774" t="n">
        <v>4</v>
      </c>
      <c r="D1774" t="n">
        <v>5597</v>
      </c>
      <c r="E1774" t="n">
        <v>94</v>
      </c>
      <c r="F1774" t="n">
        <v>6</v>
      </c>
      <c r="G1774" t="n">
        <v>5497</v>
      </c>
      <c r="H1774" t="n">
        <v>3617</v>
      </c>
      <c r="I1774" t="n">
        <v>103004</v>
      </c>
      <c r="J1774" t="n">
        <v>94559.90000000011</v>
      </c>
      <c r="K1774" t="n">
        <v>5597</v>
      </c>
      <c r="L1774" t="n">
        <v>42734</v>
      </c>
      <c r="M1774" t="n">
        <v>13136</v>
      </c>
      <c r="N1774" t="n">
        <v>65879</v>
      </c>
      <c r="O1774" t="n">
        <v>4326</v>
      </c>
      <c r="P1774" t="n">
        <v>996</v>
      </c>
    </row>
    <row r="1775">
      <c r="A1775" t="inlineStr">
        <is>
          <t>VX</t>
        </is>
      </c>
      <c r="B1775" t="n">
        <v>2017</v>
      </c>
      <c r="C1775" t="n">
        <v>5</v>
      </c>
      <c r="D1775" t="n">
        <v>5894</v>
      </c>
      <c r="E1775" t="n">
        <v>107</v>
      </c>
      <c r="F1775" t="n">
        <v>8</v>
      </c>
      <c r="G1775" t="n">
        <v>5779</v>
      </c>
      <c r="H1775" t="n">
        <v>3462</v>
      </c>
      <c r="I1775" t="n">
        <v>120249</v>
      </c>
      <c r="J1775" t="n">
        <v>107288.5000000001</v>
      </c>
      <c r="K1775" t="n">
        <v>5894</v>
      </c>
      <c r="L1775" t="n">
        <v>52785</v>
      </c>
      <c r="M1775" t="n">
        <v>17125</v>
      </c>
      <c r="N1775" t="n">
        <v>69070</v>
      </c>
      <c r="O1775" t="n">
        <v>1414</v>
      </c>
      <c r="P1775" t="n">
        <v>312</v>
      </c>
    </row>
    <row r="1776">
      <c r="A1776" t="inlineStr">
        <is>
          <t>VX</t>
        </is>
      </c>
      <c r="B1776" t="n">
        <v>2017</v>
      </c>
      <c r="C1776" t="n">
        <v>6</v>
      </c>
      <c r="D1776" t="n">
        <v>5970</v>
      </c>
      <c r="E1776" t="n">
        <v>67</v>
      </c>
      <c r="F1776" t="n">
        <v>12</v>
      </c>
      <c r="G1776" t="n">
        <v>5891</v>
      </c>
      <c r="H1776" t="n">
        <v>4011</v>
      </c>
      <c r="I1776" t="n">
        <v>83144</v>
      </c>
      <c r="J1776" t="n">
        <v>114131.5000000003</v>
      </c>
      <c r="K1776" t="n">
        <v>5970</v>
      </c>
      <c r="L1776" t="n">
        <v>43321</v>
      </c>
      <c r="M1776" t="n">
        <v>22857</v>
      </c>
      <c r="N1776" t="n">
        <v>43013</v>
      </c>
      <c r="O1776" t="n">
        <v>1560</v>
      </c>
      <c r="P1776" t="n">
        <v>451</v>
      </c>
    </row>
    <row r="1777">
      <c r="A1777" t="inlineStr">
        <is>
          <t>VX</t>
        </is>
      </c>
      <c r="B1777" t="n">
        <v>2017</v>
      </c>
      <c r="C1777" t="n">
        <v>7</v>
      </c>
      <c r="D1777" t="n">
        <v>6134</v>
      </c>
      <c r="E1777" t="n">
        <v>19</v>
      </c>
      <c r="F1777" t="n">
        <v>8</v>
      </c>
      <c r="G1777" t="n">
        <v>6107</v>
      </c>
      <c r="H1777" t="n">
        <v>4646</v>
      </c>
      <c r="I1777" t="n">
        <v>37047</v>
      </c>
      <c r="J1777" t="n">
        <v>116952.3000000003</v>
      </c>
      <c r="K1777" t="n">
        <v>6134</v>
      </c>
      <c r="L1777" t="n">
        <v>27198</v>
      </c>
      <c r="M1777" t="n">
        <v>14498</v>
      </c>
      <c r="N1777" t="n">
        <v>32791</v>
      </c>
      <c r="O1777" t="n">
        <v>2436</v>
      </c>
      <c r="P1777" t="n">
        <v>276</v>
      </c>
    </row>
    <row r="1778">
      <c r="A1778" t="inlineStr">
        <is>
          <t>VX</t>
        </is>
      </c>
      <c r="B1778" t="n">
        <v>2017</v>
      </c>
      <c r="C1778" t="n">
        <v>8</v>
      </c>
      <c r="D1778" t="n">
        <v>6150</v>
      </c>
      <c r="E1778" t="n">
        <v>35</v>
      </c>
      <c r="F1778" t="n">
        <v>15</v>
      </c>
      <c r="G1778" t="n">
        <v>6100</v>
      </c>
      <c r="H1778" t="n">
        <v>4100</v>
      </c>
      <c r="I1778" t="n">
        <v>86398</v>
      </c>
      <c r="J1778" t="n">
        <v>114554.6000000003</v>
      </c>
      <c r="K1778" t="n">
        <v>6150</v>
      </c>
      <c r="L1778" t="n">
        <v>44209</v>
      </c>
      <c r="M1778" t="n">
        <v>18203</v>
      </c>
      <c r="N1778" t="n">
        <v>54304</v>
      </c>
      <c r="O1778" t="n">
        <v>1683</v>
      </c>
      <c r="P1778" t="n">
        <v>245</v>
      </c>
    </row>
    <row r="1779">
      <c r="A1779" t="inlineStr">
        <is>
          <t>VX</t>
        </is>
      </c>
      <c r="B1779" t="n">
        <v>2017</v>
      </c>
      <c r="C1779" t="n">
        <v>9</v>
      </c>
      <c r="D1779" t="n">
        <v>5808</v>
      </c>
      <c r="E1779" t="n">
        <v>53</v>
      </c>
      <c r="F1779" t="n">
        <v>11</v>
      </c>
      <c r="G1779" t="n">
        <v>5744</v>
      </c>
      <c r="H1779" t="n">
        <v>4497</v>
      </c>
      <c r="I1779" t="n">
        <v>24939</v>
      </c>
      <c r="J1779" t="n">
        <v>110760.4</v>
      </c>
      <c r="K1779" t="n">
        <v>5808</v>
      </c>
      <c r="L1779" t="n">
        <v>23258</v>
      </c>
      <c r="M1779" t="n">
        <v>13557</v>
      </c>
      <c r="N1779" t="n">
        <v>29210</v>
      </c>
      <c r="O1779" t="n">
        <v>1384</v>
      </c>
      <c r="P1779" t="n">
        <v>423</v>
      </c>
    </row>
    <row r="1780">
      <c r="A1780" t="inlineStr">
        <is>
          <t>VX</t>
        </is>
      </c>
      <c r="B1780" t="n">
        <v>2017</v>
      </c>
      <c r="C1780" t="n">
        <v>10</v>
      </c>
      <c r="D1780" t="n">
        <v>6246</v>
      </c>
      <c r="E1780" t="n">
        <v>97</v>
      </c>
      <c r="F1780" t="n">
        <v>12</v>
      </c>
      <c r="G1780" t="n">
        <v>6137</v>
      </c>
      <c r="H1780" t="n">
        <v>4577</v>
      </c>
      <c r="I1780" t="n">
        <v>61531</v>
      </c>
      <c r="J1780" t="n">
        <v>125751.7999999998</v>
      </c>
      <c r="K1780" t="n">
        <v>6234</v>
      </c>
      <c r="L1780" t="n">
        <v>36278</v>
      </c>
      <c r="M1780" t="n">
        <v>16072</v>
      </c>
      <c r="N1780" t="n">
        <v>48328</v>
      </c>
      <c r="O1780" t="n">
        <v>1364</v>
      </c>
      <c r="P1780" t="n">
        <v>130</v>
      </c>
    </row>
    <row r="1781">
      <c r="A1781" t="inlineStr">
        <is>
          <t>VX</t>
        </is>
      </c>
      <c r="B1781" t="n">
        <v>2017</v>
      </c>
      <c r="C1781" t="n">
        <v>11</v>
      </c>
      <c r="D1781" t="n">
        <v>6135</v>
      </c>
      <c r="E1781" t="n">
        <v>77</v>
      </c>
      <c r="F1781" t="n">
        <v>36</v>
      </c>
      <c r="G1781" t="n">
        <v>6022</v>
      </c>
      <c r="H1781" t="n">
        <v>4754</v>
      </c>
      <c r="I1781" t="n">
        <v>18470</v>
      </c>
      <c r="J1781" t="n">
        <v>138229.7</v>
      </c>
      <c r="K1781" t="n">
        <v>6125</v>
      </c>
      <c r="L1781" t="n">
        <v>21523</v>
      </c>
      <c r="M1781" t="n">
        <v>13005</v>
      </c>
      <c r="N1781" t="n">
        <v>29064</v>
      </c>
      <c r="O1781" t="n">
        <v>1824</v>
      </c>
      <c r="P1781" t="n">
        <v>468</v>
      </c>
    </row>
    <row r="1782">
      <c r="A1782" t="inlineStr">
        <is>
          <t>VX</t>
        </is>
      </c>
      <c r="B1782" t="n">
        <v>2017</v>
      </c>
      <c r="C1782" t="n">
        <v>12</v>
      </c>
      <c r="D1782" t="n">
        <v>6306</v>
      </c>
      <c r="E1782" t="n">
        <v>21</v>
      </c>
      <c r="F1782" t="n">
        <v>29</v>
      </c>
      <c r="G1782" t="n">
        <v>6256</v>
      </c>
      <c r="H1782" t="n">
        <v>5202</v>
      </c>
      <c r="I1782" t="n">
        <v>-5183</v>
      </c>
      <c r="J1782" t="n">
        <v>149893.1999999998</v>
      </c>
      <c r="K1782" t="n">
        <v>6306</v>
      </c>
      <c r="L1782" t="n">
        <v>16007</v>
      </c>
      <c r="M1782" t="n">
        <v>17739</v>
      </c>
      <c r="N1782" t="n">
        <v>16792</v>
      </c>
      <c r="O1782" t="n">
        <v>442</v>
      </c>
      <c r="P1782" t="n">
        <v>275</v>
      </c>
    </row>
    <row r="1783">
      <c r="A1783" t="inlineStr">
        <is>
          <t>VX</t>
        </is>
      </c>
      <c r="B1783" t="n">
        <v>2018</v>
      </c>
      <c r="C1783" t="n">
        <v>1</v>
      </c>
      <c r="D1783" t="n">
        <v>5824</v>
      </c>
      <c r="E1783" t="n">
        <v>103</v>
      </c>
      <c r="F1783" t="n">
        <v>6</v>
      </c>
      <c r="G1783" t="n">
        <v>5715</v>
      </c>
      <c r="H1783" t="n">
        <v>4804</v>
      </c>
      <c r="I1783" t="n">
        <v>-15737</v>
      </c>
      <c r="J1783" t="n">
        <v>145580.4999999998</v>
      </c>
      <c r="K1783" t="n">
        <v>5824</v>
      </c>
      <c r="L1783" t="n">
        <v>10033</v>
      </c>
      <c r="M1783" t="n">
        <v>13030</v>
      </c>
      <c r="N1783" t="n">
        <v>21525</v>
      </c>
      <c r="O1783" t="n">
        <v>768</v>
      </c>
      <c r="P1783" t="n">
        <v>274</v>
      </c>
    </row>
    <row r="1784">
      <c r="A1784" t="inlineStr">
        <is>
          <t>VX</t>
        </is>
      </c>
      <c r="B1784" t="n">
        <v>2018</v>
      </c>
      <c r="C1784" t="n">
        <v>2</v>
      </c>
      <c r="D1784" t="n">
        <v>5322</v>
      </c>
      <c r="E1784" t="n">
        <v>27</v>
      </c>
      <c r="F1784" t="n">
        <v>58</v>
      </c>
      <c r="G1784" t="n">
        <v>5237</v>
      </c>
      <c r="H1784" t="n">
        <v>4350</v>
      </c>
      <c r="I1784" t="n">
        <v>-4744</v>
      </c>
      <c r="J1784" t="n">
        <v>135312.5</v>
      </c>
      <c r="K1784" t="n">
        <v>5321</v>
      </c>
      <c r="L1784" t="n">
        <v>11812</v>
      </c>
      <c r="M1784" t="n">
        <v>13005</v>
      </c>
      <c r="N1784" t="n">
        <v>17571</v>
      </c>
      <c r="O1784" t="n">
        <v>95</v>
      </c>
      <c r="P1784" t="n">
        <v>70</v>
      </c>
    </row>
    <row r="1785">
      <c r="A1785" t="inlineStr">
        <is>
          <t>VX</t>
        </is>
      </c>
      <c r="B1785" t="n">
        <v>2018</v>
      </c>
      <c r="C1785" t="n">
        <v>3</v>
      </c>
      <c r="D1785" t="n">
        <v>6524</v>
      </c>
      <c r="E1785" t="n">
        <v>303</v>
      </c>
      <c r="F1785" t="n">
        <v>20</v>
      </c>
      <c r="G1785" t="n">
        <v>6201</v>
      </c>
      <c r="H1785" t="n">
        <v>4559</v>
      </c>
      <c r="I1785" t="n">
        <v>50121</v>
      </c>
      <c r="J1785" t="n">
        <v>164399.7000000002</v>
      </c>
      <c r="K1785" t="n">
        <v>6524</v>
      </c>
      <c r="L1785" t="n">
        <v>27443</v>
      </c>
      <c r="M1785" t="n">
        <v>27054</v>
      </c>
      <c r="N1785" t="n">
        <v>41752</v>
      </c>
      <c r="O1785" t="n">
        <v>961</v>
      </c>
      <c r="P1785" t="n">
        <v>457</v>
      </c>
    </row>
    <row r="1786">
      <c r="A1786" t="inlineStr">
        <is>
          <t>WN</t>
        </is>
      </c>
      <c r="B1786" t="n">
        <v>2015</v>
      </c>
      <c r="C1786" t="n">
        <v>1</v>
      </c>
      <c r="D1786" t="n">
        <v>100042</v>
      </c>
      <c r="E1786" t="n">
        <v>1767</v>
      </c>
      <c r="F1786" t="n">
        <v>215</v>
      </c>
      <c r="G1786" t="n">
        <v>98060</v>
      </c>
      <c r="H1786" t="n">
        <v>79127</v>
      </c>
      <c r="I1786" t="n">
        <v>332371</v>
      </c>
      <c r="J1786" t="n">
        <v>1669983.799999986</v>
      </c>
      <c r="K1786" t="n">
        <v>99740</v>
      </c>
      <c r="L1786" t="n">
        <v>471913</v>
      </c>
      <c r="M1786" t="n">
        <v>277804</v>
      </c>
      <c r="N1786" t="n">
        <v>130761</v>
      </c>
      <c r="O1786" t="n">
        <v>28065</v>
      </c>
      <c r="P1786" t="n">
        <v>826</v>
      </c>
    </row>
    <row r="1787">
      <c r="A1787" t="inlineStr">
        <is>
          <t>WN</t>
        </is>
      </c>
      <c r="B1787" t="n">
        <v>2015</v>
      </c>
      <c r="C1787" t="n">
        <v>2</v>
      </c>
      <c r="D1787" t="n">
        <v>90172</v>
      </c>
      <c r="E1787" t="n">
        <v>3454</v>
      </c>
      <c r="F1787" t="n">
        <v>174</v>
      </c>
      <c r="G1787" t="n">
        <v>86544</v>
      </c>
      <c r="H1787" t="n">
        <v>69920</v>
      </c>
      <c r="I1787" t="n">
        <v>303022</v>
      </c>
      <c r="J1787" t="n">
        <v>1531017.099999993</v>
      </c>
      <c r="K1787" t="n">
        <v>90013</v>
      </c>
      <c r="L1787" t="n">
        <v>388656</v>
      </c>
      <c r="M1787" t="n">
        <v>251823</v>
      </c>
      <c r="N1787" t="n">
        <v>129462</v>
      </c>
      <c r="O1787" t="n">
        <v>33270</v>
      </c>
      <c r="P1787" t="n">
        <v>332</v>
      </c>
    </row>
    <row r="1788">
      <c r="A1788" t="inlineStr">
        <is>
          <t>WN</t>
        </is>
      </c>
      <c r="B1788" t="n">
        <v>2015</v>
      </c>
      <c r="C1788" t="n">
        <v>3</v>
      </c>
      <c r="D1788" t="n">
        <v>109245</v>
      </c>
      <c r="E1788" t="n">
        <v>2148</v>
      </c>
      <c r="F1788" t="n">
        <v>243</v>
      </c>
      <c r="G1788" t="n">
        <v>106854</v>
      </c>
      <c r="H1788" t="n">
        <v>87441</v>
      </c>
      <c r="I1788" t="n">
        <v>348701</v>
      </c>
      <c r="J1788" t="n">
        <v>1739555.799999998</v>
      </c>
      <c r="K1788" t="n">
        <v>108411</v>
      </c>
      <c r="L1788" t="n">
        <v>497056</v>
      </c>
      <c r="M1788" t="n">
        <v>331224</v>
      </c>
      <c r="N1788" t="n">
        <v>127731</v>
      </c>
      <c r="O1788" t="n">
        <v>28146</v>
      </c>
      <c r="P1788" t="n">
        <v>1828</v>
      </c>
    </row>
    <row r="1789">
      <c r="A1789" t="inlineStr">
        <is>
          <t>WN</t>
        </is>
      </c>
      <c r="B1789" t="n">
        <v>2015</v>
      </c>
      <c r="C1789" t="n">
        <v>4</v>
      </c>
      <c r="D1789" t="n">
        <v>106407</v>
      </c>
      <c r="E1789" t="n">
        <v>621</v>
      </c>
      <c r="F1789" t="n">
        <v>266</v>
      </c>
      <c r="G1789" t="n">
        <v>105520</v>
      </c>
      <c r="H1789" t="n">
        <v>87021</v>
      </c>
      <c r="I1789" t="n">
        <v>316180</v>
      </c>
      <c r="J1789" t="n">
        <v>1609463.199999995</v>
      </c>
      <c r="K1789" t="n">
        <v>106104</v>
      </c>
      <c r="L1789" t="n">
        <v>461689</v>
      </c>
      <c r="M1789" t="n">
        <v>280584</v>
      </c>
      <c r="N1789" t="n">
        <v>128341</v>
      </c>
      <c r="O1789" t="n">
        <v>36403</v>
      </c>
      <c r="P1789" t="n">
        <v>367</v>
      </c>
    </row>
    <row r="1790">
      <c r="A1790" t="inlineStr">
        <is>
          <t>WN</t>
        </is>
      </c>
      <c r="B1790" t="n">
        <v>2015</v>
      </c>
      <c r="C1790" t="n">
        <v>5</v>
      </c>
      <c r="D1790" t="n">
        <v>107702</v>
      </c>
      <c r="E1790" t="n">
        <v>976</v>
      </c>
      <c r="F1790" t="n">
        <v>396</v>
      </c>
      <c r="G1790" t="n">
        <v>106330</v>
      </c>
      <c r="H1790" t="n">
        <v>84622</v>
      </c>
      <c r="I1790" t="n">
        <v>604037</v>
      </c>
      <c r="J1790" t="n">
        <v>1615685.499999999</v>
      </c>
      <c r="K1790" t="n">
        <v>107453</v>
      </c>
      <c r="L1790" t="n">
        <v>617626</v>
      </c>
      <c r="M1790" t="n">
        <v>346950</v>
      </c>
      <c r="N1790" t="n">
        <v>148967</v>
      </c>
      <c r="O1790" t="n">
        <v>70261</v>
      </c>
      <c r="P1790" t="n">
        <v>750</v>
      </c>
    </row>
    <row r="1791">
      <c r="A1791" t="inlineStr">
        <is>
          <t>WN</t>
        </is>
      </c>
      <c r="B1791" t="n">
        <v>2015</v>
      </c>
      <c r="C1791" t="n">
        <v>6</v>
      </c>
      <c r="D1791" t="n">
        <v>109776</v>
      </c>
      <c r="E1791" t="n">
        <v>1884</v>
      </c>
      <c r="F1791" t="n">
        <v>516</v>
      </c>
      <c r="G1791" t="n">
        <v>107376</v>
      </c>
      <c r="H1791" t="n">
        <v>79632</v>
      </c>
      <c r="I1791" t="n">
        <v>1153590</v>
      </c>
      <c r="J1791" t="n">
        <v>1525919.999999992</v>
      </c>
      <c r="K1791" t="n">
        <v>109287</v>
      </c>
      <c r="L1791" t="n">
        <v>812338</v>
      </c>
      <c r="M1791" t="n">
        <v>487450</v>
      </c>
      <c r="N1791" t="n">
        <v>180167</v>
      </c>
      <c r="O1791" t="n">
        <v>92754</v>
      </c>
      <c r="P1791" t="n">
        <v>1110</v>
      </c>
    </row>
    <row r="1792">
      <c r="A1792" t="inlineStr">
        <is>
          <t>WN</t>
        </is>
      </c>
      <c r="B1792" t="n">
        <v>2015</v>
      </c>
      <c r="C1792" t="n">
        <v>7</v>
      </c>
      <c r="D1792" t="n">
        <v>113650</v>
      </c>
      <c r="E1792" t="n">
        <v>839</v>
      </c>
      <c r="F1792" t="n">
        <v>400</v>
      </c>
      <c r="G1792" t="n">
        <v>112411</v>
      </c>
      <c r="H1792" t="n">
        <v>83575</v>
      </c>
      <c r="I1792" t="n">
        <v>1180871</v>
      </c>
      <c r="J1792" t="n">
        <v>1552039.199999999</v>
      </c>
      <c r="K1792" t="n">
        <v>113399</v>
      </c>
      <c r="L1792" t="n">
        <v>882517</v>
      </c>
      <c r="M1792" t="n">
        <v>489665</v>
      </c>
      <c r="N1792" t="n">
        <v>198561</v>
      </c>
      <c r="O1792" t="n">
        <v>57282</v>
      </c>
      <c r="P1792" t="n">
        <v>1033</v>
      </c>
    </row>
    <row r="1793">
      <c r="A1793" t="inlineStr">
        <is>
          <t>WN</t>
        </is>
      </c>
      <c r="B1793" t="n">
        <v>2015</v>
      </c>
      <c r="C1793" t="n">
        <v>8</v>
      </c>
      <c r="D1793" t="n">
        <v>108179</v>
      </c>
      <c r="E1793" t="n">
        <v>1056</v>
      </c>
      <c r="F1793" t="n">
        <v>436</v>
      </c>
      <c r="G1793" t="n">
        <v>106687</v>
      </c>
      <c r="H1793" t="n">
        <v>85985</v>
      </c>
      <c r="I1793" t="n">
        <v>590204</v>
      </c>
      <c r="J1793" t="n">
        <v>1546681.399999996</v>
      </c>
      <c r="K1793" t="n">
        <v>107194</v>
      </c>
      <c r="L1793" t="n">
        <v>589277</v>
      </c>
      <c r="M1793" t="n">
        <v>358120</v>
      </c>
      <c r="N1793" t="n">
        <v>165393</v>
      </c>
      <c r="O1793" t="n">
        <v>67825</v>
      </c>
      <c r="P1793" t="n">
        <v>1037</v>
      </c>
    </row>
    <row r="1794">
      <c r="A1794" t="inlineStr">
        <is>
          <t>WN</t>
        </is>
      </c>
      <c r="B1794" t="n">
        <v>2015</v>
      </c>
      <c r="C1794" t="n">
        <v>9</v>
      </c>
      <c r="D1794" t="n">
        <v>100645</v>
      </c>
      <c r="E1794" t="n">
        <v>384</v>
      </c>
      <c r="F1794" t="n">
        <v>142</v>
      </c>
      <c r="G1794" t="n">
        <v>100119</v>
      </c>
      <c r="H1794" t="n">
        <v>88337</v>
      </c>
      <c r="I1794" t="n">
        <v>-133785</v>
      </c>
      <c r="J1794" t="n">
        <v>1536127.700000003</v>
      </c>
      <c r="K1794" t="n">
        <v>100458</v>
      </c>
      <c r="L1794" t="n">
        <v>263852</v>
      </c>
      <c r="M1794" t="n">
        <v>187585</v>
      </c>
      <c r="N1794" t="n">
        <v>93994</v>
      </c>
      <c r="O1794" t="n">
        <v>29533</v>
      </c>
      <c r="P1794" t="n">
        <v>1148</v>
      </c>
    </row>
    <row r="1795">
      <c r="A1795" t="inlineStr">
        <is>
          <t>WN</t>
        </is>
      </c>
      <c r="B1795" t="n">
        <v>2015</v>
      </c>
      <c r="C1795" t="n">
        <v>10</v>
      </c>
      <c r="D1795" t="n">
        <v>104516</v>
      </c>
      <c r="E1795" t="n">
        <v>322</v>
      </c>
      <c r="F1795" t="n">
        <v>141</v>
      </c>
      <c r="G1795" t="n">
        <v>104053</v>
      </c>
      <c r="H1795" t="n">
        <v>91595</v>
      </c>
      <c r="I1795" t="n">
        <v>-71677</v>
      </c>
      <c r="J1795" t="n">
        <v>1623540.500000007</v>
      </c>
      <c r="K1795" t="n">
        <v>104365</v>
      </c>
      <c r="L1795" t="n">
        <v>290204</v>
      </c>
      <c r="M1795" t="n">
        <v>201639</v>
      </c>
      <c r="N1795" t="n">
        <v>99295</v>
      </c>
      <c r="O1795" t="n">
        <v>25907</v>
      </c>
      <c r="P1795" t="n">
        <v>251</v>
      </c>
    </row>
    <row r="1796">
      <c r="A1796" t="inlineStr">
        <is>
          <t>WN</t>
        </is>
      </c>
      <c r="B1796" t="n">
        <v>2015</v>
      </c>
      <c r="C1796" t="n">
        <v>11</v>
      </c>
      <c r="D1796" t="n">
        <v>104045</v>
      </c>
      <c r="E1796" t="n">
        <v>970</v>
      </c>
      <c r="F1796" t="n">
        <v>195</v>
      </c>
      <c r="G1796" t="n">
        <v>102880</v>
      </c>
      <c r="H1796" t="n">
        <v>86694</v>
      </c>
      <c r="I1796" t="n">
        <v>102436</v>
      </c>
      <c r="J1796" t="n">
        <v>1739257.700000013</v>
      </c>
      <c r="K1796" t="n">
        <v>102556</v>
      </c>
      <c r="L1796" t="n">
        <v>361969</v>
      </c>
      <c r="M1796" t="n">
        <v>252983</v>
      </c>
      <c r="N1796" t="n">
        <v>116462</v>
      </c>
      <c r="O1796" t="n">
        <v>27465</v>
      </c>
      <c r="P1796" t="n">
        <v>1225</v>
      </c>
    </row>
    <row r="1797">
      <c r="A1797" t="inlineStr">
        <is>
          <t>WN</t>
        </is>
      </c>
      <c r="B1797" t="n">
        <v>2015</v>
      </c>
      <c r="C1797" t="n">
        <v>12</v>
      </c>
      <c r="D1797" t="n">
        <v>107476</v>
      </c>
      <c r="E1797" t="n">
        <v>1622</v>
      </c>
      <c r="F1797" t="n">
        <v>285</v>
      </c>
      <c r="G1797" t="n">
        <v>105569</v>
      </c>
      <c r="H1797" t="n">
        <v>81828</v>
      </c>
      <c r="I1797" t="n">
        <v>709518</v>
      </c>
      <c r="J1797" t="n">
        <v>1684404.399999988</v>
      </c>
      <c r="K1797" t="n">
        <v>106661</v>
      </c>
      <c r="L1797" t="n">
        <v>676461</v>
      </c>
      <c r="M1797" t="n">
        <v>365544</v>
      </c>
      <c r="N1797" t="n">
        <v>150064</v>
      </c>
      <c r="O1797" t="n">
        <v>48458</v>
      </c>
      <c r="P1797" t="n">
        <v>1981</v>
      </c>
    </row>
    <row r="1798">
      <c r="A1798" t="inlineStr">
        <is>
          <t>WN</t>
        </is>
      </c>
      <c r="B1798" t="n">
        <v>2016</v>
      </c>
      <c r="C1798" t="n">
        <v>1</v>
      </c>
      <c r="D1798" t="n">
        <v>104154</v>
      </c>
      <c r="E1798" t="n">
        <v>2640</v>
      </c>
      <c r="F1798" t="n">
        <v>179</v>
      </c>
      <c r="G1798" t="n">
        <v>101335</v>
      </c>
      <c r="H1798" t="n">
        <v>87232</v>
      </c>
      <c r="I1798" t="n">
        <v>-45259</v>
      </c>
      <c r="J1798" t="n">
        <v>1728098.899999997</v>
      </c>
      <c r="K1798" t="n">
        <v>103797</v>
      </c>
      <c r="L1798" t="n">
        <v>313317</v>
      </c>
      <c r="M1798" t="n">
        <v>216252</v>
      </c>
      <c r="N1798" t="n">
        <v>100773</v>
      </c>
      <c r="O1798" t="n">
        <v>24347</v>
      </c>
      <c r="P1798" t="n">
        <v>1160</v>
      </c>
    </row>
    <row r="1799">
      <c r="A1799" t="inlineStr">
        <is>
          <t>WN</t>
        </is>
      </c>
      <c r="B1799" t="n">
        <v>2016</v>
      </c>
      <c r="C1799" t="n">
        <v>2</v>
      </c>
      <c r="D1799" t="n">
        <v>97225</v>
      </c>
      <c r="E1799" t="n">
        <v>1415</v>
      </c>
      <c r="F1799" t="n">
        <v>168</v>
      </c>
      <c r="G1799" t="n">
        <v>95642</v>
      </c>
      <c r="H1799" t="n">
        <v>85398</v>
      </c>
      <c r="I1799" t="n">
        <v>-271036</v>
      </c>
      <c r="J1799" t="n">
        <v>1630343</v>
      </c>
      <c r="K1799" t="n">
        <v>97087</v>
      </c>
      <c r="L1799" t="n">
        <v>235116</v>
      </c>
      <c r="M1799" t="n">
        <v>159542</v>
      </c>
      <c r="N1799" t="n">
        <v>82680</v>
      </c>
      <c r="O1799" t="n">
        <v>30925</v>
      </c>
      <c r="P1799" t="n">
        <v>604</v>
      </c>
    </row>
    <row r="1800">
      <c r="A1800" t="inlineStr">
        <is>
          <t>WN</t>
        </is>
      </c>
      <c r="B1800" t="n">
        <v>2016</v>
      </c>
      <c r="C1800" t="n">
        <v>3</v>
      </c>
      <c r="D1800" t="n">
        <v>112003</v>
      </c>
      <c r="E1800" t="n">
        <v>1278</v>
      </c>
      <c r="F1800" t="n">
        <v>217</v>
      </c>
      <c r="G1800" t="n">
        <v>110508</v>
      </c>
      <c r="H1800" t="n">
        <v>90859</v>
      </c>
      <c r="I1800" t="n">
        <v>359517</v>
      </c>
      <c r="J1800" t="n">
        <v>1666259.000000005</v>
      </c>
      <c r="K1800" t="n">
        <v>111385</v>
      </c>
      <c r="L1800" t="n">
        <v>467996</v>
      </c>
      <c r="M1800" t="n">
        <v>249705</v>
      </c>
      <c r="N1800" t="n">
        <v>166413</v>
      </c>
      <c r="O1800" t="n">
        <v>43077</v>
      </c>
      <c r="P1800" t="n">
        <v>1226</v>
      </c>
    </row>
    <row r="1801">
      <c r="A1801" t="inlineStr">
        <is>
          <t>WN</t>
        </is>
      </c>
      <c r="B1801" t="n">
        <v>2016</v>
      </c>
      <c r="C1801" t="n">
        <v>4</v>
      </c>
      <c r="D1801" t="n">
        <v>107855</v>
      </c>
      <c r="E1801" t="n">
        <v>968</v>
      </c>
      <c r="F1801" t="n">
        <v>184</v>
      </c>
      <c r="G1801" t="n">
        <v>106703</v>
      </c>
      <c r="H1801" t="n">
        <v>87648</v>
      </c>
      <c r="I1801" t="n">
        <v>432909</v>
      </c>
      <c r="J1801" t="n">
        <v>1475407.100000012</v>
      </c>
      <c r="K1801" t="n">
        <v>107608</v>
      </c>
      <c r="L1801" t="n">
        <v>471430</v>
      </c>
      <c r="M1801" t="n">
        <v>247729</v>
      </c>
      <c r="N1801" t="n">
        <v>159559</v>
      </c>
      <c r="O1801" t="n">
        <v>36742</v>
      </c>
      <c r="P1801" t="n">
        <v>1609</v>
      </c>
    </row>
    <row r="1802">
      <c r="A1802" t="inlineStr">
        <is>
          <t>WN</t>
        </is>
      </c>
      <c r="B1802" t="n">
        <v>2016</v>
      </c>
      <c r="C1802" t="n">
        <v>5</v>
      </c>
      <c r="D1802" t="n">
        <v>109847</v>
      </c>
      <c r="E1802" t="n">
        <v>610</v>
      </c>
      <c r="F1802" t="n">
        <v>390</v>
      </c>
      <c r="G1802" t="n">
        <v>108847</v>
      </c>
      <c r="H1802" t="n">
        <v>89245</v>
      </c>
      <c r="I1802" t="n">
        <v>479427</v>
      </c>
      <c r="J1802" t="n">
        <v>1476782.600000007</v>
      </c>
      <c r="K1802" t="n">
        <v>109753</v>
      </c>
      <c r="L1802" t="n">
        <v>494461</v>
      </c>
      <c r="M1802" t="n">
        <v>242238</v>
      </c>
      <c r="N1802" t="n">
        <v>156518</v>
      </c>
      <c r="O1802" t="n">
        <v>55551</v>
      </c>
      <c r="P1802" t="n">
        <v>1615</v>
      </c>
    </row>
    <row r="1803">
      <c r="A1803" t="inlineStr">
        <is>
          <t>WN</t>
        </is>
      </c>
      <c r="B1803" t="n">
        <v>2016</v>
      </c>
      <c r="C1803" t="n">
        <v>6</v>
      </c>
      <c r="D1803" t="n">
        <v>112286</v>
      </c>
      <c r="E1803" t="n">
        <v>1510</v>
      </c>
      <c r="F1803" t="n">
        <v>463</v>
      </c>
      <c r="G1803" t="n">
        <v>110313</v>
      </c>
      <c r="H1803" t="n">
        <v>83475</v>
      </c>
      <c r="I1803" t="n">
        <v>1088611</v>
      </c>
      <c r="J1803" t="n">
        <v>1435770.600000007</v>
      </c>
      <c r="K1803" t="n">
        <v>112000</v>
      </c>
      <c r="L1803" t="n">
        <v>783896</v>
      </c>
      <c r="M1803" t="n">
        <v>412685</v>
      </c>
      <c r="N1803" t="n">
        <v>208813</v>
      </c>
      <c r="O1803" t="n">
        <v>69015</v>
      </c>
      <c r="P1803" t="n">
        <v>4863</v>
      </c>
    </row>
    <row r="1804">
      <c r="A1804" t="inlineStr">
        <is>
          <t>WN</t>
        </is>
      </c>
      <c r="B1804" t="n">
        <v>2016</v>
      </c>
      <c r="C1804" t="n">
        <v>7</v>
      </c>
      <c r="D1804" t="n">
        <v>115208</v>
      </c>
      <c r="E1804" t="n">
        <v>3395</v>
      </c>
      <c r="F1804" t="n">
        <v>483</v>
      </c>
      <c r="G1804" t="n">
        <v>111330</v>
      </c>
      <c r="H1804" t="n">
        <v>81619</v>
      </c>
      <c r="I1804" t="n">
        <v>1457929</v>
      </c>
      <c r="J1804" t="n">
        <v>1463542.099999998</v>
      </c>
      <c r="K1804" t="n">
        <v>114900</v>
      </c>
      <c r="L1804" t="n">
        <v>968553</v>
      </c>
      <c r="M1804" t="n">
        <v>562131</v>
      </c>
      <c r="N1804" t="n">
        <v>236333</v>
      </c>
      <c r="O1804" t="n">
        <v>95068</v>
      </c>
      <c r="P1804" t="n">
        <v>1488</v>
      </c>
    </row>
    <row r="1805">
      <c r="A1805" t="inlineStr">
        <is>
          <t>WN</t>
        </is>
      </c>
      <c r="B1805" t="n">
        <v>2016</v>
      </c>
      <c r="C1805" t="n">
        <v>8</v>
      </c>
      <c r="D1805" t="n">
        <v>110775</v>
      </c>
      <c r="E1805" t="n">
        <v>703</v>
      </c>
      <c r="F1805" t="n">
        <v>362</v>
      </c>
      <c r="G1805" t="n">
        <v>109710</v>
      </c>
      <c r="H1805" t="n">
        <v>88453</v>
      </c>
      <c r="I1805" t="n">
        <v>563870</v>
      </c>
      <c r="J1805" t="n">
        <v>1382318.599999994</v>
      </c>
      <c r="K1805" t="n">
        <v>110485</v>
      </c>
      <c r="L1805" t="n">
        <v>508482</v>
      </c>
      <c r="M1805" t="n">
        <v>280901</v>
      </c>
      <c r="N1805" t="n">
        <v>189786</v>
      </c>
      <c r="O1805" t="n">
        <v>58806</v>
      </c>
      <c r="P1805" t="n">
        <v>2947</v>
      </c>
    </row>
    <row r="1806">
      <c r="A1806" t="inlineStr">
        <is>
          <t>WN</t>
        </is>
      </c>
      <c r="B1806" t="n">
        <v>2016</v>
      </c>
      <c r="C1806" t="n">
        <v>9</v>
      </c>
      <c r="D1806" t="n">
        <v>104083</v>
      </c>
      <c r="E1806" t="n">
        <v>315</v>
      </c>
      <c r="F1806" t="n">
        <v>140</v>
      </c>
      <c r="G1806" t="n">
        <v>103628</v>
      </c>
      <c r="H1806" t="n">
        <v>89099</v>
      </c>
      <c r="I1806" t="n">
        <v>135383</v>
      </c>
      <c r="J1806" t="n">
        <v>1355986.600000007</v>
      </c>
      <c r="K1806" t="n">
        <v>103978</v>
      </c>
      <c r="L1806" t="n">
        <v>318908</v>
      </c>
      <c r="M1806" t="n">
        <v>188054</v>
      </c>
      <c r="N1806" t="n">
        <v>124833</v>
      </c>
      <c r="O1806" t="n">
        <v>27300</v>
      </c>
      <c r="P1806" t="n">
        <v>613</v>
      </c>
    </row>
    <row r="1807">
      <c r="A1807" t="inlineStr">
        <is>
          <t>WN</t>
        </is>
      </c>
      <c r="B1807" t="n">
        <v>2016</v>
      </c>
      <c r="C1807" t="n">
        <v>10</v>
      </c>
      <c r="D1807" t="n">
        <v>108278</v>
      </c>
      <c r="E1807" t="n">
        <v>936</v>
      </c>
      <c r="F1807" t="n">
        <v>107</v>
      </c>
      <c r="G1807" t="n">
        <v>107235</v>
      </c>
      <c r="H1807" t="n">
        <v>91865</v>
      </c>
      <c r="I1807" t="n">
        <v>94833</v>
      </c>
      <c r="J1807" t="n">
        <v>1528749.300000004</v>
      </c>
      <c r="K1807" t="n">
        <v>108163</v>
      </c>
      <c r="L1807" t="n">
        <v>312484</v>
      </c>
      <c r="M1807" t="n">
        <v>177662</v>
      </c>
      <c r="N1807" t="n">
        <v>147025</v>
      </c>
      <c r="O1807" t="n">
        <v>13861</v>
      </c>
      <c r="P1807" t="n">
        <v>291</v>
      </c>
    </row>
    <row r="1808">
      <c r="A1808" t="inlineStr">
        <is>
          <t>WN</t>
        </is>
      </c>
      <c r="B1808" t="n">
        <v>2016</v>
      </c>
      <c r="C1808" t="n">
        <v>11</v>
      </c>
      <c r="D1808" t="n">
        <v>106924</v>
      </c>
      <c r="E1808" t="n">
        <v>220</v>
      </c>
      <c r="F1808" t="n">
        <v>154</v>
      </c>
      <c r="G1808" t="n">
        <v>106550</v>
      </c>
      <c r="H1808" t="n">
        <v>92026</v>
      </c>
      <c r="I1808" t="n">
        <v>-133238</v>
      </c>
      <c r="J1808" t="n">
        <v>1748424.900000002</v>
      </c>
      <c r="K1808" t="n">
        <v>106203</v>
      </c>
      <c r="L1808" t="n">
        <v>294836</v>
      </c>
      <c r="M1808" t="n">
        <v>173705</v>
      </c>
      <c r="N1808" t="n">
        <v>124891</v>
      </c>
      <c r="O1808" t="n">
        <v>19299</v>
      </c>
      <c r="P1808" t="n">
        <v>2100</v>
      </c>
    </row>
    <row r="1809">
      <c r="A1809" t="inlineStr">
        <is>
          <t>WN</t>
        </is>
      </c>
      <c r="B1809" t="n">
        <v>2016</v>
      </c>
      <c r="C1809" t="n">
        <v>12</v>
      </c>
      <c r="D1809" t="n">
        <v>110806</v>
      </c>
      <c r="E1809" t="n">
        <v>1876</v>
      </c>
      <c r="F1809" t="n">
        <v>217</v>
      </c>
      <c r="G1809" t="n">
        <v>108713</v>
      </c>
      <c r="H1809" t="n">
        <v>82984</v>
      </c>
      <c r="I1809" t="n">
        <v>834010</v>
      </c>
      <c r="J1809" t="n">
        <v>1727803.199999997</v>
      </c>
      <c r="K1809" t="n">
        <v>109926</v>
      </c>
      <c r="L1809" t="n">
        <v>697706</v>
      </c>
      <c r="M1809" t="n">
        <v>351283</v>
      </c>
      <c r="N1809" t="n">
        <v>199383</v>
      </c>
      <c r="O1809" t="n">
        <v>40410</v>
      </c>
      <c r="P1809" t="n">
        <v>1102</v>
      </c>
    </row>
    <row r="1810">
      <c r="A1810" t="inlineStr">
        <is>
          <t>WN</t>
        </is>
      </c>
      <c r="B1810" t="n">
        <v>2017</v>
      </c>
      <c r="C1810" t="n">
        <v>1</v>
      </c>
      <c r="D1810" t="n">
        <v>107785</v>
      </c>
      <c r="E1810" t="n">
        <v>2313</v>
      </c>
      <c r="F1810" t="n">
        <v>260</v>
      </c>
      <c r="G1810" t="n">
        <v>105212</v>
      </c>
      <c r="H1810" t="n">
        <v>80408</v>
      </c>
      <c r="I1810" t="n">
        <v>711714</v>
      </c>
      <c r="J1810" t="n">
        <v>1632297.399999999</v>
      </c>
      <c r="K1810" t="n">
        <v>107527</v>
      </c>
      <c r="L1810" t="n">
        <v>636445</v>
      </c>
      <c r="M1810" t="n">
        <v>291141</v>
      </c>
      <c r="N1810" t="n">
        <v>240634</v>
      </c>
      <c r="O1810" t="n">
        <v>53985</v>
      </c>
      <c r="P1810" t="n">
        <v>791</v>
      </c>
    </row>
    <row r="1811">
      <c r="A1811" t="inlineStr">
        <is>
          <t>WN</t>
        </is>
      </c>
      <c r="B1811" t="n">
        <v>2017</v>
      </c>
      <c r="C1811" t="n">
        <v>2</v>
      </c>
      <c r="D1811" t="n">
        <v>95741</v>
      </c>
      <c r="E1811" t="n">
        <v>1301</v>
      </c>
      <c r="F1811" t="n">
        <v>157</v>
      </c>
      <c r="G1811" t="n">
        <v>94283</v>
      </c>
      <c r="H1811" t="n">
        <v>78853</v>
      </c>
      <c r="I1811" t="n">
        <v>117667</v>
      </c>
      <c r="J1811" t="n">
        <v>1443935.299999996</v>
      </c>
      <c r="K1811" t="n">
        <v>95598</v>
      </c>
      <c r="L1811" t="n">
        <v>331637</v>
      </c>
      <c r="M1811" t="n">
        <v>163305</v>
      </c>
      <c r="N1811" t="n">
        <v>152806</v>
      </c>
      <c r="O1811" t="n">
        <v>29737</v>
      </c>
      <c r="P1811" t="n">
        <v>205</v>
      </c>
    </row>
    <row r="1812">
      <c r="A1812" t="inlineStr">
        <is>
          <t>WN</t>
        </is>
      </c>
      <c r="B1812" t="n">
        <v>2017</v>
      </c>
      <c r="C1812" t="n">
        <v>3</v>
      </c>
      <c r="D1812" t="n">
        <v>115144</v>
      </c>
      <c r="E1812" t="n">
        <v>2111</v>
      </c>
      <c r="F1812" t="n">
        <v>184</v>
      </c>
      <c r="G1812" t="n">
        <v>112849</v>
      </c>
      <c r="H1812" t="n">
        <v>91664</v>
      </c>
      <c r="I1812" t="n">
        <v>470916</v>
      </c>
      <c r="J1812" t="n">
        <v>1637993.7</v>
      </c>
      <c r="K1812" t="n">
        <v>114747</v>
      </c>
      <c r="L1812" t="n">
        <v>477510</v>
      </c>
      <c r="M1812" t="n">
        <v>231328</v>
      </c>
      <c r="N1812" t="n">
        <v>191787</v>
      </c>
      <c r="O1812" t="n">
        <v>36942</v>
      </c>
      <c r="P1812" t="n">
        <v>875</v>
      </c>
    </row>
    <row r="1813">
      <c r="A1813" t="inlineStr">
        <is>
          <t>WN</t>
        </is>
      </c>
      <c r="B1813" t="n">
        <v>2017</v>
      </c>
      <c r="C1813" t="n">
        <v>4</v>
      </c>
      <c r="D1813" t="n">
        <v>112223</v>
      </c>
      <c r="E1813" t="n">
        <v>844</v>
      </c>
      <c r="F1813" t="n">
        <v>211</v>
      </c>
      <c r="G1813" t="n">
        <v>111168</v>
      </c>
      <c r="H1813" t="n">
        <v>89213</v>
      </c>
      <c r="I1813" t="n">
        <v>601056</v>
      </c>
      <c r="J1813" t="n">
        <v>1569127.9</v>
      </c>
      <c r="K1813" t="n">
        <v>111822</v>
      </c>
      <c r="L1813" t="n">
        <v>580264</v>
      </c>
      <c r="M1813" t="n">
        <v>268972</v>
      </c>
      <c r="N1813" t="n">
        <v>212102</v>
      </c>
      <c r="O1813" t="n">
        <v>41926</v>
      </c>
      <c r="P1813" t="n">
        <v>286</v>
      </c>
    </row>
    <row r="1814">
      <c r="A1814" t="inlineStr">
        <is>
          <t>WN</t>
        </is>
      </c>
      <c r="B1814" t="n">
        <v>2017</v>
      </c>
      <c r="C1814" t="n">
        <v>5</v>
      </c>
      <c r="D1814" t="n">
        <v>113239</v>
      </c>
      <c r="E1814" t="n">
        <v>531</v>
      </c>
      <c r="F1814" t="n">
        <v>172</v>
      </c>
      <c r="G1814" t="n">
        <v>112536</v>
      </c>
      <c r="H1814" t="n">
        <v>87583</v>
      </c>
      <c r="I1814" t="n">
        <v>768489</v>
      </c>
      <c r="J1814" t="n">
        <v>1638411</v>
      </c>
      <c r="K1814" t="n">
        <v>113025</v>
      </c>
      <c r="L1814" t="n">
        <v>645959</v>
      </c>
      <c r="M1814" t="n">
        <v>312365</v>
      </c>
      <c r="N1814" t="n">
        <v>232434</v>
      </c>
      <c r="O1814" t="n">
        <v>48786</v>
      </c>
      <c r="P1814" t="n">
        <v>836</v>
      </c>
    </row>
    <row r="1815">
      <c r="A1815" t="inlineStr">
        <is>
          <t>WN</t>
        </is>
      </c>
      <c r="B1815" t="n">
        <v>2017</v>
      </c>
      <c r="C1815" t="n">
        <v>6</v>
      </c>
      <c r="D1815" t="n">
        <v>115235</v>
      </c>
      <c r="E1815" t="n">
        <v>1143</v>
      </c>
      <c r="F1815" t="n">
        <v>299</v>
      </c>
      <c r="G1815" t="n">
        <v>113793</v>
      </c>
      <c r="H1815" t="n">
        <v>84495</v>
      </c>
      <c r="I1815" t="n">
        <v>1209593</v>
      </c>
      <c r="J1815" t="n">
        <v>1596877.199999989</v>
      </c>
      <c r="K1815" t="n">
        <v>115012</v>
      </c>
      <c r="L1815" t="n">
        <v>834152</v>
      </c>
      <c r="M1815" t="n">
        <v>405718</v>
      </c>
      <c r="N1815" t="n">
        <v>240030</v>
      </c>
      <c r="O1815" t="n">
        <v>81494</v>
      </c>
      <c r="P1815" t="n">
        <v>2427</v>
      </c>
    </row>
    <row r="1816">
      <c r="A1816" t="inlineStr">
        <is>
          <t>WN</t>
        </is>
      </c>
      <c r="B1816" t="n">
        <v>2017</v>
      </c>
      <c r="C1816" t="n">
        <v>7</v>
      </c>
      <c r="D1816" t="n">
        <v>117975</v>
      </c>
      <c r="E1816" t="n">
        <v>852</v>
      </c>
      <c r="F1816" t="n">
        <v>305</v>
      </c>
      <c r="G1816" t="n">
        <v>116818</v>
      </c>
      <c r="H1816" t="n">
        <v>88390</v>
      </c>
      <c r="I1816" t="n">
        <v>1025394</v>
      </c>
      <c r="J1816" t="n">
        <v>1627990.09999999</v>
      </c>
      <c r="K1816" t="n">
        <v>117718</v>
      </c>
      <c r="L1816" t="n">
        <v>768009</v>
      </c>
      <c r="M1816" t="n">
        <v>382918</v>
      </c>
      <c r="N1816" t="n">
        <v>225258</v>
      </c>
      <c r="O1816" t="n">
        <v>78704</v>
      </c>
      <c r="P1816" t="n">
        <v>1301</v>
      </c>
    </row>
    <row r="1817">
      <c r="A1817" t="inlineStr">
        <is>
          <t>WN</t>
        </is>
      </c>
      <c r="B1817" t="n">
        <v>2017</v>
      </c>
      <c r="C1817" t="n">
        <v>8</v>
      </c>
      <c r="D1817" t="n">
        <v>116158</v>
      </c>
      <c r="E1817" t="n">
        <v>3319</v>
      </c>
      <c r="F1817" t="n">
        <v>256</v>
      </c>
      <c r="G1817" t="n">
        <v>112583</v>
      </c>
      <c r="H1817" t="n">
        <v>81503</v>
      </c>
      <c r="I1817" t="n">
        <v>1251958</v>
      </c>
      <c r="J1817" t="n">
        <v>1582201.5</v>
      </c>
      <c r="K1817" t="n">
        <v>115927</v>
      </c>
      <c r="L1817" t="n">
        <v>832508</v>
      </c>
      <c r="M1817" t="n">
        <v>419307</v>
      </c>
      <c r="N1817" t="n">
        <v>243979</v>
      </c>
      <c r="O1817" t="n">
        <v>65996</v>
      </c>
      <c r="P1817" t="n">
        <v>1302</v>
      </c>
    </row>
    <row r="1818">
      <c r="A1818" t="inlineStr">
        <is>
          <t>WN</t>
        </is>
      </c>
      <c r="B1818" t="n">
        <v>2017</v>
      </c>
      <c r="C1818" t="n">
        <v>9</v>
      </c>
      <c r="D1818" t="n">
        <v>105614</v>
      </c>
      <c r="E1818" t="n">
        <v>3450</v>
      </c>
      <c r="F1818" t="n">
        <v>205</v>
      </c>
      <c r="G1818" t="n">
        <v>101959</v>
      </c>
      <c r="H1818" t="n">
        <v>86999</v>
      </c>
      <c r="I1818" t="n">
        <v>112298</v>
      </c>
      <c r="J1818" t="n">
        <v>1484268.099999994</v>
      </c>
      <c r="K1818" t="n">
        <v>105417</v>
      </c>
      <c r="L1818" t="n">
        <v>365912</v>
      </c>
      <c r="M1818" t="n">
        <v>204936</v>
      </c>
      <c r="N1818" t="n">
        <v>123019</v>
      </c>
      <c r="O1818" t="n">
        <v>28738</v>
      </c>
      <c r="P1818" t="n">
        <v>475</v>
      </c>
    </row>
    <row r="1819">
      <c r="A1819" t="inlineStr">
        <is>
          <t>WN</t>
        </is>
      </c>
      <c r="B1819" t="n">
        <v>2017</v>
      </c>
      <c r="C1819" t="n">
        <v>10</v>
      </c>
      <c r="D1819" t="n">
        <v>110262</v>
      </c>
      <c r="E1819" t="n">
        <v>648</v>
      </c>
      <c r="F1819" t="n">
        <v>101</v>
      </c>
      <c r="G1819" t="n">
        <v>109513</v>
      </c>
      <c r="H1819" t="n">
        <v>93303</v>
      </c>
      <c r="I1819" t="n">
        <v>115041</v>
      </c>
      <c r="J1819" t="n">
        <v>1598286.899999995</v>
      </c>
      <c r="K1819" t="n">
        <v>110046</v>
      </c>
      <c r="L1819" t="n">
        <v>339384</v>
      </c>
      <c r="M1819" t="n">
        <v>245318</v>
      </c>
      <c r="N1819" t="n">
        <v>118391</v>
      </c>
      <c r="O1819" t="n">
        <v>6251</v>
      </c>
      <c r="P1819" t="n">
        <v>3294</v>
      </c>
    </row>
    <row r="1820">
      <c r="A1820" t="inlineStr">
        <is>
          <t>WN</t>
        </is>
      </c>
      <c r="B1820" t="n">
        <v>2017</v>
      </c>
      <c r="C1820" t="n">
        <v>11</v>
      </c>
      <c r="D1820" t="n">
        <v>109016</v>
      </c>
      <c r="E1820" t="n">
        <v>473</v>
      </c>
      <c r="F1820" t="n">
        <v>113</v>
      </c>
      <c r="G1820" t="n">
        <v>108430</v>
      </c>
      <c r="H1820" t="n">
        <v>95540</v>
      </c>
      <c r="I1820" t="n">
        <v>-189172</v>
      </c>
      <c r="J1820" t="n">
        <v>1838756.800000004</v>
      </c>
      <c r="K1820" t="n">
        <v>108171</v>
      </c>
      <c r="L1820" t="n">
        <v>300755</v>
      </c>
      <c r="M1820" t="n">
        <v>226986</v>
      </c>
      <c r="N1820" t="n">
        <v>76203</v>
      </c>
      <c r="O1820" t="n">
        <v>8527</v>
      </c>
      <c r="P1820" t="n">
        <v>5076</v>
      </c>
    </row>
    <row r="1821">
      <c r="A1821" t="inlineStr">
        <is>
          <t>WN</t>
        </is>
      </c>
      <c r="B1821" t="n">
        <v>2017</v>
      </c>
      <c r="C1821" t="n">
        <v>12</v>
      </c>
      <c r="D1821" t="n">
        <v>111052</v>
      </c>
      <c r="E1821" t="n">
        <v>1061</v>
      </c>
      <c r="F1821" t="n">
        <v>146</v>
      </c>
      <c r="G1821" t="n">
        <v>109845</v>
      </c>
      <c r="H1821" t="n">
        <v>87815</v>
      </c>
      <c r="I1821" t="n">
        <v>410929</v>
      </c>
      <c r="J1821" t="n">
        <v>1772252.099999998</v>
      </c>
      <c r="K1821" t="n">
        <v>109968</v>
      </c>
      <c r="L1821" t="n">
        <v>525389</v>
      </c>
      <c r="M1821" t="n">
        <v>338765</v>
      </c>
      <c r="N1821" t="n">
        <v>148000</v>
      </c>
      <c r="O1821" t="n">
        <v>20552</v>
      </c>
      <c r="P1821" t="n">
        <v>6114</v>
      </c>
    </row>
    <row r="1822">
      <c r="A1822" t="inlineStr">
        <is>
          <t>WN</t>
        </is>
      </c>
      <c r="B1822" t="n">
        <v>2018</v>
      </c>
      <c r="C1822" t="n">
        <v>1</v>
      </c>
      <c r="D1822" t="n">
        <v>109676</v>
      </c>
      <c r="E1822" t="n">
        <v>2467</v>
      </c>
      <c r="F1822" t="n">
        <v>186</v>
      </c>
      <c r="G1822" t="n">
        <v>107023</v>
      </c>
      <c r="H1822" t="n">
        <v>89745</v>
      </c>
      <c r="I1822" t="n">
        <v>30197</v>
      </c>
      <c r="J1822" t="n">
        <v>1836922.599999999</v>
      </c>
      <c r="K1822" t="n">
        <v>109292</v>
      </c>
      <c r="L1822" t="n">
        <v>372362</v>
      </c>
      <c r="M1822" t="n">
        <v>242623</v>
      </c>
      <c r="N1822" t="n">
        <v>153453</v>
      </c>
      <c r="O1822" t="n">
        <v>13976</v>
      </c>
      <c r="P1822" t="n">
        <v>2219</v>
      </c>
    </row>
    <row r="1823">
      <c r="A1823" t="inlineStr">
        <is>
          <t>WN</t>
        </is>
      </c>
      <c r="B1823" t="n">
        <v>2018</v>
      </c>
      <c r="C1823" t="n">
        <v>2</v>
      </c>
      <c r="D1823" t="n">
        <v>97017</v>
      </c>
      <c r="E1823" t="n">
        <v>2037</v>
      </c>
      <c r="F1823" t="n">
        <v>227</v>
      </c>
      <c r="G1823" t="n">
        <v>94753</v>
      </c>
      <c r="H1823" t="n">
        <v>74788</v>
      </c>
      <c r="I1823" t="n">
        <v>388573</v>
      </c>
      <c r="J1823" t="n">
        <v>1645983.4</v>
      </c>
      <c r="K1823" t="n">
        <v>96781</v>
      </c>
      <c r="L1823" t="n">
        <v>431961</v>
      </c>
      <c r="M1823" t="n">
        <v>281639</v>
      </c>
      <c r="N1823" t="n">
        <v>172246</v>
      </c>
      <c r="O1823" t="n">
        <v>16111</v>
      </c>
      <c r="P1823" t="n">
        <v>2463</v>
      </c>
    </row>
    <row r="1824">
      <c r="A1824" t="inlineStr">
        <is>
          <t>WN</t>
        </is>
      </c>
      <c r="B1824" t="n">
        <v>2018</v>
      </c>
      <c r="C1824" t="n">
        <v>3</v>
      </c>
      <c r="D1824" t="n">
        <v>116420</v>
      </c>
      <c r="E1824" t="n">
        <v>2243</v>
      </c>
      <c r="F1824" t="n">
        <v>108</v>
      </c>
      <c r="G1824" t="n">
        <v>114069</v>
      </c>
      <c r="H1824" t="n">
        <v>91812</v>
      </c>
      <c r="I1824" t="n">
        <v>507361</v>
      </c>
      <c r="J1824" t="n">
        <v>1845149.000000001</v>
      </c>
      <c r="K1824" t="n">
        <v>115583</v>
      </c>
      <c r="L1824" t="n">
        <v>525661</v>
      </c>
      <c r="M1824" t="n">
        <v>351314</v>
      </c>
      <c r="N1824" t="n">
        <v>157210</v>
      </c>
      <c r="O1824" t="n">
        <v>18308</v>
      </c>
      <c r="P1824" t="n">
        <v>3485</v>
      </c>
    </row>
    <row r="1825">
      <c r="A1825" t="inlineStr">
        <is>
          <t>WN</t>
        </is>
      </c>
      <c r="B1825" t="n">
        <v>2018</v>
      </c>
      <c r="C1825" t="n">
        <v>4</v>
      </c>
      <c r="D1825" t="n">
        <v>114117</v>
      </c>
      <c r="E1825" t="n">
        <v>1220</v>
      </c>
      <c r="F1825" t="n">
        <v>155</v>
      </c>
      <c r="G1825" t="n">
        <v>112742</v>
      </c>
      <c r="H1825" t="n">
        <v>88699</v>
      </c>
      <c r="I1825" t="n">
        <v>722004</v>
      </c>
      <c r="J1825" t="n">
        <v>1714687.199999999</v>
      </c>
      <c r="K1825" t="n">
        <v>113647</v>
      </c>
      <c r="L1825" t="n">
        <v>633909</v>
      </c>
      <c r="M1825" t="n">
        <v>402226</v>
      </c>
      <c r="N1825" t="n">
        <v>171507</v>
      </c>
      <c r="O1825" t="n">
        <v>20882</v>
      </c>
      <c r="P1825" t="n">
        <v>2276</v>
      </c>
    </row>
    <row r="1826">
      <c r="A1826" t="inlineStr">
        <is>
          <t>WN</t>
        </is>
      </c>
      <c r="B1826" t="n">
        <v>2018</v>
      </c>
      <c r="C1826" t="n">
        <v>5</v>
      </c>
      <c r="D1826" t="n">
        <v>116849</v>
      </c>
      <c r="E1826" t="n">
        <v>1445</v>
      </c>
      <c r="F1826" t="n">
        <v>248</v>
      </c>
      <c r="G1826" t="n">
        <v>115156</v>
      </c>
      <c r="H1826" t="n">
        <v>89308</v>
      </c>
      <c r="I1826" t="n">
        <v>848661</v>
      </c>
      <c r="J1826" t="n">
        <v>1740462.499999998</v>
      </c>
      <c r="K1826" t="n">
        <v>116485</v>
      </c>
      <c r="L1826" t="n">
        <v>712005</v>
      </c>
      <c r="M1826" t="n">
        <v>412470</v>
      </c>
      <c r="N1826" t="n">
        <v>222064</v>
      </c>
      <c r="O1826" t="n">
        <v>40968</v>
      </c>
      <c r="P1826" t="n">
        <v>3061</v>
      </c>
    </row>
    <row r="1827">
      <c r="A1827" t="inlineStr">
        <is>
          <t>WN</t>
        </is>
      </c>
      <c r="B1827" t="n">
        <v>2018</v>
      </c>
      <c r="C1827" t="n">
        <v>6</v>
      </c>
      <c r="D1827" t="n">
        <v>115939</v>
      </c>
      <c r="E1827" t="n">
        <v>1262</v>
      </c>
      <c r="F1827" t="n">
        <v>326</v>
      </c>
      <c r="G1827" t="n">
        <v>114351</v>
      </c>
      <c r="H1827" t="n">
        <v>90048</v>
      </c>
      <c r="I1827" t="n">
        <v>757006</v>
      </c>
      <c r="J1827" t="n">
        <v>1670495.899999988</v>
      </c>
      <c r="K1827" t="n">
        <v>115302</v>
      </c>
      <c r="L1827" t="n">
        <v>664336</v>
      </c>
      <c r="M1827" t="n">
        <v>400249</v>
      </c>
      <c r="N1827" t="n">
        <v>201169</v>
      </c>
      <c r="O1827" t="n">
        <v>46171</v>
      </c>
      <c r="P1827" t="n">
        <v>3921</v>
      </c>
    </row>
    <row r="1828">
      <c r="A1828" t="inlineStr">
        <is>
          <t>WN</t>
        </is>
      </c>
      <c r="B1828" t="n">
        <v>2018</v>
      </c>
      <c r="C1828" t="n">
        <v>7</v>
      </c>
      <c r="D1828" t="n">
        <v>120114</v>
      </c>
      <c r="E1828" t="n">
        <v>2107</v>
      </c>
      <c r="F1828" t="n">
        <v>367</v>
      </c>
      <c r="G1828" t="n">
        <v>117640</v>
      </c>
      <c r="H1828" t="n">
        <v>89504</v>
      </c>
      <c r="I1828" t="n">
        <v>1013480</v>
      </c>
      <c r="J1828" t="n">
        <v>1709483.499999986</v>
      </c>
      <c r="K1828" t="n">
        <v>119439</v>
      </c>
      <c r="L1828" t="n">
        <v>783208</v>
      </c>
      <c r="M1828" t="n">
        <v>469499</v>
      </c>
      <c r="N1828" t="n">
        <v>258111</v>
      </c>
      <c r="O1828" t="n">
        <v>63975</v>
      </c>
      <c r="P1828" t="n">
        <v>4628</v>
      </c>
    </row>
    <row r="1829">
      <c r="A1829" t="inlineStr">
        <is>
          <t>WN</t>
        </is>
      </c>
      <c r="B1829" t="n">
        <v>2018</v>
      </c>
      <c r="C1829" t="n">
        <v>8</v>
      </c>
      <c r="D1829" t="n">
        <v>115534</v>
      </c>
      <c r="E1829" t="n">
        <v>1928</v>
      </c>
      <c r="F1829" t="n">
        <v>333</v>
      </c>
      <c r="G1829" t="n">
        <v>113273</v>
      </c>
      <c r="H1829" t="n">
        <v>89950</v>
      </c>
      <c r="I1829" t="n">
        <v>696137</v>
      </c>
      <c r="J1829" t="n">
        <v>1621648.099999989</v>
      </c>
      <c r="K1829" t="n">
        <v>114941</v>
      </c>
      <c r="L1829" t="n">
        <v>595891</v>
      </c>
      <c r="M1829" t="n">
        <v>396455</v>
      </c>
      <c r="N1829" t="n">
        <v>244155</v>
      </c>
      <c r="O1829" t="n">
        <v>48500</v>
      </c>
      <c r="P1829" t="n">
        <v>2553</v>
      </c>
    </row>
    <row r="1830">
      <c r="A1830" t="inlineStr">
        <is>
          <t>WN</t>
        </is>
      </c>
      <c r="B1830" t="n">
        <v>2018</v>
      </c>
      <c r="C1830" t="n">
        <v>9</v>
      </c>
      <c r="D1830" t="n">
        <v>106972</v>
      </c>
      <c r="E1830" t="n">
        <v>1049</v>
      </c>
      <c r="F1830" t="n">
        <v>207</v>
      </c>
      <c r="G1830" t="n">
        <v>105716</v>
      </c>
      <c r="H1830" t="n">
        <v>90885</v>
      </c>
      <c r="I1830" t="n">
        <v>66318</v>
      </c>
      <c r="J1830" t="n">
        <v>1548957.799999996</v>
      </c>
      <c r="K1830" t="n">
        <v>106465</v>
      </c>
      <c r="L1830" t="n">
        <v>340548</v>
      </c>
      <c r="M1830" t="n">
        <v>232714</v>
      </c>
      <c r="N1830" t="n">
        <v>151311</v>
      </c>
      <c r="O1830" t="n">
        <v>28433</v>
      </c>
      <c r="P1830" t="n">
        <v>5687</v>
      </c>
    </row>
    <row r="1831">
      <c r="A1831" t="inlineStr">
        <is>
          <t>WN</t>
        </is>
      </c>
      <c r="B1831" t="n">
        <v>2018</v>
      </c>
      <c r="C1831" t="n">
        <v>10</v>
      </c>
      <c r="D1831" t="n">
        <v>114663</v>
      </c>
      <c r="E1831" t="n">
        <v>648</v>
      </c>
      <c r="F1831" t="n">
        <v>175</v>
      </c>
      <c r="G1831" t="n">
        <v>113840</v>
      </c>
      <c r="H1831" t="n">
        <v>95742</v>
      </c>
      <c r="I1831" t="n">
        <v>219465</v>
      </c>
      <c r="J1831" t="n">
        <v>1692561.599999995</v>
      </c>
      <c r="K1831" t="n">
        <v>114256</v>
      </c>
      <c r="L1831" t="n">
        <v>402677</v>
      </c>
      <c r="M1831" t="n">
        <v>275075</v>
      </c>
      <c r="N1831" t="n">
        <v>148696</v>
      </c>
      <c r="O1831" t="n">
        <v>17965</v>
      </c>
      <c r="P1831" t="n">
        <v>2066</v>
      </c>
    </row>
    <row r="1832">
      <c r="A1832" t="inlineStr">
        <is>
          <t>WN</t>
        </is>
      </c>
      <c r="B1832" t="n">
        <v>2018</v>
      </c>
      <c r="C1832" t="n">
        <v>11</v>
      </c>
      <c r="D1832" t="n">
        <v>112224</v>
      </c>
      <c r="E1832" t="n">
        <v>938</v>
      </c>
      <c r="F1832" t="n">
        <v>150</v>
      </c>
      <c r="G1832" t="n">
        <v>111136</v>
      </c>
      <c r="H1832" t="n">
        <v>91722</v>
      </c>
      <c r="I1832" t="n">
        <v>290484</v>
      </c>
      <c r="J1832" t="n">
        <v>1911437.799999996</v>
      </c>
      <c r="K1832" t="n">
        <v>110782</v>
      </c>
      <c r="L1832" t="n">
        <v>455191</v>
      </c>
      <c r="M1832" t="n">
        <v>316931</v>
      </c>
      <c r="N1832" t="n">
        <v>146662</v>
      </c>
      <c r="O1832" t="n">
        <v>21194</v>
      </c>
      <c r="P1832" t="n">
        <v>2376</v>
      </c>
    </row>
    <row r="1833">
      <c r="A1833" t="inlineStr">
        <is>
          <t>WN</t>
        </is>
      </c>
      <c r="B1833" t="n">
        <v>2018</v>
      </c>
      <c r="C1833" t="n">
        <v>12</v>
      </c>
      <c r="D1833" t="n">
        <v>113027</v>
      </c>
      <c r="E1833" t="n">
        <v>931</v>
      </c>
      <c r="F1833" t="n">
        <v>186</v>
      </c>
      <c r="G1833" t="n">
        <v>111910</v>
      </c>
      <c r="H1833" t="n">
        <v>89056</v>
      </c>
      <c r="I1833" t="n">
        <v>478713</v>
      </c>
      <c r="J1833" t="n">
        <v>1820270.799999996</v>
      </c>
      <c r="K1833" t="n">
        <v>111555</v>
      </c>
      <c r="L1833" t="n">
        <v>545422</v>
      </c>
      <c r="M1833" t="n">
        <v>374648</v>
      </c>
      <c r="N1833" t="n">
        <v>151430</v>
      </c>
      <c r="O1833" t="n">
        <v>16765</v>
      </c>
      <c r="P1833" t="n">
        <v>5763</v>
      </c>
    </row>
    <row r="1834">
      <c r="A1834" t="inlineStr">
        <is>
          <t>WN</t>
        </is>
      </c>
      <c r="B1834" t="n">
        <v>2019</v>
      </c>
      <c r="C1834" t="n">
        <v>1</v>
      </c>
      <c r="D1834" t="n">
        <v>111312</v>
      </c>
      <c r="E1834" t="n">
        <v>3949</v>
      </c>
      <c r="F1834" t="n">
        <v>128</v>
      </c>
      <c r="G1834" t="n">
        <v>107235</v>
      </c>
      <c r="H1834" t="n">
        <v>91124</v>
      </c>
      <c r="I1834" t="n">
        <v>-72823</v>
      </c>
      <c r="J1834" t="n">
        <v>1981537.999999991</v>
      </c>
      <c r="K1834" t="n">
        <v>110807</v>
      </c>
      <c r="L1834" t="n">
        <v>315380</v>
      </c>
      <c r="M1834" t="n">
        <v>254331</v>
      </c>
      <c r="N1834" t="n">
        <v>151403</v>
      </c>
      <c r="O1834" t="n">
        <v>16840</v>
      </c>
      <c r="P1834" t="n">
        <v>1249</v>
      </c>
    </row>
    <row r="1835">
      <c r="A1835" t="inlineStr">
        <is>
          <t>WN</t>
        </is>
      </c>
      <c r="B1835" t="n">
        <v>2019</v>
      </c>
      <c r="C1835" t="n">
        <v>2</v>
      </c>
      <c r="D1835" t="n">
        <v>99500</v>
      </c>
      <c r="E1835" t="n">
        <v>4578</v>
      </c>
      <c r="F1835" t="n">
        <v>239</v>
      </c>
      <c r="G1835" t="n">
        <v>94683</v>
      </c>
      <c r="H1835" t="n">
        <v>73175</v>
      </c>
      <c r="I1835" t="n">
        <v>646935</v>
      </c>
      <c r="J1835" t="n">
        <v>1811269.19999999</v>
      </c>
      <c r="K1835" t="n">
        <v>99186</v>
      </c>
      <c r="L1835" t="n">
        <v>543234</v>
      </c>
      <c r="M1835" t="n">
        <v>416738</v>
      </c>
      <c r="N1835" t="n">
        <v>188077</v>
      </c>
      <c r="O1835" t="n">
        <v>30694</v>
      </c>
      <c r="P1835" t="n">
        <v>11647</v>
      </c>
    </row>
    <row r="1836">
      <c r="A1836" t="inlineStr">
        <is>
          <t>WN</t>
        </is>
      </c>
      <c r="B1836" t="n">
        <v>2019</v>
      </c>
      <c r="C1836" t="n">
        <v>3</v>
      </c>
      <c r="D1836" t="n">
        <v>119413</v>
      </c>
      <c r="E1836" t="n">
        <v>5294</v>
      </c>
      <c r="F1836" t="n">
        <v>126</v>
      </c>
      <c r="G1836" t="n">
        <v>113993</v>
      </c>
      <c r="H1836" t="n">
        <v>95511</v>
      </c>
      <c r="I1836" t="n">
        <v>176421</v>
      </c>
      <c r="J1836" t="n">
        <v>2093837.600000008</v>
      </c>
      <c r="K1836" t="n">
        <v>118159</v>
      </c>
      <c r="L1836" t="n">
        <v>420602</v>
      </c>
      <c r="M1836" t="n">
        <v>382072</v>
      </c>
      <c r="N1836" t="n">
        <v>112302</v>
      </c>
      <c r="O1836" t="n">
        <v>8314</v>
      </c>
      <c r="P1836" t="n">
        <v>4164</v>
      </c>
    </row>
    <row r="1837">
      <c r="A1837" t="inlineStr">
        <is>
          <t>WN</t>
        </is>
      </c>
      <c r="B1837" t="n">
        <v>2019</v>
      </c>
      <c r="C1837" t="n">
        <v>4</v>
      </c>
      <c r="D1837" t="n">
        <v>115401</v>
      </c>
      <c r="E1837" t="n">
        <v>4649</v>
      </c>
      <c r="F1837" t="n">
        <v>265</v>
      </c>
      <c r="G1837" t="n">
        <v>110487</v>
      </c>
      <c r="H1837" t="n">
        <v>90851</v>
      </c>
      <c r="I1837" t="n">
        <v>349549</v>
      </c>
      <c r="J1837" t="n">
        <v>1899391.000000006</v>
      </c>
      <c r="K1837" t="n">
        <v>114872</v>
      </c>
      <c r="L1837" t="n">
        <v>486883</v>
      </c>
      <c r="M1837" t="n">
        <v>382319</v>
      </c>
      <c r="N1837" t="n">
        <v>147707</v>
      </c>
      <c r="O1837" t="n">
        <v>28825</v>
      </c>
      <c r="P1837" t="n">
        <v>2708</v>
      </c>
    </row>
    <row r="1838">
      <c r="A1838" t="inlineStr">
        <is>
          <t>WN</t>
        </is>
      </c>
      <c r="B1838" t="n">
        <v>2019</v>
      </c>
      <c r="C1838" t="n">
        <v>5</v>
      </c>
      <c r="D1838" t="n">
        <v>117849</v>
      </c>
      <c r="E1838" t="n">
        <v>4140</v>
      </c>
      <c r="F1838" t="n">
        <v>368</v>
      </c>
      <c r="G1838" t="n">
        <v>113341</v>
      </c>
      <c r="H1838" t="n">
        <v>89368</v>
      </c>
      <c r="I1838" t="n">
        <v>713487</v>
      </c>
      <c r="J1838" t="n">
        <v>1906653.599999994</v>
      </c>
      <c r="K1838" t="n">
        <v>117479</v>
      </c>
      <c r="L1838" t="n">
        <v>661411</v>
      </c>
      <c r="M1838" t="n">
        <v>438658</v>
      </c>
      <c r="N1838" t="n">
        <v>202717</v>
      </c>
      <c r="O1838" t="n">
        <v>44077</v>
      </c>
      <c r="P1838" t="n">
        <v>2582</v>
      </c>
    </row>
    <row r="1839">
      <c r="A1839" t="inlineStr">
        <is>
          <t>WN</t>
        </is>
      </c>
      <c r="B1839" t="n">
        <v>2019</v>
      </c>
      <c r="C1839" t="n">
        <v>6</v>
      </c>
      <c r="D1839" t="n">
        <v>115213</v>
      </c>
      <c r="E1839" t="n">
        <v>2334</v>
      </c>
      <c r="F1839" t="n">
        <v>416</v>
      </c>
      <c r="G1839" t="n">
        <v>112463</v>
      </c>
      <c r="H1839" t="n">
        <v>86471</v>
      </c>
      <c r="I1839" t="n">
        <v>883646</v>
      </c>
      <c r="J1839" t="n">
        <v>1770831.700000003</v>
      </c>
      <c r="K1839" t="n">
        <v>114387</v>
      </c>
      <c r="L1839" t="n">
        <v>701850</v>
      </c>
      <c r="M1839" t="n">
        <v>424311</v>
      </c>
      <c r="N1839" t="n">
        <v>254869</v>
      </c>
      <c r="O1839" t="n">
        <v>55369</v>
      </c>
      <c r="P1839" t="n">
        <v>6859</v>
      </c>
    </row>
    <row r="1840">
      <c r="A1840" t="inlineStr">
        <is>
          <t>WN</t>
        </is>
      </c>
      <c r="B1840" t="n">
        <v>2019</v>
      </c>
      <c r="C1840" t="n">
        <v>7</v>
      </c>
      <c r="D1840" t="n">
        <v>119342</v>
      </c>
      <c r="E1840" t="n">
        <v>1614</v>
      </c>
      <c r="F1840" t="n">
        <v>333</v>
      </c>
      <c r="G1840" t="n">
        <v>117395</v>
      </c>
      <c r="H1840" t="n">
        <v>95840</v>
      </c>
      <c r="I1840" t="n">
        <v>495778</v>
      </c>
      <c r="J1840" t="n">
        <v>1801891.800000005</v>
      </c>
      <c r="K1840" t="n">
        <v>118771</v>
      </c>
      <c r="L1840" t="n">
        <v>569988</v>
      </c>
      <c r="M1840" t="n">
        <v>385128</v>
      </c>
      <c r="N1840" t="n">
        <v>217831</v>
      </c>
      <c r="O1840" t="n">
        <v>57689</v>
      </c>
      <c r="P1840" t="n">
        <v>3370</v>
      </c>
    </row>
    <row r="1841">
      <c r="A1841" t="inlineStr">
        <is>
          <t>WN</t>
        </is>
      </c>
      <c r="B1841" t="n">
        <v>2019</v>
      </c>
      <c r="C1841" t="n">
        <v>8</v>
      </c>
      <c r="D1841" t="n">
        <v>116526</v>
      </c>
      <c r="E1841" t="n">
        <v>1539</v>
      </c>
      <c r="F1841" t="n">
        <v>254</v>
      </c>
      <c r="G1841" t="n">
        <v>114733</v>
      </c>
      <c r="H1841" t="n">
        <v>95745</v>
      </c>
      <c r="I1841" t="n">
        <v>248957</v>
      </c>
      <c r="J1841" t="n">
        <v>1772796.600000003</v>
      </c>
      <c r="K1841" t="n">
        <v>115803</v>
      </c>
      <c r="L1841" t="n">
        <v>448247</v>
      </c>
      <c r="M1841" t="n">
        <v>300938</v>
      </c>
      <c r="N1841" t="n">
        <v>201967</v>
      </c>
      <c r="O1841" t="n">
        <v>42467</v>
      </c>
      <c r="P1841" t="n">
        <v>1994</v>
      </c>
    </row>
    <row r="1842">
      <c r="A1842" t="inlineStr">
        <is>
          <t>WN</t>
        </is>
      </c>
      <c r="B1842" t="n">
        <v>2019</v>
      </c>
      <c r="C1842" t="n">
        <v>9</v>
      </c>
      <c r="D1842" t="n">
        <v>109217</v>
      </c>
      <c r="E1842" t="n">
        <v>1781</v>
      </c>
      <c r="F1842" t="n">
        <v>184</v>
      </c>
      <c r="G1842" t="n">
        <v>107252</v>
      </c>
      <c r="H1842" t="n">
        <v>96213</v>
      </c>
      <c r="I1842" t="n">
        <v>-357579</v>
      </c>
      <c r="J1842" t="n">
        <v>1767993.400000018</v>
      </c>
      <c r="K1842" t="n">
        <v>108690</v>
      </c>
      <c r="L1842" t="n">
        <v>223969</v>
      </c>
      <c r="M1842" t="n">
        <v>187353</v>
      </c>
      <c r="N1842" t="n">
        <v>112968</v>
      </c>
      <c r="O1842" t="n">
        <v>16282</v>
      </c>
      <c r="P1842" t="n">
        <v>921</v>
      </c>
    </row>
    <row r="1843">
      <c r="A1843" t="inlineStr">
        <is>
          <t>WN</t>
        </is>
      </c>
      <c r="B1843" t="n">
        <v>2019</v>
      </c>
      <c r="C1843" t="n">
        <v>10</v>
      </c>
      <c r="D1843" t="n">
        <v>116465</v>
      </c>
      <c r="E1843" t="n">
        <v>1414</v>
      </c>
      <c r="F1843" t="n">
        <v>181</v>
      </c>
      <c r="G1843" t="n">
        <v>114870</v>
      </c>
      <c r="H1843" t="n">
        <v>97845</v>
      </c>
      <c r="I1843" t="n">
        <v>-2966</v>
      </c>
      <c r="J1843" t="n">
        <v>1941131.800000023</v>
      </c>
      <c r="K1843" t="n">
        <v>115897</v>
      </c>
      <c r="L1843" t="n">
        <v>362826</v>
      </c>
      <c r="M1843" t="n">
        <v>276582</v>
      </c>
      <c r="N1843" t="n">
        <v>140239</v>
      </c>
      <c r="O1843" t="n">
        <v>19598</v>
      </c>
      <c r="P1843" t="n">
        <v>1703</v>
      </c>
    </row>
    <row r="1844">
      <c r="A1844" t="inlineStr">
        <is>
          <t>WN</t>
        </is>
      </c>
      <c r="B1844" t="n">
        <v>2019</v>
      </c>
      <c r="C1844" t="n">
        <v>11</v>
      </c>
      <c r="D1844" t="n">
        <v>109266</v>
      </c>
      <c r="E1844" t="n">
        <v>1136</v>
      </c>
      <c r="F1844" t="n">
        <v>131</v>
      </c>
      <c r="G1844" t="n">
        <v>107999</v>
      </c>
      <c r="H1844" t="n">
        <v>93192</v>
      </c>
      <c r="I1844" t="n">
        <v>-170191</v>
      </c>
      <c r="J1844" t="n">
        <v>1974768.400000006</v>
      </c>
      <c r="K1844" t="n">
        <v>107811</v>
      </c>
      <c r="L1844" t="n">
        <v>313033</v>
      </c>
      <c r="M1844" t="n">
        <v>254624</v>
      </c>
      <c r="N1844" t="n">
        <v>103336</v>
      </c>
      <c r="O1844" t="n">
        <v>8196</v>
      </c>
      <c r="P1844" t="n">
        <v>3942</v>
      </c>
    </row>
    <row r="1845">
      <c r="A1845" t="inlineStr">
        <is>
          <t>WN</t>
        </is>
      </c>
      <c r="B1845" t="n">
        <v>2019</v>
      </c>
      <c r="C1845" t="n">
        <v>12</v>
      </c>
      <c r="D1845" t="n">
        <v>114442</v>
      </c>
      <c r="E1845" t="n">
        <v>1194</v>
      </c>
      <c r="F1845" t="n">
        <v>137</v>
      </c>
      <c r="G1845" t="n">
        <v>113111</v>
      </c>
      <c r="H1845" t="n">
        <v>89118</v>
      </c>
      <c r="I1845" t="n">
        <v>510379</v>
      </c>
      <c r="J1845" t="n">
        <v>1944108.399999993</v>
      </c>
      <c r="K1845" t="n">
        <v>112744</v>
      </c>
      <c r="L1845" t="n">
        <v>558419</v>
      </c>
      <c r="M1845" t="n">
        <v>401750</v>
      </c>
      <c r="N1845" t="n">
        <v>167596</v>
      </c>
      <c r="O1845" t="n">
        <v>11873</v>
      </c>
      <c r="P1845" t="n">
        <v>3742</v>
      </c>
    </row>
    <row r="1846">
      <c r="A1846" t="inlineStr">
        <is>
          <t>WN</t>
        </is>
      </c>
      <c r="B1846" t="n">
        <v>2020</v>
      </c>
      <c r="C1846" t="n">
        <v>1</v>
      </c>
      <c r="D1846" t="n">
        <v>109770</v>
      </c>
      <c r="E1846" t="n">
        <v>1921</v>
      </c>
      <c r="F1846" t="n">
        <v>141</v>
      </c>
      <c r="G1846" t="n">
        <v>107708</v>
      </c>
      <c r="H1846" t="n">
        <v>97387</v>
      </c>
      <c r="I1846" t="n">
        <v>-601815</v>
      </c>
      <c r="J1846" t="n">
        <v>2042021.299999991</v>
      </c>
      <c r="K1846" t="n">
        <v>109244</v>
      </c>
      <c r="L1846" t="n">
        <v>192906</v>
      </c>
      <c r="M1846" t="n">
        <v>187937</v>
      </c>
      <c r="N1846" t="n">
        <v>81267</v>
      </c>
      <c r="O1846" t="n">
        <v>8654</v>
      </c>
      <c r="P1846" t="n">
        <v>1007</v>
      </c>
    </row>
    <row r="1847">
      <c r="A1847" t="inlineStr">
        <is>
          <t>WN</t>
        </is>
      </c>
      <c r="B1847" t="n">
        <v>2020</v>
      </c>
      <c r="C1847" t="n">
        <v>2</v>
      </c>
      <c r="D1847" t="n">
        <v>101581</v>
      </c>
      <c r="E1847" t="n">
        <v>1109</v>
      </c>
      <c r="F1847" t="n">
        <v>112</v>
      </c>
      <c r="G1847" t="n">
        <v>100360</v>
      </c>
      <c r="H1847" t="n">
        <v>90747</v>
      </c>
      <c r="I1847" t="n">
        <v>-568063</v>
      </c>
      <c r="J1847" t="n">
        <v>1914916.899999993</v>
      </c>
      <c r="K1847" t="n">
        <v>101154</v>
      </c>
      <c r="L1847" t="n">
        <v>198350</v>
      </c>
      <c r="M1847" t="n">
        <v>166873</v>
      </c>
      <c r="N1847" t="n">
        <v>91512</v>
      </c>
      <c r="O1847" t="n">
        <v>6940</v>
      </c>
      <c r="P1847" t="n">
        <v>1426</v>
      </c>
    </row>
    <row r="1848">
      <c r="A1848" t="inlineStr">
        <is>
          <t>WN</t>
        </is>
      </c>
      <c r="B1848" t="n">
        <v>2020</v>
      </c>
      <c r="C1848" t="n">
        <v>3</v>
      </c>
      <c r="D1848" t="n">
        <v>116689</v>
      </c>
      <c r="E1848" t="n">
        <v>19871</v>
      </c>
      <c r="F1848" t="n">
        <v>105</v>
      </c>
      <c r="G1848" t="n">
        <v>96713</v>
      </c>
      <c r="H1848" t="n">
        <v>89999</v>
      </c>
      <c r="I1848" t="n">
        <v>-808645</v>
      </c>
      <c r="J1848" t="n">
        <v>2002891.9</v>
      </c>
      <c r="K1848" t="n">
        <v>115303</v>
      </c>
      <c r="L1848" t="n">
        <v>88647</v>
      </c>
      <c r="M1848" t="n">
        <v>101893</v>
      </c>
      <c r="N1848" t="n">
        <v>81164</v>
      </c>
      <c r="O1848" t="n">
        <v>2874</v>
      </c>
      <c r="P1848" t="n">
        <v>498</v>
      </c>
    </row>
    <row r="1849">
      <c r="A1849" t="inlineStr">
        <is>
          <t>WN</t>
        </is>
      </c>
      <c r="B1849" t="n">
        <v>2020</v>
      </c>
      <c r="C1849" t="n">
        <v>4</v>
      </c>
      <c r="D1849" t="n">
        <v>94362</v>
      </c>
      <c r="E1849" t="n">
        <v>48707</v>
      </c>
      <c r="F1849" t="n">
        <v>34</v>
      </c>
      <c r="G1849" t="n">
        <v>45621</v>
      </c>
      <c r="H1849" t="n">
        <v>44315</v>
      </c>
      <c r="I1849" t="n">
        <v>-619931</v>
      </c>
      <c r="J1849" t="n">
        <v>1538951.600000001</v>
      </c>
      <c r="K1849" t="n">
        <v>93139</v>
      </c>
      <c r="L1849" t="n">
        <v>7263</v>
      </c>
      <c r="M1849" t="n">
        <v>23938</v>
      </c>
      <c r="N1849" t="n">
        <v>13355</v>
      </c>
      <c r="O1849" t="n">
        <v>930</v>
      </c>
      <c r="P1849" t="n">
        <v>328</v>
      </c>
    </row>
    <row r="1850">
      <c r="A1850" t="inlineStr">
        <is>
          <t>WN</t>
        </is>
      </c>
      <c r="B1850" t="n">
        <v>2020</v>
      </c>
      <c r="C1850" t="n">
        <v>5</v>
      </c>
      <c r="D1850" t="n">
        <v>45347</v>
      </c>
      <c r="E1850" t="n">
        <v>2697</v>
      </c>
      <c r="F1850" t="n">
        <v>48</v>
      </c>
      <c r="G1850" t="n">
        <v>42602</v>
      </c>
      <c r="H1850" t="n">
        <v>41406</v>
      </c>
      <c r="I1850" t="n">
        <v>-507743</v>
      </c>
      <c r="J1850" t="n">
        <v>683226.6000000044</v>
      </c>
      <c r="K1850" t="n">
        <v>45186</v>
      </c>
      <c r="L1850" t="n">
        <v>11860</v>
      </c>
      <c r="M1850" t="n">
        <v>24670</v>
      </c>
      <c r="N1850" t="n">
        <v>7338</v>
      </c>
      <c r="O1850" t="n">
        <v>3552</v>
      </c>
      <c r="P1850" t="n">
        <v>285</v>
      </c>
    </row>
    <row r="1851">
      <c r="A1851" t="inlineStr">
        <is>
          <t>WN</t>
        </is>
      </c>
      <c r="B1851" t="n">
        <v>2020</v>
      </c>
      <c r="C1851" t="n">
        <v>6</v>
      </c>
      <c r="D1851" t="n">
        <v>63828</v>
      </c>
      <c r="E1851" t="n">
        <v>172</v>
      </c>
      <c r="F1851" t="n">
        <v>82</v>
      </c>
      <c r="G1851" t="n">
        <v>63574</v>
      </c>
      <c r="H1851" t="n">
        <v>59813</v>
      </c>
      <c r="I1851" t="n">
        <v>-516708</v>
      </c>
      <c r="J1851" t="n">
        <v>962902.5999999992</v>
      </c>
      <c r="K1851" t="n">
        <v>63579</v>
      </c>
      <c r="L1851" t="n">
        <v>59151</v>
      </c>
      <c r="M1851" t="n">
        <v>67492</v>
      </c>
      <c r="N1851" t="n">
        <v>30204</v>
      </c>
      <c r="O1851" t="n">
        <v>13566</v>
      </c>
      <c r="P1851" t="n">
        <v>393</v>
      </c>
    </row>
    <row r="1852">
      <c r="A1852" t="inlineStr">
        <is>
          <t>WN</t>
        </is>
      </c>
      <c r="B1852" t="n">
        <v>2020</v>
      </c>
      <c r="C1852" t="n">
        <v>7</v>
      </c>
      <c r="D1852" t="n">
        <v>82736</v>
      </c>
      <c r="E1852" t="n">
        <v>572</v>
      </c>
      <c r="F1852" t="n">
        <v>107</v>
      </c>
      <c r="G1852" t="n">
        <v>82057</v>
      </c>
      <c r="H1852" t="n">
        <v>78201</v>
      </c>
      <c r="I1852" t="n">
        <v>-845997</v>
      </c>
      <c r="J1852" t="n">
        <v>1294118.4</v>
      </c>
      <c r="K1852" t="n">
        <v>82662</v>
      </c>
      <c r="L1852" t="n">
        <v>57416</v>
      </c>
      <c r="M1852" t="n">
        <v>67140</v>
      </c>
      <c r="N1852" t="n">
        <v>35953</v>
      </c>
      <c r="O1852" t="n">
        <v>14534</v>
      </c>
      <c r="P1852" t="n">
        <v>497</v>
      </c>
    </row>
    <row r="1853">
      <c r="A1853" t="inlineStr">
        <is>
          <t>WN</t>
        </is>
      </c>
      <c r="B1853" t="n">
        <v>2020</v>
      </c>
      <c r="C1853" t="n">
        <v>8</v>
      </c>
      <c r="D1853" t="n">
        <v>84843</v>
      </c>
      <c r="E1853" t="n">
        <v>1052</v>
      </c>
      <c r="F1853" t="n">
        <v>128</v>
      </c>
      <c r="G1853" t="n">
        <v>83663</v>
      </c>
      <c r="H1853" t="n">
        <v>79672</v>
      </c>
      <c r="I1853" t="n">
        <v>-809442</v>
      </c>
      <c r="J1853" t="n">
        <v>1277101.599999999</v>
      </c>
      <c r="K1853" t="n">
        <v>84492</v>
      </c>
      <c r="L1853" t="n">
        <v>59431</v>
      </c>
      <c r="M1853" t="n">
        <v>70554</v>
      </c>
      <c r="N1853" t="n">
        <v>36390</v>
      </c>
      <c r="O1853" t="n">
        <v>16627</v>
      </c>
      <c r="P1853" t="n">
        <v>494</v>
      </c>
    </row>
    <row r="1854">
      <c r="A1854" t="inlineStr">
        <is>
          <t>WN</t>
        </is>
      </c>
      <c r="B1854" t="n">
        <v>2020</v>
      </c>
      <c r="C1854" t="n">
        <v>9</v>
      </c>
      <c r="D1854" t="n">
        <v>63439</v>
      </c>
      <c r="E1854" t="n">
        <v>443</v>
      </c>
      <c r="F1854" t="n">
        <v>48</v>
      </c>
      <c r="G1854" t="n">
        <v>62948</v>
      </c>
      <c r="H1854" t="n">
        <v>60093</v>
      </c>
      <c r="I1854" t="n">
        <v>-570441</v>
      </c>
      <c r="J1854" t="n">
        <v>980755.3999999992</v>
      </c>
      <c r="K1854" t="n">
        <v>63322</v>
      </c>
      <c r="L1854" t="n">
        <v>41205</v>
      </c>
      <c r="M1854" t="n">
        <v>65791</v>
      </c>
      <c r="N1854" t="n">
        <v>18737</v>
      </c>
      <c r="O1854" t="n">
        <v>3388</v>
      </c>
      <c r="P1854" t="n">
        <v>256</v>
      </c>
    </row>
    <row r="1855">
      <c r="A1855" t="inlineStr">
        <is>
          <t>WN</t>
        </is>
      </c>
      <c r="B1855" t="n">
        <v>2020</v>
      </c>
      <c r="C1855" t="n">
        <v>10</v>
      </c>
      <c r="D1855" t="n">
        <v>64101</v>
      </c>
      <c r="E1855" t="n">
        <v>209</v>
      </c>
      <c r="F1855" t="n">
        <v>53</v>
      </c>
      <c r="G1855" t="n">
        <v>63839</v>
      </c>
      <c r="H1855" t="n">
        <v>61007</v>
      </c>
      <c r="I1855" t="n">
        <v>-568766</v>
      </c>
      <c r="J1855" t="n">
        <v>994900.6000000028</v>
      </c>
      <c r="K1855" t="n">
        <v>64060</v>
      </c>
      <c r="L1855" t="n">
        <v>26641</v>
      </c>
      <c r="M1855" t="n">
        <v>48895</v>
      </c>
      <c r="N1855" t="n">
        <v>26139</v>
      </c>
      <c r="O1855" t="n">
        <v>3468</v>
      </c>
      <c r="P1855" t="n">
        <v>866</v>
      </c>
    </row>
    <row r="1856">
      <c r="A1856" t="inlineStr">
        <is>
          <t>WN</t>
        </is>
      </c>
      <c r="B1856" t="n">
        <v>2020</v>
      </c>
      <c r="C1856" t="n">
        <v>11</v>
      </c>
      <c r="D1856" t="n">
        <v>70238</v>
      </c>
      <c r="E1856" t="n">
        <v>454</v>
      </c>
      <c r="F1856" t="n">
        <v>95</v>
      </c>
      <c r="G1856" t="n">
        <v>69689</v>
      </c>
      <c r="H1856" t="n">
        <v>66777</v>
      </c>
      <c r="I1856" t="n">
        <v>-743817</v>
      </c>
      <c r="J1856" t="n">
        <v>1299153.700000007</v>
      </c>
      <c r="K1856" t="n">
        <v>69696</v>
      </c>
      <c r="L1856" t="n">
        <v>45094</v>
      </c>
      <c r="M1856" t="n">
        <v>67250</v>
      </c>
      <c r="N1856" t="n">
        <v>23249</v>
      </c>
      <c r="O1856" t="n">
        <v>2992</v>
      </c>
      <c r="P1856" t="n">
        <v>481</v>
      </c>
    </row>
    <row r="1857">
      <c r="A1857" t="inlineStr">
        <is>
          <t>WN</t>
        </is>
      </c>
      <c r="B1857" t="n">
        <v>2020</v>
      </c>
      <c r="C1857" t="n">
        <v>12</v>
      </c>
      <c r="D1857" t="n">
        <v>64342</v>
      </c>
      <c r="E1857" t="n">
        <v>635</v>
      </c>
      <c r="F1857" t="n">
        <v>67</v>
      </c>
      <c r="G1857" t="n">
        <v>63640</v>
      </c>
      <c r="H1857" t="n">
        <v>57055</v>
      </c>
      <c r="I1857" t="n">
        <v>-337790</v>
      </c>
      <c r="J1857" t="n">
        <v>1141397.4</v>
      </c>
      <c r="K1857" t="n">
        <v>64065</v>
      </c>
      <c r="L1857" t="n">
        <v>87267</v>
      </c>
      <c r="M1857" t="n">
        <v>104518</v>
      </c>
      <c r="N1857" t="n">
        <v>56764</v>
      </c>
      <c r="O1857" t="n">
        <v>3202</v>
      </c>
      <c r="P1857" t="n">
        <v>952</v>
      </c>
    </row>
    <row r="1858">
      <c r="A1858" t="inlineStr">
        <is>
          <t>WN</t>
        </is>
      </c>
      <c r="B1858" t="n">
        <v>2021</v>
      </c>
      <c r="C1858" t="n">
        <v>1</v>
      </c>
      <c r="D1858" t="n">
        <v>61307</v>
      </c>
      <c r="E1858" t="n">
        <v>677</v>
      </c>
      <c r="F1858" t="n">
        <v>43</v>
      </c>
      <c r="G1858" t="n">
        <v>60587</v>
      </c>
      <c r="H1858" t="n">
        <v>55704</v>
      </c>
      <c r="I1858" t="n">
        <v>-429123</v>
      </c>
      <c r="J1858" t="n">
        <v>1100047.899999991</v>
      </c>
      <c r="K1858" t="n">
        <v>61140</v>
      </c>
      <c r="L1858" t="n">
        <v>68788</v>
      </c>
      <c r="M1858" t="n">
        <v>80565</v>
      </c>
      <c r="N1858" t="n">
        <v>59297</v>
      </c>
      <c r="O1858" t="n">
        <v>2241</v>
      </c>
      <c r="P1858" t="n">
        <v>510</v>
      </c>
    </row>
    <row r="1859">
      <c r="A1859" t="inlineStr">
        <is>
          <t>WN</t>
        </is>
      </c>
      <c r="B1859" t="n">
        <v>2021</v>
      </c>
      <c r="C1859" t="n">
        <v>2</v>
      </c>
      <c r="D1859" t="n">
        <v>52733</v>
      </c>
      <c r="E1859" t="n">
        <v>3840</v>
      </c>
      <c r="F1859" t="n">
        <v>73</v>
      </c>
      <c r="G1859" t="n">
        <v>48820</v>
      </c>
      <c r="H1859" t="n">
        <v>42706</v>
      </c>
      <c r="I1859" t="n">
        <v>-174367</v>
      </c>
      <c r="J1859" t="n">
        <v>947740.3999999968</v>
      </c>
      <c r="K1859" t="n">
        <v>52658</v>
      </c>
      <c r="L1859" t="n">
        <v>72755</v>
      </c>
      <c r="M1859" t="n">
        <v>104047</v>
      </c>
      <c r="N1859" t="n">
        <v>61395</v>
      </c>
      <c r="O1859" t="n">
        <v>9864</v>
      </c>
      <c r="P1859" t="n">
        <v>1583</v>
      </c>
    </row>
    <row r="1860">
      <c r="A1860" t="inlineStr">
        <is>
          <t>WN</t>
        </is>
      </c>
      <c r="B1860" t="n">
        <v>2021</v>
      </c>
      <c r="C1860" t="n">
        <v>3</v>
      </c>
      <c r="D1860" t="n">
        <v>80574</v>
      </c>
      <c r="E1860" t="n">
        <v>1782</v>
      </c>
      <c r="F1860" t="n">
        <v>128</v>
      </c>
      <c r="G1860" t="n">
        <v>78664</v>
      </c>
      <c r="H1860" t="n">
        <v>69384</v>
      </c>
      <c r="I1860" t="n">
        <v>-210840</v>
      </c>
      <c r="J1860" t="n">
        <v>1421459.500000004</v>
      </c>
      <c r="K1860" t="n">
        <v>79869</v>
      </c>
      <c r="L1860" t="n">
        <v>186938</v>
      </c>
      <c r="M1860" t="n">
        <v>164718</v>
      </c>
      <c r="N1860" t="n">
        <v>66077</v>
      </c>
      <c r="O1860" t="n">
        <v>10120</v>
      </c>
      <c r="P1860" t="n">
        <v>2835</v>
      </c>
    </row>
    <row r="1861">
      <c r="A1861" t="inlineStr">
        <is>
          <t>WN</t>
        </is>
      </c>
      <c r="B1861" t="n">
        <v>2021</v>
      </c>
      <c r="C1861" t="n">
        <v>4</v>
      </c>
      <c r="D1861" t="n">
        <v>80253</v>
      </c>
      <c r="E1861" t="n">
        <v>491</v>
      </c>
      <c r="F1861" t="n">
        <v>106</v>
      </c>
      <c r="G1861" t="n">
        <v>79656</v>
      </c>
      <c r="H1861" t="n">
        <v>70671</v>
      </c>
      <c r="I1861" t="n">
        <v>-255558</v>
      </c>
      <c r="J1861" t="n">
        <v>1345458.800000002</v>
      </c>
      <c r="K1861" t="n">
        <v>79787</v>
      </c>
      <c r="L1861" t="n">
        <v>163796</v>
      </c>
      <c r="M1861" t="n">
        <v>150857</v>
      </c>
      <c r="N1861" t="n">
        <v>84774</v>
      </c>
      <c r="O1861" t="n">
        <v>16073</v>
      </c>
      <c r="P1861" t="n">
        <v>3362</v>
      </c>
    </row>
    <row r="1862">
      <c r="A1862" t="inlineStr">
        <is>
          <t>WN</t>
        </is>
      </c>
      <c r="B1862" t="n">
        <v>2021</v>
      </c>
      <c r="C1862" t="n">
        <v>5</v>
      </c>
      <c r="D1862" t="n">
        <v>87286</v>
      </c>
      <c r="E1862" t="n">
        <v>257</v>
      </c>
      <c r="F1862" t="n">
        <v>215</v>
      </c>
      <c r="G1862" t="n">
        <v>86814</v>
      </c>
      <c r="H1862" t="n">
        <v>70932</v>
      </c>
      <c r="I1862" t="n">
        <v>273849</v>
      </c>
      <c r="J1862" t="n">
        <v>1403292.700000001</v>
      </c>
      <c r="K1862" t="n">
        <v>86413</v>
      </c>
      <c r="L1862" t="n">
        <v>366042</v>
      </c>
      <c r="M1862" t="n">
        <v>286947</v>
      </c>
      <c r="N1862" t="n">
        <v>142672</v>
      </c>
      <c r="O1862" t="n">
        <v>20602</v>
      </c>
      <c r="P1862" t="n">
        <v>1712</v>
      </c>
    </row>
    <row r="1863">
      <c r="A1863" t="inlineStr">
        <is>
          <t>WN</t>
        </is>
      </c>
      <c r="B1863" t="n">
        <v>2021</v>
      </c>
      <c r="C1863" t="n">
        <v>6</v>
      </c>
      <c r="D1863" t="n">
        <v>98532</v>
      </c>
      <c r="E1863" t="n">
        <v>3250</v>
      </c>
      <c r="F1863" t="n">
        <v>346</v>
      </c>
      <c r="G1863" t="n">
        <v>94936</v>
      </c>
      <c r="H1863" t="n">
        <v>61531</v>
      </c>
      <c r="I1863" t="n">
        <v>1688706</v>
      </c>
      <c r="J1863" t="n">
        <v>1488091.499999999</v>
      </c>
      <c r="K1863" t="n">
        <v>97378</v>
      </c>
      <c r="L1863" t="n">
        <v>989583</v>
      </c>
      <c r="M1863" t="n">
        <v>731863</v>
      </c>
      <c r="N1863" t="n">
        <v>235160</v>
      </c>
      <c r="O1863" t="n">
        <v>45970</v>
      </c>
      <c r="P1863" t="n">
        <v>4370</v>
      </c>
    </row>
    <row r="1864">
      <c r="A1864" t="inlineStr">
        <is>
          <t>WN</t>
        </is>
      </c>
      <c r="B1864" t="n">
        <v>2021</v>
      </c>
      <c r="C1864" t="n">
        <v>7</v>
      </c>
      <c r="D1864" t="n">
        <v>103956</v>
      </c>
      <c r="E1864" t="n">
        <v>1725</v>
      </c>
      <c r="F1864" t="n">
        <v>380</v>
      </c>
      <c r="G1864" t="n">
        <v>101851</v>
      </c>
      <c r="H1864" t="n">
        <v>70544</v>
      </c>
      <c r="I1864" t="n">
        <v>1323559</v>
      </c>
      <c r="J1864" t="n">
        <v>1553339.69999999</v>
      </c>
      <c r="K1864" t="n">
        <v>102852</v>
      </c>
      <c r="L1864" t="n">
        <v>826652</v>
      </c>
      <c r="M1864" t="n">
        <v>597618</v>
      </c>
      <c r="N1864" t="n">
        <v>224146</v>
      </c>
      <c r="O1864" t="n">
        <v>50297</v>
      </c>
      <c r="P1864" t="n">
        <v>3808</v>
      </c>
    </row>
    <row r="1865">
      <c r="A1865" t="inlineStr">
        <is>
          <t>WN</t>
        </is>
      </c>
      <c r="B1865" t="n">
        <v>2021</v>
      </c>
      <c r="C1865" t="n">
        <v>8</v>
      </c>
      <c r="D1865" t="n">
        <v>104524</v>
      </c>
      <c r="E1865" t="n">
        <v>3595</v>
      </c>
      <c r="F1865" t="n">
        <v>413</v>
      </c>
      <c r="G1865" t="n">
        <v>100516</v>
      </c>
      <c r="H1865" t="n">
        <v>70673</v>
      </c>
      <c r="I1865" t="n">
        <v>1209315</v>
      </c>
      <c r="J1865" t="n">
        <v>1563267.79999999</v>
      </c>
      <c r="K1865" t="n">
        <v>103460</v>
      </c>
      <c r="L1865" t="n">
        <v>772933</v>
      </c>
      <c r="M1865" t="n">
        <v>591086</v>
      </c>
      <c r="N1865" t="n">
        <v>196429</v>
      </c>
      <c r="O1865" t="n">
        <v>51018</v>
      </c>
      <c r="P1865" t="n">
        <v>3477</v>
      </c>
    </row>
    <row r="1866">
      <c r="A1866" t="inlineStr">
        <is>
          <t>WN</t>
        </is>
      </c>
      <c r="B1866" t="n">
        <v>2021</v>
      </c>
      <c r="C1866" t="n">
        <v>9</v>
      </c>
      <c r="D1866" t="n">
        <v>97438</v>
      </c>
      <c r="E1866" t="n">
        <v>2326</v>
      </c>
      <c r="F1866" t="n">
        <v>151</v>
      </c>
      <c r="G1866" t="n">
        <v>94961</v>
      </c>
      <c r="H1866" t="n">
        <v>78140</v>
      </c>
      <c r="I1866" t="n">
        <v>166882</v>
      </c>
      <c r="J1866" t="n">
        <v>1590359.699999998</v>
      </c>
      <c r="K1866" t="n">
        <v>95912</v>
      </c>
      <c r="L1866" t="n">
        <v>335123</v>
      </c>
      <c r="M1866" t="n">
        <v>327756</v>
      </c>
      <c r="N1866" t="n">
        <v>118693</v>
      </c>
      <c r="O1866" t="n">
        <v>14504</v>
      </c>
      <c r="P1866" t="n">
        <v>1555</v>
      </c>
    </row>
    <row r="1867">
      <c r="A1867" t="inlineStr">
        <is>
          <t>WN</t>
        </is>
      </c>
      <c r="B1867" t="n">
        <v>2021</v>
      </c>
      <c r="C1867" t="n">
        <v>10</v>
      </c>
      <c r="D1867" t="n">
        <v>103300</v>
      </c>
      <c r="E1867" t="n">
        <v>3972</v>
      </c>
      <c r="F1867" t="n">
        <v>195</v>
      </c>
      <c r="G1867" t="n">
        <v>99133</v>
      </c>
      <c r="H1867" t="n">
        <v>69309</v>
      </c>
      <c r="I1867" t="n">
        <v>1068638</v>
      </c>
      <c r="J1867" t="n">
        <v>1718413.500000006</v>
      </c>
      <c r="K1867" t="n">
        <v>102178</v>
      </c>
      <c r="L1867" t="n">
        <v>711986</v>
      </c>
      <c r="M1867" t="n">
        <v>575687</v>
      </c>
      <c r="N1867" t="n">
        <v>170770</v>
      </c>
      <c r="O1867" t="n">
        <v>14514</v>
      </c>
      <c r="P1867" t="n">
        <v>3763</v>
      </c>
    </row>
    <row r="1868">
      <c r="A1868" t="inlineStr">
        <is>
          <t>WN</t>
        </is>
      </c>
      <c r="B1868" t="n">
        <v>2021</v>
      </c>
      <c r="C1868" t="n">
        <v>11</v>
      </c>
      <c r="D1868" t="n">
        <v>97398</v>
      </c>
      <c r="E1868" t="n">
        <v>490</v>
      </c>
      <c r="F1868" t="n">
        <v>135</v>
      </c>
      <c r="G1868" t="n">
        <v>96773</v>
      </c>
      <c r="H1868" t="n">
        <v>78665</v>
      </c>
      <c r="I1868" t="n">
        <v>179095</v>
      </c>
      <c r="J1868" t="n">
        <v>1766149.400000002</v>
      </c>
      <c r="K1868" t="n">
        <v>95879</v>
      </c>
      <c r="L1868" t="n">
        <v>357535</v>
      </c>
      <c r="M1868" t="n">
        <v>335518</v>
      </c>
      <c r="N1868" t="n">
        <v>86302</v>
      </c>
      <c r="O1868" t="n">
        <v>4027</v>
      </c>
      <c r="P1868" t="n">
        <v>3622</v>
      </c>
    </row>
    <row r="1869">
      <c r="A1869" t="inlineStr">
        <is>
          <t>WN</t>
        </is>
      </c>
      <c r="B1869" t="n">
        <v>2021</v>
      </c>
      <c r="C1869" t="n">
        <v>12</v>
      </c>
      <c r="D1869" t="n">
        <v>97339</v>
      </c>
      <c r="E1869" t="n">
        <v>1100</v>
      </c>
      <c r="F1869" t="n">
        <v>190</v>
      </c>
      <c r="G1869" t="n">
        <v>96049</v>
      </c>
      <c r="H1869" t="n">
        <v>68509</v>
      </c>
      <c r="I1869" t="n">
        <v>874080</v>
      </c>
      <c r="J1869" t="n">
        <v>1693586.899999995</v>
      </c>
      <c r="K1869" t="n">
        <v>95645</v>
      </c>
      <c r="L1869" t="n">
        <v>660780</v>
      </c>
      <c r="M1869" t="n">
        <v>509433</v>
      </c>
      <c r="N1869" t="n">
        <v>165086</v>
      </c>
      <c r="O1869" t="n">
        <v>12940</v>
      </c>
      <c r="P1869" t="n">
        <v>3580</v>
      </c>
    </row>
    <row r="1870">
      <c r="A1870" t="inlineStr">
        <is>
          <t>WN</t>
        </is>
      </c>
      <c r="B1870" t="n">
        <v>2022</v>
      </c>
      <c r="C1870" t="n">
        <v>1</v>
      </c>
      <c r="D1870" t="n">
        <v>97436</v>
      </c>
      <c r="E1870" t="n">
        <v>6448</v>
      </c>
      <c r="F1870" t="n">
        <v>129</v>
      </c>
      <c r="G1870" t="n">
        <v>90859</v>
      </c>
      <c r="H1870" t="n">
        <v>74124</v>
      </c>
      <c r="I1870" t="n">
        <v>95432</v>
      </c>
      <c r="J1870" t="n">
        <v>1802160.999999997</v>
      </c>
      <c r="K1870" t="n">
        <v>96398</v>
      </c>
      <c r="L1870" t="n">
        <v>405678</v>
      </c>
      <c r="M1870" t="n">
        <v>354485</v>
      </c>
      <c r="N1870" t="n">
        <v>114247</v>
      </c>
      <c r="O1870" t="n">
        <v>12876</v>
      </c>
      <c r="P1870" t="n">
        <v>1984</v>
      </c>
    </row>
    <row r="1871">
      <c r="A1871" t="inlineStr">
        <is>
          <t>WN</t>
        </is>
      </c>
      <c r="B1871" t="n">
        <v>2022</v>
      </c>
      <c r="C1871" t="n">
        <v>2</v>
      </c>
      <c r="D1871" t="n">
        <v>90965</v>
      </c>
      <c r="E1871" t="n">
        <v>3779</v>
      </c>
      <c r="F1871" t="n">
        <v>123</v>
      </c>
      <c r="G1871" t="n">
        <v>87063</v>
      </c>
      <c r="H1871" t="n">
        <v>71211</v>
      </c>
      <c r="I1871" t="n">
        <v>-7662</v>
      </c>
      <c r="J1871" t="n">
        <v>1787232.899999997</v>
      </c>
      <c r="K1871" t="n">
        <v>90653</v>
      </c>
      <c r="L1871" t="n">
        <v>310967</v>
      </c>
      <c r="M1871" t="n">
        <v>299683</v>
      </c>
      <c r="N1871" t="n">
        <v>97967</v>
      </c>
      <c r="O1871" t="n">
        <v>7487</v>
      </c>
      <c r="P1871" t="n">
        <v>2208</v>
      </c>
    </row>
    <row r="1872">
      <c r="A1872" t="inlineStr">
        <is>
          <t>WN</t>
        </is>
      </c>
      <c r="B1872" t="n">
        <v>2022</v>
      </c>
      <c r="C1872" t="n">
        <v>3</v>
      </c>
      <c r="D1872" t="n">
        <v>103720</v>
      </c>
      <c r="E1872" t="n">
        <v>2048</v>
      </c>
      <c r="F1872" t="n">
        <v>192</v>
      </c>
      <c r="G1872" t="n">
        <v>101480</v>
      </c>
      <c r="H1872" t="n">
        <v>73773</v>
      </c>
      <c r="I1872" t="n">
        <v>911081</v>
      </c>
      <c r="J1872" t="n">
        <v>1766856.800000002</v>
      </c>
      <c r="K1872" t="n">
        <v>101486</v>
      </c>
      <c r="L1872" t="n">
        <v>711218</v>
      </c>
      <c r="M1872" t="n">
        <v>515769</v>
      </c>
      <c r="N1872" t="n">
        <v>209823</v>
      </c>
      <c r="O1872" t="n">
        <v>19692</v>
      </c>
      <c r="P1872" t="n">
        <v>4656</v>
      </c>
    </row>
    <row r="1873">
      <c r="A1873" t="inlineStr">
        <is>
          <t>WN</t>
        </is>
      </c>
      <c r="B1873" t="n">
        <v>2022</v>
      </c>
      <c r="C1873" t="n">
        <v>4</v>
      </c>
      <c r="D1873" t="n">
        <v>102931</v>
      </c>
      <c r="E1873" t="n">
        <v>1941</v>
      </c>
      <c r="F1873" t="n">
        <v>227</v>
      </c>
      <c r="G1873" t="n">
        <v>100763</v>
      </c>
      <c r="H1873" t="n">
        <v>72292</v>
      </c>
      <c r="I1873" t="n">
        <v>1070109</v>
      </c>
      <c r="J1873" t="n">
        <v>1592508.00000001</v>
      </c>
      <c r="K1873" t="n">
        <v>102311</v>
      </c>
      <c r="L1873" t="n">
        <v>750811</v>
      </c>
      <c r="M1873" t="n">
        <v>496619</v>
      </c>
      <c r="N1873" t="n">
        <v>201946</v>
      </c>
      <c r="O1873" t="n">
        <v>22113</v>
      </c>
      <c r="P1873" t="n">
        <v>2655</v>
      </c>
    </row>
    <row r="1874">
      <c r="A1874" t="inlineStr">
        <is>
          <t>WN</t>
        </is>
      </c>
      <c r="B1874" t="n">
        <v>2022</v>
      </c>
      <c r="C1874" t="n">
        <v>5</v>
      </c>
      <c r="D1874" t="n">
        <v>108027</v>
      </c>
      <c r="E1874" t="n">
        <v>809</v>
      </c>
      <c r="F1874" t="n">
        <v>226</v>
      </c>
      <c r="G1874" t="n">
        <v>106992</v>
      </c>
      <c r="H1874" t="n">
        <v>82992</v>
      </c>
      <c r="I1874" t="n">
        <v>552335</v>
      </c>
      <c r="J1874" t="n">
        <v>1669791.700000008</v>
      </c>
      <c r="K1874" t="n">
        <v>107598</v>
      </c>
      <c r="L1874" t="n">
        <v>509044</v>
      </c>
      <c r="M1874" t="n">
        <v>389472</v>
      </c>
      <c r="N1874" t="n">
        <v>165254</v>
      </c>
      <c r="O1874" t="n">
        <v>22658</v>
      </c>
      <c r="P1874" t="n">
        <v>3221</v>
      </c>
    </row>
    <row r="1875">
      <c r="A1875" t="inlineStr">
        <is>
          <t>WN</t>
        </is>
      </c>
      <c r="B1875" t="n">
        <v>2022</v>
      </c>
      <c r="C1875" t="n">
        <v>6</v>
      </c>
      <c r="D1875" t="n">
        <v>111002</v>
      </c>
      <c r="E1875" t="n">
        <v>1296</v>
      </c>
      <c r="F1875" t="n">
        <v>236</v>
      </c>
      <c r="G1875" t="n">
        <v>109470</v>
      </c>
      <c r="H1875" t="n">
        <v>79213</v>
      </c>
      <c r="I1875" t="n">
        <v>1076339</v>
      </c>
      <c r="J1875" t="n">
        <v>1617204.099999998</v>
      </c>
      <c r="K1875" t="n">
        <v>110232</v>
      </c>
      <c r="L1875" t="n">
        <v>743397</v>
      </c>
      <c r="M1875" t="n">
        <v>522121</v>
      </c>
      <c r="N1875" t="n">
        <v>194658</v>
      </c>
      <c r="O1875" t="n">
        <v>30713</v>
      </c>
      <c r="P1875" t="n">
        <v>3214</v>
      </c>
    </row>
    <row r="1876">
      <c r="A1876" t="inlineStr">
        <is>
          <t>WN</t>
        </is>
      </c>
      <c r="B1876" t="n">
        <v>2022</v>
      </c>
      <c r="C1876" t="n">
        <v>7</v>
      </c>
      <c r="D1876" t="n">
        <v>117844</v>
      </c>
      <c r="E1876" t="n">
        <v>1843</v>
      </c>
      <c r="F1876" t="n">
        <v>382</v>
      </c>
      <c r="G1876" t="n">
        <v>115619</v>
      </c>
      <c r="H1876" t="n">
        <v>81477</v>
      </c>
      <c r="I1876" t="n">
        <v>1413604</v>
      </c>
      <c r="J1876" t="n">
        <v>1703662.199999994</v>
      </c>
      <c r="K1876" t="n">
        <v>117222</v>
      </c>
      <c r="L1876" t="n">
        <v>994190</v>
      </c>
      <c r="M1876" t="n">
        <v>599033</v>
      </c>
      <c r="N1876" t="n">
        <v>222895</v>
      </c>
      <c r="O1876" t="n">
        <v>49729</v>
      </c>
      <c r="P1876" t="n">
        <v>7495</v>
      </c>
    </row>
    <row r="1877">
      <c r="A1877" t="inlineStr">
        <is>
          <t>WN</t>
        </is>
      </c>
      <c r="B1877" t="n">
        <v>2022</v>
      </c>
      <c r="C1877" t="n">
        <v>8</v>
      </c>
      <c r="D1877" t="n">
        <v>118889</v>
      </c>
      <c r="E1877" t="n">
        <v>3157</v>
      </c>
      <c r="F1877" t="n">
        <v>356</v>
      </c>
      <c r="G1877" t="n">
        <v>115376</v>
      </c>
      <c r="H1877" t="n">
        <v>80441</v>
      </c>
      <c r="I1877" t="n">
        <v>1513752</v>
      </c>
      <c r="J1877" t="n">
        <v>1718171.299999994</v>
      </c>
      <c r="K1877" t="n">
        <v>118393</v>
      </c>
      <c r="L1877" t="n">
        <v>1030435</v>
      </c>
      <c r="M1877" t="n">
        <v>619011</v>
      </c>
      <c r="N1877" t="n">
        <v>233722</v>
      </c>
      <c r="O1877" t="n">
        <v>57811</v>
      </c>
      <c r="P1877" t="n">
        <v>10409</v>
      </c>
    </row>
    <row r="1878">
      <c r="A1878" t="inlineStr">
        <is>
          <t>WN</t>
        </is>
      </c>
      <c r="B1878" t="n">
        <v>2022</v>
      </c>
      <c r="C1878" t="n">
        <v>9</v>
      </c>
      <c r="D1878" t="n">
        <v>112410</v>
      </c>
      <c r="E1878" t="n">
        <v>1983</v>
      </c>
      <c r="F1878" t="n">
        <v>245</v>
      </c>
      <c r="G1878" t="n">
        <v>110182</v>
      </c>
      <c r="H1878" t="n">
        <v>86510</v>
      </c>
      <c r="I1878" t="n">
        <v>534517</v>
      </c>
      <c r="J1878" t="n">
        <v>1800475.500000003</v>
      </c>
      <c r="K1878" t="n">
        <v>111365</v>
      </c>
      <c r="L1878" t="n">
        <v>574552</v>
      </c>
      <c r="M1878" t="n">
        <v>392929</v>
      </c>
      <c r="N1878" t="n">
        <v>152670</v>
      </c>
      <c r="O1878" t="n">
        <v>30832</v>
      </c>
      <c r="P1878" t="n">
        <v>2096</v>
      </c>
    </row>
    <row r="1879">
      <c r="A1879" t="inlineStr">
        <is>
          <t>WN</t>
        </is>
      </c>
      <c r="B1879" t="n">
        <v>2022</v>
      </c>
      <c r="C1879" t="n">
        <v>10</v>
      </c>
      <c r="D1879" t="n">
        <v>116520</v>
      </c>
      <c r="E1879" t="n">
        <v>1369</v>
      </c>
      <c r="F1879" t="n">
        <v>199</v>
      </c>
      <c r="G1879" t="n">
        <v>114952</v>
      </c>
      <c r="H1879" t="n">
        <v>93907</v>
      </c>
      <c r="I1879" t="n">
        <v>284094</v>
      </c>
      <c r="J1879" t="n">
        <v>1897216.900000016</v>
      </c>
      <c r="K1879" t="n">
        <v>115686</v>
      </c>
      <c r="L1879" t="n">
        <v>436982</v>
      </c>
      <c r="M1879" t="n">
        <v>341791</v>
      </c>
      <c r="N1879" t="n">
        <v>129840</v>
      </c>
      <c r="O1879" t="n">
        <v>11031</v>
      </c>
      <c r="P1879" t="n">
        <v>3456</v>
      </c>
    </row>
    <row r="1880">
      <c r="A1880" t="inlineStr">
        <is>
          <t>WN</t>
        </is>
      </c>
      <c r="B1880" t="n">
        <v>2022</v>
      </c>
      <c r="C1880" t="n">
        <v>11</v>
      </c>
      <c r="D1880" t="n">
        <v>111176</v>
      </c>
      <c r="E1880" t="n">
        <v>982</v>
      </c>
      <c r="F1880" t="n">
        <v>144</v>
      </c>
      <c r="G1880" t="n">
        <v>110050</v>
      </c>
      <c r="H1880" t="n">
        <v>90090</v>
      </c>
      <c r="I1880" t="n">
        <v>182959</v>
      </c>
      <c r="J1880" t="n">
        <v>1978397.800000006</v>
      </c>
      <c r="K1880" t="n">
        <v>109330</v>
      </c>
      <c r="L1880" t="n">
        <v>401173</v>
      </c>
      <c r="M1880" t="n">
        <v>319622</v>
      </c>
      <c r="N1880" t="n">
        <v>129497</v>
      </c>
      <c r="O1880" t="n">
        <v>7843</v>
      </c>
      <c r="P1880" t="n">
        <v>2479</v>
      </c>
    </row>
    <row r="1881">
      <c r="A1881" t="inlineStr">
        <is>
          <t>WN</t>
        </is>
      </c>
      <c r="B1881" t="n">
        <v>2022</v>
      </c>
      <c r="C1881" t="n">
        <v>12</v>
      </c>
      <c r="D1881" t="n">
        <v>116229</v>
      </c>
      <c r="E1881" t="n">
        <v>17000</v>
      </c>
      <c r="F1881" t="n">
        <v>170</v>
      </c>
      <c r="G1881" t="n">
        <v>99059</v>
      </c>
      <c r="H1881" t="n">
        <v>70580</v>
      </c>
      <c r="I1881" t="n">
        <v>1369061</v>
      </c>
      <c r="J1881" t="n">
        <v>1944491.100000005</v>
      </c>
      <c r="K1881" t="n">
        <v>112053</v>
      </c>
      <c r="L1881" t="n">
        <v>877828</v>
      </c>
      <c r="M1881" t="n">
        <v>693474</v>
      </c>
      <c r="N1881" t="n">
        <v>216511</v>
      </c>
      <c r="O1881" t="n">
        <v>27613</v>
      </c>
      <c r="P1881" t="n">
        <v>4143</v>
      </c>
    </row>
    <row r="1882">
      <c r="A1882" t="inlineStr">
        <is>
          <t>WN</t>
        </is>
      </c>
      <c r="B1882" t="n">
        <v>2023</v>
      </c>
      <c r="C1882" t="n">
        <v>1</v>
      </c>
      <c r="D1882" t="n">
        <v>112430</v>
      </c>
      <c r="E1882" t="n">
        <v>3234</v>
      </c>
      <c r="F1882" t="n">
        <v>197</v>
      </c>
      <c r="G1882" t="n">
        <v>108999</v>
      </c>
      <c r="H1882" t="n">
        <v>87169</v>
      </c>
      <c r="I1882" t="n">
        <v>535366</v>
      </c>
      <c r="J1882" t="n">
        <v>1941784.299999989</v>
      </c>
      <c r="K1882" t="n">
        <v>109244</v>
      </c>
      <c r="L1882" t="n">
        <v>659779</v>
      </c>
      <c r="M1882" t="n">
        <v>378124</v>
      </c>
      <c r="N1882" t="n">
        <v>205861</v>
      </c>
      <c r="O1882" t="n">
        <v>25209</v>
      </c>
      <c r="P1882" t="n">
        <v>1745</v>
      </c>
    </row>
    <row r="1883">
      <c r="A1883" t="inlineStr">
        <is>
          <t>WN</t>
        </is>
      </c>
      <c r="B1883" t="n">
        <v>2023</v>
      </c>
      <c r="C1883" t="n">
        <v>2</v>
      </c>
      <c r="D1883" t="n">
        <v>101455</v>
      </c>
      <c r="E1883" t="n">
        <v>2143</v>
      </c>
      <c r="F1883" t="n">
        <v>149</v>
      </c>
      <c r="G1883" t="n">
        <v>99163</v>
      </c>
      <c r="H1883" t="n">
        <v>83333</v>
      </c>
      <c r="I1883" t="n">
        <v>-23469</v>
      </c>
      <c r="J1883" t="n">
        <v>1761521.099999996</v>
      </c>
      <c r="K1883" t="n">
        <v>98652</v>
      </c>
      <c r="L1883" t="n">
        <v>330142</v>
      </c>
      <c r="M1883" t="n">
        <v>229678</v>
      </c>
      <c r="N1883" t="n">
        <v>135119</v>
      </c>
      <c r="O1883" t="n">
        <v>10307</v>
      </c>
      <c r="P1883" t="n">
        <v>1503</v>
      </c>
    </row>
    <row r="1884">
      <c r="A1884" t="inlineStr">
        <is>
          <t>WN</t>
        </is>
      </c>
      <c r="B1884" t="n">
        <v>2023</v>
      </c>
      <c r="C1884" t="n">
        <v>3</v>
      </c>
      <c r="D1884" t="n">
        <v>117997</v>
      </c>
      <c r="E1884" t="n">
        <v>1116</v>
      </c>
      <c r="F1884" t="n">
        <v>215</v>
      </c>
      <c r="G1884" t="n">
        <v>116666</v>
      </c>
      <c r="H1884" t="n">
        <v>88553</v>
      </c>
      <c r="I1884" t="n">
        <v>845017</v>
      </c>
      <c r="J1884" t="n">
        <v>1896776.100000022</v>
      </c>
      <c r="K1884" t="n">
        <v>113609</v>
      </c>
      <c r="L1884" t="n">
        <v>699913</v>
      </c>
      <c r="M1884" t="n">
        <v>349990</v>
      </c>
      <c r="N1884" t="n">
        <v>296926</v>
      </c>
      <c r="O1884" t="n">
        <v>19952</v>
      </c>
      <c r="P1884" t="n">
        <v>4337</v>
      </c>
    </row>
    <row r="1885">
      <c r="A1885" t="inlineStr">
        <is>
          <t>WN</t>
        </is>
      </c>
      <c r="B1885" t="n">
        <v>2023</v>
      </c>
      <c r="C1885" t="n">
        <v>4</v>
      </c>
      <c r="D1885" t="n">
        <v>115946</v>
      </c>
      <c r="E1885" t="n">
        <v>1249</v>
      </c>
      <c r="F1885" t="n">
        <v>284</v>
      </c>
      <c r="G1885" t="n">
        <v>114413</v>
      </c>
      <c r="H1885" t="n">
        <v>85135</v>
      </c>
      <c r="I1885" t="n">
        <v>1012818</v>
      </c>
      <c r="J1885" t="n">
        <v>1732814.199999998</v>
      </c>
      <c r="K1885" t="n">
        <v>111343</v>
      </c>
      <c r="L1885" t="n">
        <v>794636</v>
      </c>
      <c r="M1885" t="n">
        <v>396064</v>
      </c>
      <c r="N1885" t="n">
        <v>260410</v>
      </c>
      <c r="O1885" t="n">
        <v>34384</v>
      </c>
      <c r="P1885" t="n">
        <v>4463</v>
      </c>
    </row>
    <row r="1886">
      <c r="A1886" t="inlineStr">
        <is>
          <t>WN</t>
        </is>
      </c>
      <c r="B1886" t="n">
        <v>2023</v>
      </c>
      <c r="C1886" t="n">
        <v>5</v>
      </c>
      <c r="D1886" t="n">
        <v>122521</v>
      </c>
      <c r="E1886" t="n">
        <v>623</v>
      </c>
      <c r="F1886" t="n">
        <v>252</v>
      </c>
      <c r="G1886" t="n">
        <v>121646</v>
      </c>
      <c r="H1886" t="n">
        <v>96588</v>
      </c>
      <c r="I1886" t="n">
        <v>551855</v>
      </c>
      <c r="J1886" t="n">
        <v>1792991.400000002</v>
      </c>
      <c r="K1886" t="n">
        <v>117833</v>
      </c>
      <c r="L1886" t="n">
        <v>598154</v>
      </c>
      <c r="M1886" t="n">
        <v>332718</v>
      </c>
      <c r="N1886" t="n">
        <v>211140</v>
      </c>
      <c r="O1886" t="n">
        <v>25530</v>
      </c>
      <c r="P1886" t="n">
        <v>2129</v>
      </c>
    </row>
    <row r="1887">
      <c r="A1887" t="inlineStr">
        <is>
          <t>WN</t>
        </is>
      </c>
      <c r="B1887" t="n">
        <v>2023</v>
      </c>
      <c r="C1887" t="n">
        <v>6</v>
      </c>
      <c r="D1887" t="n">
        <v>119251</v>
      </c>
      <c r="E1887" t="n">
        <v>708</v>
      </c>
      <c r="F1887" t="n">
        <v>468</v>
      </c>
      <c r="G1887" t="n">
        <v>118075</v>
      </c>
      <c r="H1887" t="n">
        <v>83017</v>
      </c>
      <c r="I1887" t="n">
        <v>1483401</v>
      </c>
      <c r="J1887" t="n">
        <v>1627154.699999998</v>
      </c>
      <c r="K1887" t="n">
        <v>115572</v>
      </c>
      <c r="L1887" t="n">
        <v>1012451</v>
      </c>
      <c r="M1887" t="n">
        <v>451730</v>
      </c>
      <c r="N1887" t="n">
        <v>323133</v>
      </c>
      <c r="O1887" t="n">
        <v>57457</v>
      </c>
      <c r="P1887" t="n">
        <v>5765</v>
      </c>
    </row>
    <row r="1888">
      <c r="A1888" t="inlineStr">
        <is>
          <t>WN</t>
        </is>
      </c>
      <c r="B1888" t="n">
        <v>2023</v>
      </c>
      <c r="C1888" t="n">
        <v>7</v>
      </c>
      <c r="D1888" t="n">
        <v>126469</v>
      </c>
      <c r="E1888" t="n">
        <v>1191</v>
      </c>
      <c r="F1888" t="n">
        <v>438</v>
      </c>
      <c r="G1888" t="n">
        <v>124840</v>
      </c>
      <c r="H1888" t="n">
        <v>85790</v>
      </c>
      <c r="I1888" t="n">
        <v>1824252</v>
      </c>
      <c r="J1888" t="n">
        <v>1704910.599999998</v>
      </c>
      <c r="K1888" t="n">
        <v>122287</v>
      </c>
      <c r="L1888" t="n">
        <v>1210042</v>
      </c>
      <c r="M1888" t="n">
        <v>547958</v>
      </c>
      <c r="N1888" t="n">
        <v>366619</v>
      </c>
      <c r="O1888" t="n">
        <v>79561</v>
      </c>
      <c r="P1888" t="n">
        <v>4083</v>
      </c>
    </row>
    <row r="1889">
      <c r="A1889" t="inlineStr">
        <is>
          <t>WN</t>
        </is>
      </c>
      <c r="B1889" t="n">
        <v>2023</v>
      </c>
      <c r="C1889" t="n">
        <v>8</v>
      </c>
      <c r="D1889" t="n">
        <v>125664</v>
      </c>
      <c r="E1889" t="n">
        <v>2064</v>
      </c>
      <c r="F1889" t="n">
        <v>290</v>
      </c>
      <c r="G1889" t="n">
        <v>123310</v>
      </c>
      <c r="H1889" t="n">
        <v>94936</v>
      </c>
      <c r="I1889" t="n">
        <v>835985</v>
      </c>
      <c r="J1889" t="n">
        <v>1669692.699999998</v>
      </c>
      <c r="K1889" t="n">
        <v>121891</v>
      </c>
      <c r="L1889" t="n">
        <v>695021</v>
      </c>
      <c r="M1889" t="n">
        <v>366429</v>
      </c>
      <c r="N1889" t="n">
        <v>239757</v>
      </c>
      <c r="O1889" t="n">
        <v>36591</v>
      </c>
      <c r="P1889" t="n">
        <v>3894</v>
      </c>
    </row>
    <row r="1890">
      <c r="A1890" t="inlineStr">
        <is>
          <t>WN</t>
        </is>
      </c>
      <c r="B1890" t="n">
        <v>2023</v>
      </c>
      <c r="C1890" t="n">
        <v>9</v>
      </c>
      <c r="D1890" t="n">
        <v>117870</v>
      </c>
      <c r="E1890" t="n">
        <v>660</v>
      </c>
      <c r="F1890" t="n">
        <v>245</v>
      </c>
      <c r="G1890" t="n">
        <v>116965</v>
      </c>
      <c r="H1890" t="n">
        <v>93735</v>
      </c>
      <c r="I1890" t="n">
        <v>569650</v>
      </c>
      <c r="J1890" t="n">
        <v>1722028.099999998</v>
      </c>
      <c r="K1890" t="n">
        <v>114809</v>
      </c>
      <c r="L1890" t="n">
        <v>553721</v>
      </c>
      <c r="M1890" t="n">
        <v>319884</v>
      </c>
      <c r="N1890" t="n">
        <v>216367</v>
      </c>
      <c r="O1890" t="n">
        <v>35781</v>
      </c>
      <c r="P1890" t="n">
        <v>3419</v>
      </c>
    </row>
    <row r="1891">
      <c r="A1891" t="inlineStr">
        <is>
          <t>WN</t>
        </is>
      </c>
      <c r="B1891" t="n">
        <v>2023</v>
      </c>
      <c r="C1891" t="n">
        <v>10</v>
      </c>
      <c r="D1891" t="n">
        <v>128588</v>
      </c>
      <c r="E1891" t="n">
        <v>287</v>
      </c>
      <c r="F1891" t="n">
        <v>132</v>
      </c>
      <c r="G1891" t="n">
        <v>128169</v>
      </c>
      <c r="H1891" t="n">
        <v>102873</v>
      </c>
      <c r="I1891" t="n">
        <v>515344</v>
      </c>
      <c r="J1891" t="n">
        <v>1993664.300000023</v>
      </c>
      <c r="K1891" t="n">
        <v>124478</v>
      </c>
      <c r="L1891" t="n">
        <v>586574</v>
      </c>
      <c r="M1891" t="n">
        <v>353131</v>
      </c>
      <c r="N1891" t="n">
        <v>180791</v>
      </c>
      <c r="O1891" t="n">
        <v>13656</v>
      </c>
      <c r="P1891" t="n">
        <v>3561</v>
      </c>
    </row>
    <row r="1892">
      <c r="A1892" t="inlineStr">
        <is>
          <t>WN</t>
        </is>
      </c>
      <c r="B1892" t="n">
        <v>2023</v>
      </c>
      <c r="C1892" t="n">
        <v>11</v>
      </c>
      <c r="D1892" t="n">
        <v>122501</v>
      </c>
      <c r="E1892" t="n">
        <v>244</v>
      </c>
      <c r="F1892" t="n">
        <v>54</v>
      </c>
      <c r="G1892" t="n">
        <v>122203</v>
      </c>
      <c r="H1892" t="n">
        <v>105196</v>
      </c>
      <c r="I1892" t="n">
        <v>-137802</v>
      </c>
      <c r="J1892" t="n">
        <v>2152143.500000023</v>
      </c>
      <c r="K1892" t="n">
        <v>118865</v>
      </c>
      <c r="L1892" t="n">
        <v>336021</v>
      </c>
      <c r="M1892" t="n">
        <v>259181</v>
      </c>
      <c r="N1892" t="n">
        <v>98936</v>
      </c>
      <c r="O1892" t="n">
        <v>3575</v>
      </c>
      <c r="P1892" t="n">
        <v>3020</v>
      </c>
    </row>
    <row r="1893">
      <c r="A1893" t="inlineStr">
        <is>
          <t>WN</t>
        </is>
      </c>
      <c r="B1893" t="n">
        <v>2023</v>
      </c>
      <c r="C1893" t="n">
        <v>12</v>
      </c>
      <c r="D1893" t="n">
        <v>127773</v>
      </c>
      <c r="E1893" t="n">
        <v>806</v>
      </c>
      <c r="F1893" t="n">
        <v>178</v>
      </c>
      <c r="G1893" t="n">
        <v>126789</v>
      </c>
      <c r="H1893" t="n">
        <v>104950</v>
      </c>
      <c r="I1893" t="n">
        <v>237818</v>
      </c>
      <c r="J1893" t="n">
        <v>2114937.399999992</v>
      </c>
      <c r="K1893" t="n">
        <v>122497</v>
      </c>
      <c r="L1893" t="n">
        <v>526077</v>
      </c>
      <c r="M1893" t="n">
        <v>323311</v>
      </c>
      <c r="N1893" t="n">
        <v>160786</v>
      </c>
      <c r="O1893" t="n">
        <v>10236</v>
      </c>
      <c r="P1893" t="n">
        <v>5239</v>
      </c>
    </row>
    <row r="1894">
      <c r="A1894" t="inlineStr">
        <is>
          <t>WN</t>
        </is>
      </c>
      <c r="B1894" t="n">
        <v>2024</v>
      </c>
      <c r="C1894" t="n">
        <v>1</v>
      </c>
      <c r="D1894" t="n">
        <v>115389</v>
      </c>
      <c r="E1894" t="n">
        <v>3566</v>
      </c>
      <c r="F1894" t="n">
        <v>210</v>
      </c>
      <c r="G1894" t="n">
        <v>111613</v>
      </c>
      <c r="H1894" t="n">
        <v>85303</v>
      </c>
      <c r="I1894" t="n">
        <v>716637</v>
      </c>
      <c r="J1894" t="n">
        <v>1988038.499999989</v>
      </c>
      <c r="K1894" t="n">
        <v>111487</v>
      </c>
      <c r="L1894" t="n">
        <v>668111</v>
      </c>
      <c r="M1894" t="n">
        <v>379809</v>
      </c>
      <c r="N1894" t="n">
        <v>259920</v>
      </c>
      <c r="O1894" t="n">
        <v>31696</v>
      </c>
      <c r="P1894" t="n">
        <v>5734</v>
      </c>
    </row>
    <row r="1895">
      <c r="A1895" t="inlineStr">
        <is>
          <t>WN</t>
        </is>
      </c>
      <c r="B1895" t="n">
        <v>2024</v>
      </c>
      <c r="C1895" t="n">
        <v>2</v>
      </c>
      <c r="D1895" t="n">
        <v>105207</v>
      </c>
      <c r="E1895" t="n">
        <v>466</v>
      </c>
      <c r="F1895" t="n">
        <v>138</v>
      </c>
      <c r="G1895" t="n">
        <v>104603</v>
      </c>
      <c r="H1895" t="n">
        <v>87399</v>
      </c>
      <c r="I1895" t="n">
        <v>73803</v>
      </c>
      <c r="J1895" t="n">
        <v>1833707.399999983</v>
      </c>
      <c r="K1895" t="n">
        <v>101772</v>
      </c>
      <c r="L1895" t="n">
        <v>388079</v>
      </c>
      <c r="M1895" t="n">
        <v>232769</v>
      </c>
      <c r="N1895" t="n">
        <v>193224</v>
      </c>
      <c r="O1895" t="n">
        <v>15094</v>
      </c>
      <c r="P1895" t="n">
        <v>2413</v>
      </c>
    </row>
    <row r="1896">
      <c r="A1896" t="inlineStr">
        <is>
          <t>WN</t>
        </is>
      </c>
      <c r="B1896" t="n">
        <v>2024</v>
      </c>
      <c r="C1896" t="n">
        <v>3</v>
      </c>
      <c r="D1896" t="n">
        <v>125271</v>
      </c>
      <c r="E1896" t="n">
        <v>1169</v>
      </c>
      <c r="F1896" t="n">
        <v>197</v>
      </c>
      <c r="G1896" t="n">
        <v>123905</v>
      </c>
      <c r="H1896" t="n">
        <v>95929</v>
      </c>
      <c r="I1896" t="n">
        <v>842033</v>
      </c>
      <c r="J1896" t="n">
        <v>2140996.600000007</v>
      </c>
      <c r="K1896" t="n">
        <v>119247</v>
      </c>
      <c r="L1896" t="n">
        <v>817692</v>
      </c>
      <c r="M1896" t="n">
        <v>399792</v>
      </c>
      <c r="N1896" t="n">
        <v>319493</v>
      </c>
      <c r="O1896" t="n">
        <v>23325</v>
      </c>
      <c r="P1896" t="n">
        <v>4319</v>
      </c>
    </row>
    <row r="1897">
      <c r="A1897" t="inlineStr">
        <is>
          <t>WN</t>
        </is>
      </c>
      <c r="B1897" t="n">
        <v>2024</v>
      </c>
      <c r="C1897" t="n">
        <v>4</v>
      </c>
      <c r="D1897" t="n">
        <v>120579</v>
      </c>
      <c r="E1897" t="n">
        <v>482</v>
      </c>
      <c r="F1897" t="n">
        <v>194</v>
      </c>
      <c r="G1897" t="n">
        <v>119903</v>
      </c>
      <c r="H1897" t="n">
        <v>96229</v>
      </c>
      <c r="I1897" t="n">
        <v>560966</v>
      </c>
      <c r="J1897" t="n">
        <v>1966192.2</v>
      </c>
      <c r="K1897" t="n">
        <v>115508</v>
      </c>
      <c r="L1897" t="n">
        <v>642248</v>
      </c>
      <c r="M1897" t="n">
        <v>360631</v>
      </c>
      <c r="N1897" t="n">
        <v>219094</v>
      </c>
      <c r="O1897" t="n">
        <v>23181</v>
      </c>
      <c r="P1897" t="n">
        <v>3371</v>
      </c>
    </row>
    <row r="1898">
      <c r="A1898" t="inlineStr">
        <is>
          <t>WN</t>
        </is>
      </c>
      <c r="B1898" t="n">
        <v>2024</v>
      </c>
      <c r="C1898" t="n">
        <v>5</v>
      </c>
      <c r="D1898" t="n">
        <v>122496</v>
      </c>
      <c r="E1898" t="n">
        <v>828</v>
      </c>
      <c r="F1898" t="n">
        <v>431</v>
      </c>
      <c r="G1898" t="n">
        <v>121237</v>
      </c>
      <c r="H1898" t="n">
        <v>87405</v>
      </c>
      <c r="I1898" t="n">
        <v>1567131</v>
      </c>
      <c r="J1898" t="n">
        <v>1964644.4</v>
      </c>
      <c r="K1898" t="n">
        <v>117637</v>
      </c>
      <c r="L1898" t="n">
        <v>1166849</v>
      </c>
      <c r="M1898" t="n">
        <v>495397</v>
      </c>
      <c r="N1898" t="n">
        <v>356737</v>
      </c>
      <c r="O1898" t="n">
        <v>71521</v>
      </c>
      <c r="P1898" t="n">
        <v>3444</v>
      </c>
    </row>
    <row r="1899">
      <c r="A1899" t="inlineStr">
        <is>
          <t>WN</t>
        </is>
      </c>
      <c r="B1899" t="n">
        <v>2024</v>
      </c>
      <c r="C1899" t="n">
        <v>6</v>
      </c>
      <c r="D1899" t="n">
        <v>123817</v>
      </c>
      <c r="E1899" t="n">
        <v>406</v>
      </c>
      <c r="F1899" t="n">
        <v>363</v>
      </c>
      <c r="G1899" t="n">
        <v>123048</v>
      </c>
      <c r="H1899" t="n">
        <v>91302</v>
      </c>
      <c r="I1899" t="n">
        <v>1221566</v>
      </c>
      <c r="J1899" t="n">
        <v>1876165.49999999</v>
      </c>
      <c r="K1899" t="n">
        <v>117182</v>
      </c>
      <c r="L1899" t="n">
        <v>916001</v>
      </c>
      <c r="M1899" t="n">
        <v>502487</v>
      </c>
      <c r="N1899" t="n">
        <v>260481</v>
      </c>
      <c r="O1899" t="n">
        <v>50958</v>
      </c>
      <c r="P1899" t="n">
        <v>4880</v>
      </c>
    </row>
    <row r="1900">
      <c r="A1900" t="inlineStr">
        <is>
          <t>WN</t>
        </is>
      </c>
      <c r="B1900" t="n">
        <v>2024</v>
      </c>
      <c r="C1900" t="n">
        <v>7</v>
      </c>
      <c r="D1900" t="n">
        <v>127642</v>
      </c>
      <c r="E1900" t="n">
        <v>849</v>
      </c>
      <c r="F1900" t="n">
        <v>502</v>
      </c>
      <c r="G1900" t="n">
        <v>126291</v>
      </c>
      <c r="H1900" t="n">
        <v>90066</v>
      </c>
      <c r="I1900" t="n">
        <v>1536360</v>
      </c>
      <c r="J1900" t="n">
        <v>1925245.300000001</v>
      </c>
      <c r="K1900" t="n">
        <v>120793</v>
      </c>
      <c r="L1900" t="n">
        <v>1084224</v>
      </c>
      <c r="M1900" t="n">
        <v>591746</v>
      </c>
      <c r="N1900" t="n">
        <v>303596</v>
      </c>
      <c r="O1900" t="n">
        <v>60000</v>
      </c>
      <c r="P1900" t="n">
        <v>5501</v>
      </c>
    </row>
    <row r="1901">
      <c r="A1901" t="inlineStr">
        <is>
          <t>WN</t>
        </is>
      </c>
      <c r="B1901" t="n">
        <v>2024</v>
      </c>
      <c r="C1901" t="n">
        <v>8</v>
      </c>
      <c r="D1901" t="n">
        <v>118338</v>
      </c>
      <c r="E1901" t="n">
        <v>1006</v>
      </c>
      <c r="F1901" t="n">
        <v>315</v>
      </c>
      <c r="G1901" t="n">
        <v>117017</v>
      </c>
      <c r="H1901" t="n">
        <v>93223</v>
      </c>
      <c r="I1901" t="n">
        <v>593025</v>
      </c>
      <c r="J1901" t="n">
        <v>1852623.700000003</v>
      </c>
      <c r="K1901" t="n">
        <v>113551</v>
      </c>
      <c r="L1901" t="n">
        <v>632635</v>
      </c>
      <c r="M1901" t="n">
        <v>361283</v>
      </c>
      <c r="N1901" t="n">
        <v>258777</v>
      </c>
      <c r="O1901" t="n">
        <v>43019</v>
      </c>
      <c r="P1901" t="n">
        <v>3418</v>
      </c>
    </row>
    <row r="1902">
      <c r="A1902" t="inlineStr">
        <is>
          <t>WN</t>
        </is>
      </c>
      <c r="B1902" t="n">
        <v>2024</v>
      </c>
      <c r="C1902" t="n">
        <v>9</v>
      </c>
      <c r="D1902" t="n">
        <v>112561</v>
      </c>
      <c r="E1902" t="n">
        <v>493</v>
      </c>
      <c r="F1902" t="n">
        <v>143</v>
      </c>
      <c r="G1902" t="n">
        <v>111925</v>
      </c>
      <c r="H1902" t="n">
        <v>95683</v>
      </c>
      <c r="I1902" t="n">
        <v>-30328</v>
      </c>
      <c r="J1902" t="n">
        <v>1829768.500000031</v>
      </c>
      <c r="K1902" t="n">
        <v>108193</v>
      </c>
      <c r="L1902" t="n">
        <v>356397</v>
      </c>
      <c r="M1902" t="n">
        <v>226824</v>
      </c>
      <c r="N1902" t="n">
        <v>141152</v>
      </c>
      <c r="O1902" t="n">
        <v>10277</v>
      </c>
      <c r="P1902" t="n">
        <v>1423</v>
      </c>
    </row>
    <row r="1903">
      <c r="A1903" t="inlineStr">
        <is>
          <t>WN</t>
        </is>
      </c>
      <c r="B1903" t="n">
        <v>2024</v>
      </c>
      <c r="C1903" t="n">
        <v>10</v>
      </c>
      <c r="D1903" t="n">
        <v>119251</v>
      </c>
      <c r="E1903" t="n">
        <v>1546</v>
      </c>
      <c r="F1903" t="n">
        <v>135</v>
      </c>
      <c r="G1903" t="n">
        <v>117570</v>
      </c>
      <c r="H1903" t="n">
        <v>101863</v>
      </c>
      <c r="I1903" t="n">
        <v>-147681</v>
      </c>
      <c r="J1903" t="n">
        <v>2024016.200000027</v>
      </c>
      <c r="K1903" t="n">
        <v>113727</v>
      </c>
      <c r="L1903" t="n">
        <v>355609</v>
      </c>
      <c r="M1903" t="n">
        <v>232103</v>
      </c>
      <c r="N1903" t="n">
        <v>124065</v>
      </c>
      <c r="O1903" t="n">
        <v>7014</v>
      </c>
      <c r="P1903" t="n">
        <v>2030</v>
      </c>
    </row>
    <row r="1904">
      <c r="A1904" t="inlineStr">
        <is>
          <t>WN</t>
        </is>
      </c>
      <c r="B1904" t="n">
        <v>2024</v>
      </c>
      <c r="C1904" t="n">
        <v>11</v>
      </c>
      <c r="D1904" t="n">
        <v>112591</v>
      </c>
      <c r="E1904" t="n">
        <v>386</v>
      </c>
      <c r="F1904" t="n">
        <v>137</v>
      </c>
      <c r="G1904" t="n">
        <v>112068</v>
      </c>
      <c r="H1904" t="n">
        <v>97828</v>
      </c>
      <c r="I1904" t="n">
        <v>-278561</v>
      </c>
      <c r="J1904" t="n">
        <v>2111922.000000027</v>
      </c>
      <c r="K1904" t="n">
        <v>107914</v>
      </c>
      <c r="L1904" t="n">
        <v>325410</v>
      </c>
      <c r="M1904" t="n">
        <v>208470</v>
      </c>
      <c r="N1904" t="n">
        <v>129580</v>
      </c>
      <c r="O1904" t="n">
        <v>11977</v>
      </c>
      <c r="P1904" t="n">
        <v>2473</v>
      </c>
    </row>
    <row r="1905">
      <c r="A1905" t="inlineStr">
        <is>
          <t>WN</t>
        </is>
      </c>
      <c r="B1905" t="n">
        <v>2024</v>
      </c>
      <c r="C1905" t="n">
        <v>12</v>
      </c>
      <c r="D1905" t="n">
        <v>116276</v>
      </c>
      <c r="E1905" t="n">
        <v>574</v>
      </c>
      <c r="F1905" t="n">
        <v>285</v>
      </c>
      <c r="G1905" t="n">
        <v>115417</v>
      </c>
      <c r="H1905" t="n">
        <v>92953</v>
      </c>
      <c r="I1905" t="n">
        <v>543752</v>
      </c>
      <c r="J1905" t="n">
        <v>2053483.600000004</v>
      </c>
      <c r="K1905" t="n">
        <v>110471</v>
      </c>
      <c r="L1905" t="n">
        <v>736564</v>
      </c>
      <c r="M1905" t="n">
        <v>350339</v>
      </c>
      <c r="N1905" t="n">
        <v>196968</v>
      </c>
      <c r="O1905" t="n">
        <v>30541</v>
      </c>
      <c r="P1905" t="n">
        <v>3303</v>
      </c>
    </row>
    <row r="1906">
      <c r="A1906" t="inlineStr">
        <is>
          <t>WN</t>
        </is>
      </c>
      <c r="B1906" t="n">
        <v>2025</v>
      </c>
      <c r="C1906" t="n">
        <v>1</v>
      </c>
      <c r="D1906" t="n">
        <v>105307</v>
      </c>
      <c r="E1906" t="n">
        <v>3016</v>
      </c>
      <c r="F1906" t="n">
        <v>171</v>
      </c>
      <c r="G1906" t="n">
        <v>102120</v>
      </c>
      <c r="H1906" t="n">
        <v>86589</v>
      </c>
      <c r="I1906" t="n">
        <v>-119834</v>
      </c>
      <c r="J1906" t="n">
        <v>2028593.399999988</v>
      </c>
      <c r="K1906" t="n">
        <v>101280</v>
      </c>
      <c r="L1906" t="n">
        <v>370449</v>
      </c>
      <c r="M1906" t="n">
        <v>239675</v>
      </c>
      <c r="N1906" t="n">
        <v>161075</v>
      </c>
      <c r="O1906" t="n">
        <v>32973</v>
      </c>
      <c r="P1906" t="n">
        <v>2682</v>
      </c>
    </row>
    <row r="1907">
      <c r="A1907" t="inlineStr">
        <is>
          <t>WN</t>
        </is>
      </c>
      <c r="B1907" t="n">
        <v>2025</v>
      </c>
      <c r="C1907" t="n">
        <v>2</v>
      </c>
      <c r="D1907" t="n">
        <v>100199</v>
      </c>
      <c r="E1907" t="n">
        <v>557</v>
      </c>
      <c r="F1907" t="n">
        <v>136</v>
      </c>
      <c r="G1907" t="n">
        <v>99506</v>
      </c>
      <c r="H1907" t="n">
        <v>83106</v>
      </c>
      <c r="I1907" t="n">
        <v>22420</v>
      </c>
      <c r="J1907" t="n">
        <v>1948259.799999973</v>
      </c>
      <c r="K1907" t="n">
        <v>95585</v>
      </c>
      <c r="L1907" t="n">
        <v>443046</v>
      </c>
      <c r="M1907" t="n">
        <v>246600</v>
      </c>
      <c r="N1907" t="n">
        <v>214121</v>
      </c>
      <c r="O1907" t="n">
        <v>19974</v>
      </c>
      <c r="P1907" t="n">
        <v>1983</v>
      </c>
    </row>
    <row r="1908">
      <c r="A1908" t="inlineStr">
        <is>
          <t>WN</t>
        </is>
      </c>
      <c r="B1908" t="n">
        <v>2025</v>
      </c>
      <c r="C1908" t="n">
        <v>3</v>
      </c>
      <c r="D1908" t="n">
        <v>122432</v>
      </c>
      <c r="E1908" t="n">
        <v>1022</v>
      </c>
      <c r="F1908" t="n">
        <v>292</v>
      </c>
      <c r="G1908" t="n">
        <v>121118</v>
      </c>
      <c r="H1908" t="n">
        <v>99834</v>
      </c>
      <c r="I1908" t="n">
        <v>360495</v>
      </c>
      <c r="J1908" t="n">
        <v>2265598.199999999</v>
      </c>
      <c r="K1908" t="n">
        <v>114636</v>
      </c>
      <c r="L1908" t="n">
        <v>663147</v>
      </c>
      <c r="M1908" t="n">
        <v>342671</v>
      </c>
      <c r="N1908" t="n">
        <v>240738</v>
      </c>
      <c r="O1908" t="n">
        <v>32021</v>
      </c>
      <c r="P1908" t="n">
        <v>2829</v>
      </c>
    </row>
    <row r="1909">
      <c r="A1909" t="inlineStr">
        <is>
          <t>WN</t>
        </is>
      </c>
      <c r="B1909" t="n">
        <v>2025</v>
      </c>
      <c r="C1909" t="n">
        <v>4</v>
      </c>
      <c r="D1909" t="n">
        <v>117622</v>
      </c>
      <c r="E1909" t="n">
        <v>585</v>
      </c>
      <c r="F1909" t="n">
        <v>197</v>
      </c>
      <c r="G1909" t="n">
        <v>116840</v>
      </c>
      <c r="H1909" t="n">
        <v>94667</v>
      </c>
      <c r="I1909" t="n">
        <v>511840</v>
      </c>
      <c r="J1909" t="n">
        <v>2042047.200000002</v>
      </c>
      <c r="K1909" t="n">
        <v>110226</v>
      </c>
      <c r="L1909" t="n">
        <v>654208</v>
      </c>
      <c r="M1909" t="n">
        <v>321725</v>
      </c>
      <c r="N1909" t="n">
        <v>248095</v>
      </c>
      <c r="O1909" t="n">
        <v>36164</v>
      </c>
      <c r="P1909" t="n">
        <v>3144</v>
      </c>
    </row>
    <row r="1910">
      <c r="A1910" t="inlineStr">
        <is>
          <t>WN</t>
        </is>
      </c>
      <c r="B1910" t="n">
        <v>2025</v>
      </c>
      <c r="C1910" t="n">
        <v>5</v>
      </c>
      <c r="D1910" t="n">
        <v>119819</v>
      </c>
      <c r="E1910" t="n">
        <v>626</v>
      </c>
      <c r="F1910" t="n">
        <v>309</v>
      </c>
      <c r="G1910" t="n">
        <v>118884</v>
      </c>
      <c r="H1910" t="n">
        <v>91428</v>
      </c>
      <c r="I1910" t="n">
        <v>981645</v>
      </c>
      <c r="J1910" t="n">
        <v>2042498.100000002</v>
      </c>
      <c r="K1910" t="n">
        <v>112308</v>
      </c>
      <c r="L1910" t="n">
        <v>816825</v>
      </c>
      <c r="M1910" t="n">
        <v>395335</v>
      </c>
      <c r="N1910" t="n">
        <v>350808</v>
      </c>
      <c r="O1910" t="n">
        <v>64692</v>
      </c>
      <c r="P1910" t="n">
        <v>1740</v>
      </c>
    </row>
    <row r="1911">
      <c r="A1911" t="inlineStr">
        <is>
          <t>WN</t>
        </is>
      </c>
      <c r="B1911" t="n">
        <v>2025</v>
      </c>
      <c r="C1911" t="n">
        <v>6</v>
      </c>
      <c r="D1911" t="n">
        <v>122348</v>
      </c>
      <c r="E1911" t="n">
        <v>756</v>
      </c>
      <c r="F1911" t="n">
        <v>440</v>
      </c>
      <c r="G1911" t="n">
        <v>121152</v>
      </c>
      <c r="H1911" t="n">
        <v>87039</v>
      </c>
      <c r="I1911" t="n">
        <v>1527112</v>
      </c>
      <c r="J1911" t="n">
        <v>1990793.699999997</v>
      </c>
      <c r="K1911" t="n">
        <v>113806</v>
      </c>
      <c r="L1911" t="n">
        <v>1096328</v>
      </c>
      <c r="M1911" t="n">
        <v>527804</v>
      </c>
      <c r="N1911" t="n">
        <v>363448</v>
      </c>
      <c r="O1911" t="n">
        <v>69296</v>
      </c>
      <c r="P1911" t="n">
        <v>4725</v>
      </c>
    </row>
    <row r="1912">
      <c r="A1912" t="inlineStr">
        <is>
          <t>WN</t>
        </is>
      </c>
      <c r="B1912" t="n">
        <v>2025</v>
      </c>
      <c r="C1912" t="n">
        <v>7</v>
      </c>
      <c r="D1912" t="n">
        <v>125677</v>
      </c>
      <c r="E1912" t="n">
        <v>1605</v>
      </c>
      <c r="F1912" t="n">
        <v>545</v>
      </c>
      <c r="G1912" t="n">
        <v>123527</v>
      </c>
      <c r="H1912" t="n">
        <v>87796</v>
      </c>
      <c r="I1912" t="n">
        <v>1820256</v>
      </c>
      <c r="J1912" t="n">
        <v>2026624.300000013</v>
      </c>
      <c r="K1912" t="n">
        <v>116893</v>
      </c>
      <c r="L1912" t="n">
        <v>1234461</v>
      </c>
      <c r="M1912" t="n">
        <v>597280</v>
      </c>
      <c r="N1912" t="n">
        <v>424035</v>
      </c>
      <c r="O1912" t="n">
        <v>100072</v>
      </c>
      <c r="P1912" t="n">
        <v>4011</v>
      </c>
    </row>
    <row r="1913">
      <c r="A1913" t="inlineStr">
        <is>
          <t>WN</t>
        </is>
      </c>
      <c r="B1913" t="n">
        <v>2025</v>
      </c>
      <c r="C1913" t="n">
        <v>8</v>
      </c>
      <c r="D1913" t="n">
        <v>114519</v>
      </c>
      <c r="E1913" t="n">
        <v>435</v>
      </c>
      <c r="F1913" t="n">
        <v>405</v>
      </c>
      <c r="G1913" t="n">
        <v>113679</v>
      </c>
      <c r="H1913" t="n">
        <v>89309</v>
      </c>
      <c r="I1913" t="n">
        <v>734025</v>
      </c>
      <c r="J1913" t="n">
        <v>1862225.499999993</v>
      </c>
      <c r="K1913" t="n">
        <v>107407</v>
      </c>
      <c r="L1913" t="n">
        <v>674995</v>
      </c>
      <c r="M1913" t="n">
        <v>346959</v>
      </c>
      <c r="N1913" t="n">
        <v>267459</v>
      </c>
      <c r="O1913" t="n">
        <v>56245</v>
      </c>
      <c r="P1913" t="n">
        <v>2946</v>
      </c>
    </row>
    <row r="1914">
      <c r="A1914" t="inlineStr">
        <is>
          <t>WN</t>
        </is>
      </c>
      <c r="B1914" t="n">
        <v>2025</v>
      </c>
      <c r="C1914" t="n">
        <v>9</v>
      </c>
      <c r="D1914" t="n">
        <v>110361</v>
      </c>
      <c r="E1914" t="n">
        <v>265</v>
      </c>
      <c r="F1914" t="n">
        <v>207</v>
      </c>
      <c r="G1914" t="n">
        <v>109889</v>
      </c>
      <c r="H1914" t="n">
        <v>91154</v>
      </c>
      <c r="I1914" t="n">
        <v>284532</v>
      </c>
      <c r="J1914" t="n">
        <v>1857231.499999993</v>
      </c>
      <c r="K1914" t="n">
        <v>103993</v>
      </c>
      <c r="L1914" t="n">
        <v>460534</v>
      </c>
      <c r="M1914" t="n">
        <v>258031</v>
      </c>
      <c r="N1914" t="n">
        <v>205670</v>
      </c>
      <c r="O1914" t="n">
        <v>27109</v>
      </c>
      <c r="P1914" t="n">
        <v>2339</v>
      </c>
    </row>
    <row r="1915">
      <c r="A1915" t="inlineStr">
        <is>
          <t>WN</t>
        </is>
      </c>
      <c r="B1915" t="n">
        <v>2025</v>
      </c>
      <c r="C1915" t="n">
        <v>10</v>
      </c>
      <c r="D1915" t="n">
        <v>121588</v>
      </c>
      <c r="E1915" t="n">
        <v>308</v>
      </c>
      <c r="F1915" t="n">
        <v>188</v>
      </c>
      <c r="G1915" t="n">
        <v>121092</v>
      </c>
      <c r="H1915" t="n">
        <v>93692</v>
      </c>
      <c r="I1915" t="n">
        <v>786946</v>
      </c>
      <c r="J1915" t="n">
        <v>2036466.500000054</v>
      </c>
      <c r="K1915" t="n">
        <v>114147</v>
      </c>
      <c r="L1915" t="n">
        <v>713078</v>
      </c>
      <c r="M1915" t="n">
        <v>380211</v>
      </c>
      <c r="N1915" t="n">
        <v>231735</v>
      </c>
      <c r="O1915" t="n">
        <v>21289</v>
      </c>
      <c r="P1915" t="n">
        <v>2910</v>
      </c>
    </row>
    <row r="1916">
      <c r="A1916" t="inlineStr">
        <is>
          <t>WN</t>
        </is>
      </c>
      <c r="B1916" t="n">
        <v>2025</v>
      </c>
      <c r="C1916" t="n">
        <v>11</v>
      </c>
      <c r="D1916" t="n">
        <v>113935</v>
      </c>
      <c r="E1916" t="n">
        <v>1970</v>
      </c>
      <c r="F1916" t="n">
        <v>148</v>
      </c>
      <c r="G1916" t="n">
        <v>111817</v>
      </c>
      <c r="H1916" t="n">
        <v>89280</v>
      </c>
      <c r="I1916" t="n">
        <v>506417</v>
      </c>
      <c r="J1916" t="n">
        <v>2132138.100000001</v>
      </c>
      <c r="K1916" t="n">
        <v>106857</v>
      </c>
      <c r="L1916" t="n">
        <v>657321</v>
      </c>
      <c r="M1916" t="n">
        <v>313766</v>
      </c>
      <c r="N1916" t="n">
        <v>284959</v>
      </c>
      <c r="O1916" t="n">
        <v>16540</v>
      </c>
      <c r="P1916" t="n">
        <v>3690</v>
      </c>
    </row>
    <row r="1917">
      <c r="A1917" t="inlineStr">
        <is>
          <t>WN</t>
        </is>
      </c>
      <c r="B1917" t="n">
        <v>2025</v>
      </c>
      <c r="C1917" t="n">
        <v>12</v>
      </c>
      <c r="D1917" t="n">
        <v>118074</v>
      </c>
      <c r="E1917" t="n">
        <v>653</v>
      </c>
      <c r="F1917" t="n">
        <v>208</v>
      </c>
      <c r="G1917" t="n">
        <v>117213</v>
      </c>
      <c r="H1917" t="n">
        <v>88368</v>
      </c>
      <c r="I1917" t="n">
        <v>911415</v>
      </c>
      <c r="J1917" t="n">
        <v>2076909.699999998</v>
      </c>
      <c r="K1917" t="n">
        <v>109717</v>
      </c>
      <c r="L1917" t="n">
        <v>816606</v>
      </c>
      <c r="M1917" t="n">
        <v>432083</v>
      </c>
      <c r="N1917" t="n">
        <v>250474</v>
      </c>
      <c r="O1917" t="n">
        <v>19226</v>
      </c>
      <c r="P1917" t="n">
        <v>6462</v>
      </c>
    </row>
    <row r="1918">
      <c r="A1918" t="inlineStr">
        <is>
          <t>WN</t>
        </is>
      </c>
      <c r="B1918" t="n">
        <v>2026</v>
      </c>
      <c r="C1918" t="n">
        <v>1</v>
      </c>
      <c r="D1918" t="n">
        <v>103998</v>
      </c>
      <c r="E1918" t="n">
        <v>2730</v>
      </c>
      <c r="F1918" t="n">
        <v>148</v>
      </c>
      <c r="G1918" t="n">
        <v>101120</v>
      </c>
      <c r="H1918" t="n">
        <v>85711</v>
      </c>
      <c r="I1918" t="n">
        <v>-122923</v>
      </c>
      <c r="J1918" t="n">
        <v>2035499.899999999</v>
      </c>
      <c r="K1918" t="n">
        <v>98128</v>
      </c>
      <c r="L1918" t="n">
        <v>316199</v>
      </c>
      <c r="M1918" t="n">
        <v>232863</v>
      </c>
      <c r="N1918" t="n">
        <v>163954</v>
      </c>
      <c r="O1918" t="n">
        <v>13837</v>
      </c>
      <c r="P1918" t="n">
        <v>2501</v>
      </c>
    </row>
    <row r="1919">
      <c r="A1919" t="inlineStr">
        <is>
          <t>WN</t>
        </is>
      </c>
      <c r="B1919" t="n">
        <v>2026</v>
      </c>
      <c r="C1919" t="n">
        <v>2</v>
      </c>
      <c r="D1919" t="n">
        <v>100782</v>
      </c>
      <c r="E1919" t="n">
        <v>1017</v>
      </c>
      <c r="F1919" t="n">
        <v>187</v>
      </c>
      <c r="G1919" t="n">
        <v>99578</v>
      </c>
      <c r="H1919" t="n">
        <v>81389</v>
      </c>
      <c r="I1919" t="n">
        <v>137567</v>
      </c>
      <c r="J1919" t="n">
        <v>1993492.299999988</v>
      </c>
      <c r="K1919" t="n">
        <v>94580</v>
      </c>
      <c r="L1919" t="n">
        <v>414789</v>
      </c>
      <c r="M1919" t="n">
        <v>277526</v>
      </c>
      <c r="N1919" t="n">
        <v>166382</v>
      </c>
      <c r="O1919" t="n">
        <v>16073</v>
      </c>
      <c r="P1919" t="n">
        <v>3255</v>
      </c>
    </row>
    <row r="1920">
      <c r="A1920" t="inlineStr">
        <is>
          <t>WN</t>
        </is>
      </c>
      <c r="B1920" t="n">
        <v>2026</v>
      </c>
      <c r="C1920" t="n">
        <v>3</v>
      </c>
      <c r="D1920" t="n">
        <v>122295</v>
      </c>
      <c r="E1920" t="n">
        <v>1911</v>
      </c>
      <c r="F1920" t="n">
        <v>282</v>
      </c>
      <c r="G1920" t="n">
        <v>120102</v>
      </c>
      <c r="H1920" t="n">
        <v>89310</v>
      </c>
      <c r="I1920" t="n">
        <v>1012222</v>
      </c>
      <c r="J1920" t="n">
        <v>2286309.899999998</v>
      </c>
      <c r="K1920" t="n">
        <v>111628</v>
      </c>
      <c r="L1920" t="n">
        <v>888337</v>
      </c>
      <c r="M1920" t="n">
        <v>506978</v>
      </c>
      <c r="N1920" t="n">
        <v>309297</v>
      </c>
      <c r="O1920" t="n">
        <v>35850</v>
      </c>
      <c r="P1920" t="n">
        <v>10233</v>
      </c>
    </row>
    <row r="1921">
      <c r="A1921" t="inlineStr">
        <is>
          <t>WN</t>
        </is>
      </c>
      <c r="B1921" t="n">
        <v>2026</v>
      </c>
      <c r="C1921" t="n">
        <v>4</v>
      </c>
      <c r="D1921" t="n">
        <v>117813</v>
      </c>
      <c r="E1921" t="n">
        <v>309</v>
      </c>
      <c r="F1921" t="n">
        <v>174</v>
      </c>
      <c r="G1921" t="n">
        <v>117330</v>
      </c>
      <c r="H1921" t="n">
        <v>91072</v>
      </c>
      <c r="I1921" t="n">
        <v>556853</v>
      </c>
      <c r="J1921" t="n">
        <v>2057503.800000001</v>
      </c>
      <c r="K1921" t="n">
        <v>107710</v>
      </c>
      <c r="L1921" t="n">
        <v>602148</v>
      </c>
      <c r="M1921" t="n">
        <v>362549</v>
      </c>
      <c r="N1921" t="n">
        <v>222640</v>
      </c>
      <c r="O1921" t="n">
        <v>21308</v>
      </c>
      <c r="P1921" t="n">
        <v>2672</v>
      </c>
    </row>
    <row r="1922">
      <c r="A1922" t="inlineStr">
        <is>
          <t>WN</t>
        </is>
      </c>
      <c r="B1922" t="n">
        <v>2026</v>
      </c>
      <c r="C1922" t="n">
        <v>5</v>
      </c>
      <c r="D1922" t="n">
        <v>120646</v>
      </c>
      <c r="E1922" t="n">
        <v>474</v>
      </c>
      <c r="F1922" t="n">
        <v>320</v>
      </c>
      <c r="G1922" t="n">
        <v>119852</v>
      </c>
      <c r="H1922" t="n">
        <v>86726</v>
      </c>
      <c r="I1922" t="n">
        <v>1139666</v>
      </c>
      <c r="J1922" t="n">
        <v>2074254.3</v>
      </c>
      <c r="K1922" t="n">
        <v>110416</v>
      </c>
      <c r="L1922" t="n">
        <v>885363</v>
      </c>
      <c r="M1922" t="n">
        <v>514486</v>
      </c>
      <c r="N1922" t="n">
        <v>281515</v>
      </c>
      <c r="O1922" t="n">
        <v>39256</v>
      </c>
      <c r="P1922" t="n">
        <v>4239</v>
      </c>
    </row>
    <row r="1923">
      <c r="A1923" t="inlineStr">
        <is>
          <t>WN</t>
        </is>
      </c>
      <c r="B1923" t="n">
        <v>2026</v>
      </c>
      <c r="C1923" t="n">
        <v>6</v>
      </c>
      <c r="D1923" t="n">
        <v>120933</v>
      </c>
      <c r="E1923" t="n">
        <v>744</v>
      </c>
      <c r="F1923" t="n">
        <v>446</v>
      </c>
      <c r="G1923" t="n">
        <v>119743</v>
      </c>
      <c r="H1923" t="n">
        <v>79005</v>
      </c>
      <c r="I1923" t="n">
        <v>1823105</v>
      </c>
      <c r="J1923" t="n">
        <v>1926191.000000001</v>
      </c>
      <c r="K1923" t="n">
        <v>110446</v>
      </c>
      <c r="L1923" t="n">
        <v>1213117</v>
      </c>
      <c r="M1923" t="n">
        <v>631040</v>
      </c>
      <c r="N1923" t="n">
        <v>328471</v>
      </c>
      <c r="O1923" t="n">
        <v>60652</v>
      </c>
      <c r="P1923" t="n">
        <v>5174</v>
      </c>
    </row>
    <row r="1924">
      <c r="A1924" t="inlineStr">
        <is>
          <t>WN</t>
        </is>
      </c>
      <c r="B1924" t="n">
        <v>2026</v>
      </c>
      <c r="C1924" t="n">
        <v>7</v>
      </c>
      <c r="D1924" t="n">
        <v>124994</v>
      </c>
      <c r="E1924" t="n">
        <v>1419</v>
      </c>
      <c r="F1924" t="n">
        <v>711</v>
      </c>
      <c r="G1924" t="n">
        <v>122864</v>
      </c>
      <c r="H1924" t="n">
        <v>85002</v>
      </c>
      <c r="I1924" t="n">
        <v>1632342</v>
      </c>
      <c r="J1924" t="n">
        <v>2046868.599999999</v>
      </c>
      <c r="K1924" t="n">
        <v>114172</v>
      </c>
      <c r="L1924" t="n">
        <v>1097517</v>
      </c>
      <c r="M1924" t="n">
        <v>606008</v>
      </c>
      <c r="N1924" t="n">
        <v>347032</v>
      </c>
      <c r="O1924" t="n">
        <v>70251</v>
      </c>
      <c r="P1924" t="n">
        <v>6708</v>
      </c>
    </row>
    <row r="1925">
      <c r="A1925" t="inlineStr">
        <is>
          <t>YV</t>
        </is>
      </c>
      <c r="B1925" t="n">
        <v>2018</v>
      </c>
      <c r="C1925" t="n">
        <v>1</v>
      </c>
      <c r="D1925" t="n">
        <v>16353</v>
      </c>
      <c r="E1925" t="n">
        <v>984</v>
      </c>
      <c r="F1925" t="n">
        <v>37</v>
      </c>
      <c r="G1925" t="n">
        <v>15332</v>
      </c>
      <c r="H1925" t="n">
        <v>12578</v>
      </c>
      <c r="I1925" t="n">
        <v>68026</v>
      </c>
      <c r="J1925" t="n">
        <v>278225.5000000001</v>
      </c>
      <c r="K1925" t="n">
        <v>16264</v>
      </c>
      <c r="L1925" t="n">
        <v>64328</v>
      </c>
      <c r="M1925" t="n">
        <v>79233</v>
      </c>
      <c r="N1925" t="n">
        <v>30461</v>
      </c>
      <c r="O1925" t="n">
        <v>11623</v>
      </c>
      <c r="P1925" t="n">
        <v>291</v>
      </c>
    </row>
    <row r="1926">
      <c r="A1926" t="inlineStr">
        <is>
          <t>YV</t>
        </is>
      </c>
      <c r="B1926" t="n">
        <v>2018</v>
      </c>
      <c r="C1926" t="n">
        <v>2</v>
      </c>
      <c r="D1926" t="n">
        <v>14630</v>
      </c>
      <c r="E1926" t="n">
        <v>437</v>
      </c>
      <c r="F1926" t="n">
        <v>45</v>
      </c>
      <c r="G1926" t="n">
        <v>14148</v>
      </c>
      <c r="H1926" t="n">
        <v>10930</v>
      </c>
      <c r="I1926" t="n">
        <v>131390</v>
      </c>
      <c r="J1926" t="n">
        <v>257937.4</v>
      </c>
      <c r="K1926" t="n">
        <v>14616</v>
      </c>
      <c r="L1926" t="n">
        <v>93726</v>
      </c>
      <c r="M1926" t="n">
        <v>68042</v>
      </c>
      <c r="N1926" t="n">
        <v>41230</v>
      </c>
      <c r="O1926" t="n">
        <v>24527</v>
      </c>
      <c r="P1926" t="n">
        <v>541</v>
      </c>
    </row>
    <row r="1927">
      <c r="A1927" t="inlineStr">
        <is>
          <t>YV</t>
        </is>
      </c>
      <c r="B1927" t="n">
        <v>2018</v>
      </c>
      <c r="C1927" t="n">
        <v>3</v>
      </c>
      <c r="D1927" t="n">
        <v>16075</v>
      </c>
      <c r="E1927" t="n">
        <v>402</v>
      </c>
      <c r="F1927" t="n">
        <v>31</v>
      </c>
      <c r="G1927" t="n">
        <v>15642</v>
      </c>
      <c r="H1927" t="n">
        <v>13639</v>
      </c>
      <c r="I1927" t="n">
        <v>3521</v>
      </c>
      <c r="J1927" t="n">
        <v>259874.9000000001</v>
      </c>
      <c r="K1927" t="n">
        <v>15958</v>
      </c>
      <c r="L1927" t="n">
        <v>41832</v>
      </c>
      <c r="M1927" t="n">
        <v>50887</v>
      </c>
      <c r="N1927" t="n">
        <v>18325</v>
      </c>
      <c r="O1927" t="n">
        <v>8077</v>
      </c>
      <c r="P1927" t="n">
        <v>379</v>
      </c>
    </row>
    <row r="1928">
      <c r="A1928" t="inlineStr">
        <is>
          <t>YV</t>
        </is>
      </c>
      <c r="B1928" t="n">
        <v>2018</v>
      </c>
      <c r="C1928" t="n">
        <v>4</v>
      </c>
      <c r="D1928" t="n">
        <v>16726</v>
      </c>
      <c r="E1928" t="n">
        <v>214</v>
      </c>
      <c r="F1928" t="n">
        <v>38</v>
      </c>
      <c r="G1928" t="n">
        <v>16474</v>
      </c>
      <c r="H1928" t="n">
        <v>14237</v>
      </c>
      <c r="I1928" t="n">
        <v>21305</v>
      </c>
      <c r="J1928" t="n">
        <v>258369.3999999995</v>
      </c>
      <c r="K1928" t="n">
        <v>16696</v>
      </c>
      <c r="L1928" t="n">
        <v>49886</v>
      </c>
      <c r="M1928" t="n">
        <v>62233</v>
      </c>
      <c r="N1928" t="n">
        <v>26097</v>
      </c>
      <c r="O1928" t="n">
        <v>9129</v>
      </c>
      <c r="P1928" t="n">
        <v>221</v>
      </c>
    </row>
    <row r="1929">
      <c r="A1929" t="inlineStr">
        <is>
          <t>YV</t>
        </is>
      </c>
      <c r="B1929" t="n">
        <v>2018</v>
      </c>
      <c r="C1929" t="n">
        <v>5</v>
      </c>
      <c r="D1929" t="n">
        <v>17866</v>
      </c>
      <c r="E1929" t="n">
        <v>400</v>
      </c>
      <c r="F1929" t="n">
        <v>32</v>
      </c>
      <c r="G1929" t="n">
        <v>17434</v>
      </c>
      <c r="H1929" t="n">
        <v>14683</v>
      </c>
      <c r="I1929" t="n">
        <v>61631</v>
      </c>
      <c r="J1929" t="n">
        <v>281846.5999999997</v>
      </c>
      <c r="K1929" t="n">
        <v>17853</v>
      </c>
      <c r="L1929" t="n">
        <v>88349</v>
      </c>
      <c r="M1929" t="n">
        <v>65233</v>
      </c>
      <c r="N1929" t="n">
        <v>35019</v>
      </c>
      <c r="O1929" t="n">
        <v>18178</v>
      </c>
      <c r="P1929" t="n">
        <v>157</v>
      </c>
    </row>
    <row r="1930">
      <c r="A1930" t="inlineStr">
        <is>
          <t>YV</t>
        </is>
      </c>
      <c r="B1930" t="n">
        <v>2018</v>
      </c>
      <c r="C1930" t="n">
        <v>6</v>
      </c>
      <c r="D1930" t="n">
        <v>18527</v>
      </c>
      <c r="E1930" t="n">
        <v>405</v>
      </c>
      <c r="F1930" t="n">
        <v>34</v>
      </c>
      <c r="G1930" t="n">
        <v>18088</v>
      </c>
      <c r="H1930" t="n">
        <v>14639</v>
      </c>
      <c r="I1930" t="n">
        <v>140339</v>
      </c>
      <c r="J1930" t="n">
        <v>260208.5000000009</v>
      </c>
      <c r="K1930" t="n">
        <v>18452</v>
      </c>
      <c r="L1930" t="n">
        <v>110978</v>
      </c>
      <c r="M1930" t="n">
        <v>79429</v>
      </c>
      <c r="N1930" t="n">
        <v>32896</v>
      </c>
      <c r="O1930" t="n">
        <v>24565</v>
      </c>
      <c r="P1930" t="n">
        <v>322</v>
      </c>
    </row>
    <row r="1931">
      <c r="A1931" t="inlineStr">
        <is>
          <t>YV</t>
        </is>
      </c>
      <c r="B1931" t="n">
        <v>2018</v>
      </c>
      <c r="C1931" t="n">
        <v>7</v>
      </c>
      <c r="D1931" t="n">
        <v>19702</v>
      </c>
      <c r="E1931" t="n">
        <v>371</v>
      </c>
      <c r="F1931" t="n">
        <v>53</v>
      </c>
      <c r="G1931" t="n">
        <v>19278</v>
      </c>
      <c r="H1931" t="n">
        <v>14724</v>
      </c>
      <c r="I1931" t="n">
        <v>241536</v>
      </c>
      <c r="J1931" t="n">
        <v>251578.6000000011</v>
      </c>
      <c r="K1931" t="n">
        <v>19691</v>
      </c>
      <c r="L1931" t="n">
        <v>146970</v>
      </c>
      <c r="M1931" t="n">
        <v>97842</v>
      </c>
      <c r="N1931" t="n">
        <v>50949</v>
      </c>
      <c r="O1931" t="n">
        <v>35862</v>
      </c>
      <c r="P1931" t="n">
        <v>320</v>
      </c>
    </row>
    <row r="1932">
      <c r="A1932" t="inlineStr">
        <is>
          <t>YV</t>
        </is>
      </c>
      <c r="B1932" t="n">
        <v>2018</v>
      </c>
      <c r="C1932" t="n">
        <v>8</v>
      </c>
      <c r="D1932" t="n">
        <v>19986</v>
      </c>
      <c r="E1932" t="n">
        <v>469</v>
      </c>
      <c r="F1932" t="n">
        <v>51</v>
      </c>
      <c r="G1932" t="n">
        <v>19466</v>
      </c>
      <c r="H1932" t="n">
        <v>15071</v>
      </c>
      <c r="I1932" t="n">
        <v>242595</v>
      </c>
      <c r="J1932" t="n">
        <v>261229.5000000013</v>
      </c>
      <c r="K1932" t="n">
        <v>19870</v>
      </c>
      <c r="L1932" t="n">
        <v>149512</v>
      </c>
      <c r="M1932" t="n">
        <v>116314</v>
      </c>
      <c r="N1932" t="n">
        <v>46626</v>
      </c>
      <c r="O1932" t="n">
        <v>32759</v>
      </c>
      <c r="P1932" t="n">
        <v>435</v>
      </c>
    </row>
    <row r="1933">
      <c r="A1933" t="inlineStr">
        <is>
          <t>YV</t>
        </is>
      </c>
      <c r="B1933" t="n">
        <v>2018</v>
      </c>
      <c r="C1933" t="n">
        <v>9</v>
      </c>
      <c r="D1933" t="n">
        <v>18926</v>
      </c>
      <c r="E1933" t="n">
        <v>662</v>
      </c>
      <c r="F1933" t="n">
        <v>63</v>
      </c>
      <c r="G1933" t="n">
        <v>18201</v>
      </c>
      <c r="H1933" t="n">
        <v>13605</v>
      </c>
      <c r="I1933" t="n">
        <v>269714</v>
      </c>
      <c r="J1933" t="n">
        <v>242272.7000000001</v>
      </c>
      <c r="K1933" t="n">
        <v>18781</v>
      </c>
      <c r="L1933" t="n">
        <v>161338</v>
      </c>
      <c r="M1933" t="n">
        <v>113229</v>
      </c>
      <c r="N1933" t="n">
        <v>48108</v>
      </c>
      <c r="O1933" t="n">
        <v>34735</v>
      </c>
      <c r="P1933" t="n">
        <v>2305</v>
      </c>
    </row>
    <row r="1934">
      <c r="A1934" t="inlineStr">
        <is>
          <t>YV</t>
        </is>
      </c>
      <c r="B1934" t="n">
        <v>2018</v>
      </c>
      <c r="C1934" t="n">
        <v>10</v>
      </c>
      <c r="D1934" t="n">
        <v>19306</v>
      </c>
      <c r="E1934" t="n">
        <v>532</v>
      </c>
      <c r="F1934" t="n">
        <v>46</v>
      </c>
      <c r="G1934" t="n">
        <v>18728</v>
      </c>
      <c r="H1934" t="n">
        <v>14098</v>
      </c>
      <c r="I1934" t="n">
        <v>276064</v>
      </c>
      <c r="J1934" t="n">
        <v>254476.4000000004</v>
      </c>
      <c r="K1934" t="n">
        <v>19286</v>
      </c>
      <c r="L1934" t="n">
        <v>155313</v>
      </c>
      <c r="M1934" t="n">
        <v>119775</v>
      </c>
      <c r="N1934" t="n">
        <v>51771</v>
      </c>
      <c r="O1934" t="n">
        <v>31895</v>
      </c>
      <c r="P1934" t="n">
        <v>928</v>
      </c>
    </row>
    <row r="1935">
      <c r="A1935" t="inlineStr">
        <is>
          <t>YV</t>
        </is>
      </c>
      <c r="B1935" t="n">
        <v>2018</v>
      </c>
      <c r="C1935" t="n">
        <v>11</v>
      </c>
      <c r="D1935" t="n">
        <v>18465</v>
      </c>
      <c r="E1935" t="n">
        <v>220</v>
      </c>
      <c r="F1935" t="n">
        <v>44</v>
      </c>
      <c r="G1935" t="n">
        <v>18201</v>
      </c>
      <c r="H1935" t="n">
        <v>14061</v>
      </c>
      <c r="I1935" t="n">
        <v>191686</v>
      </c>
      <c r="J1935" t="n">
        <v>272244.3000000021</v>
      </c>
      <c r="K1935" t="n">
        <v>18358</v>
      </c>
      <c r="L1935" t="n">
        <v>116370</v>
      </c>
      <c r="M1935" t="n">
        <v>102776</v>
      </c>
      <c r="N1935" t="n">
        <v>36096</v>
      </c>
      <c r="O1935" t="n">
        <v>14923</v>
      </c>
      <c r="P1935" t="n">
        <v>318</v>
      </c>
    </row>
    <row r="1936">
      <c r="A1936" t="inlineStr">
        <is>
          <t>YV</t>
        </is>
      </c>
      <c r="B1936" t="n">
        <v>2018</v>
      </c>
      <c r="C1936" t="n">
        <v>12</v>
      </c>
      <c r="D1936" t="n">
        <v>18576</v>
      </c>
      <c r="E1936" t="n">
        <v>432</v>
      </c>
      <c r="F1936" t="n">
        <v>41</v>
      </c>
      <c r="G1936" t="n">
        <v>18103</v>
      </c>
      <c r="H1936" t="n">
        <v>14139</v>
      </c>
      <c r="I1936" t="n">
        <v>203298</v>
      </c>
      <c r="J1936" t="n">
        <v>277326.3000000005</v>
      </c>
      <c r="K1936" t="n">
        <v>18480</v>
      </c>
      <c r="L1936" t="n">
        <v>118510</v>
      </c>
      <c r="M1936" t="n">
        <v>108190</v>
      </c>
      <c r="N1936" t="n">
        <v>43595</v>
      </c>
      <c r="O1936" t="n">
        <v>25256</v>
      </c>
      <c r="P1936" t="n">
        <v>372</v>
      </c>
    </row>
    <row r="1937">
      <c r="A1937" t="inlineStr">
        <is>
          <t>YV</t>
        </is>
      </c>
      <c r="B1937" t="n">
        <v>2019</v>
      </c>
      <c r="C1937" t="n">
        <v>1</v>
      </c>
      <c r="D1937" t="n">
        <v>18346</v>
      </c>
      <c r="E1937" t="n">
        <v>477</v>
      </c>
      <c r="F1937" t="n">
        <v>40</v>
      </c>
      <c r="G1937" t="n">
        <v>17829</v>
      </c>
      <c r="H1937" t="n">
        <v>14519</v>
      </c>
      <c r="I1937" t="n">
        <v>106396</v>
      </c>
      <c r="J1937" t="n">
        <v>285063.2999999999</v>
      </c>
      <c r="K1937" t="n">
        <v>18275</v>
      </c>
      <c r="L1937" t="n">
        <v>84755</v>
      </c>
      <c r="M1937" t="n">
        <v>87565</v>
      </c>
      <c r="N1937" t="n">
        <v>33019</v>
      </c>
      <c r="O1937" t="n">
        <v>16873</v>
      </c>
      <c r="P1937" t="n">
        <v>450</v>
      </c>
    </row>
    <row r="1938">
      <c r="A1938" t="inlineStr">
        <is>
          <t>YV</t>
        </is>
      </c>
      <c r="B1938" t="n">
        <v>2019</v>
      </c>
      <c r="C1938" t="n">
        <v>2</v>
      </c>
      <c r="D1938" t="n">
        <v>16519</v>
      </c>
      <c r="E1938" t="n">
        <v>566</v>
      </c>
      <c r="F1938" t="n">
        <v>44</v>
      </c>
      <c r="G1938" t="n">
        <v>15909</v>
      </c>
      <c r="H1938" t="n">
        <v>11944</v>
      </c>
      <c r="I1938" t="n">
        <v>209360</v>
      </c>
      <c r="J1938" t="n">
        <v>253452.7000000007</v>
      </c>
      <c r="K1938" t="n">
        <v>16486</v>
      </c>
      <c r="L1938" t="n">
        <v>118000</v>
      </c>
      <c r="M1938" t="n">
        <v>102661</v>
      </c>
      <c r="N1938" t="n">
        <v>45781</v>
      </c>
      <c r="O1938" t="n">
        <v>24666</v>
      </c>
      <c r="P1938" t="n">
        <v>223</v>
      </c>
    </row>
    <row r="1939">
      <c r="A1939" t="inlineStr">
        <is>
          <t>YV</t>
        </is>
      </c>
      <c r="B1939" t="n">
        <v>2019</v>
      </c>
      <c r="C1939" t="n">
        <v>3</v>
      </c>
      <c r="D1939" t="n">
        <v>18836</v>
      </c>
      <c r="E1939" t="n">
        <v>429</v>
      </c>
      <c r="F1939" t="n">
        <v>29</v>
      </c>
      <c r="G1939" t="n">
        <v>18378</v>
      </c>
      <c r="H1939" t="n">
        <v>14796</v>
      </c>
      <c r="I1939" t="n">
        <v>137909</v>
      </c>
      <c r="J1939" t="n">
        <v>285676.3999999992</v>
      </c>
      <c r="K1939" t="n">
        <v>18773</v>
      </c>
      <c r="L1939" t="n">
        <v>103422</v>
      </c>
      <c r="M1939" t="n">
        <v>91906</v>
      </c>
      <c r="N1939" t="n">
        <v>35490</v>
      </c>
      <c r="O1939" t="n">
        <v>13360</v>
      </c>
      <c r="P1939" t="n">
        <v>284</v>
      </c>
    </row>
    <row r="1940">
      <c r="A1940" t="inlineStr">
        <is>
          <t>YV</t>
        </is>
      </c>
      <c r="B1940" t="n">
        <v>2019</v>
      </c>
      <c r="C1940" t="n">
        <v>4</v>
      </c>
      <c r="D1940" t="n">
        <v>18171</v>
      </c>
      <c r="E1940" t="n">
        <v>479</v>
      </c>
      <c r="F1940" t="n">
        <v>54</v>
      </c>
      <c r="G1940" t="n">
        <v>17638</v>
      </c>
      <c r="H1940" t="n">
        <v>14456</v>
      </c>
      <c r="I1940" t="n">
        <v>139905</v>
      </c>
      <c r="J1940" t="n">
        <v>274281.3000000007</v>
      </c>
      <c r="K1940" t="n">
        <v>18066</v>
      </c>
      <c r="L1940" t="n">
        <v>116733</v>
      </c>
      <c r="M1940" t="n">
        <v>80193</v>
      </c>
      <c r="N1940" t="n">
        <v>30916</v>
      </c>
      <c r="O1940" t="n">
        <v>38317</v>
      </c>
      <c r="P1940" t="n">
        <v>161</v>
      </c>
    </row>
    <row r="1941">
      <c r="A1941" t="inlineStr">
        <is>
          <t>YV</t>
        </is>
      </c>
      <c r="B1941" t="n">
        <v>2019</v>
      </c>
      <c r="C1941" t="n">
        <v>5</v>
      </c>
      <c r="D1941" t="n">
        <v>19594</v>
      </c>
      <c r="E1941" t="n">
        <v>976</v>
      </c>
      <c r="F1941" t="n">
        <v>78</v>
      </c>
      <c r="G1941" t="n">
        <v>18540</v>
      </c>
      <c r="H1941" t="n">
        <v>14560</v>
      </c>
      <c r="I1941" t="n">
        <v>239094</v>
      </c>
      <c r="J1941" t="n">
        <v>281582.3999999997</v>
      </c>
      <c r="K1941" t="n">
        <v>19494</v>
      </c>
      <c r="L1941" t="n">
        <v>148361</v>
      </c>
      <c r="M1941" t="n">
        <v>95388</v>
      </c>
      <c r="N1941" t="n">
        <v>52634</v>
      </c>
      <c r="O1941" t="n">
        <v>61714</v>
      </c>
      <c r="P1941" t="n">
        <v>242</v>
      </c>
    </row>
    <row r="1942">
      <c r="A1942" t="inlineStr">
        <is>
          <t>YV</t>
        </is>
      </c>
      <c r="B1942" t="n">
        <v>2019</v>
      </c>
      <c r="C1942" t="n">
        <v>6</v>
      </c>
      <c r="D1942" t="n">
        <v>19924</v>
      </c>
      <c r="E1942" t="n">
        <v>1066</v>
      </c>
      <c r="F1942" t="n">
        <v>60</v>
      </c>
      <c r="G1942" t="n">
        <v>18798</v>
      </c>
      <c r="H1942" t="n">
        <v>13651</v>
      </c>
      <c r="I1942" t="n">
        <v>378677</v>
      </c>
      <c r="J1942" t="n">
        <v>271606.5999999995</v>
      </c>
      <c r="K1942" t="n">
        <v>19836</v>
      </c>
      <c r="L1942" t="n">
        <v>224170</v>
      </c>
      <c r="M1942" t="n">
        <v>143733</v>
      </c>
      <c r="N1942" t="n">
        <v>58936</v>
      </c>
      <c r="O1942" t="n">
        <v>46327</v>
      </c>
      <c r="P1942" t="n">
        <v>382</v>
      </c>
    </row>
    <row r="1943">
      <c r="A1943" t="inlineStr">
        <is>
          <t>YV</t>
        </is>
      </c>
      <c r="B1943" t="n">
        <v>2019</v>
      </c>
      <c r="C1943" t="n">
        <v>7</v>
      </c>
      <c r="D1943" t="n">
        <v>20122</v>
      </c>
      <c r="E1943" t="n">
        <v>639</v>
      </c>
      <c r="F1943" t="n">
        <v>49</v>
      </c>
      <c r="G1943" t="n">
        <v>19434</v>
      </c>
      <c r="H1943" t="n">
        <v>15369</v>
      </c>
      <c r="I1943" t="n">
        <v>189810</v>
      </c>
      <c r="J1943" t="n">
        <v>282155.8000000001</v>
      </c>
      <c r="K1943" t="n">
        <v>20091</v>
      </c>
      <c r="L1943" t="n">
        <v>138289</v>
      </c>
      <c r="M1943" t="n">
        <v>101060</v>
      </c>
      <c r="N1943" t="n">
        <v>48750</v>
      </c>
      <c r="O1943" t="n">
        <v>27890</v>
      </c>
      <c r="P1943" t="n">
        <v>178</v>
      </c>
    </row>
    <row r="1944">
      <c r="A1944" t="inlineStr">
        <is>
          <t>YV</t>
        </is>
      </c>
      <c r="B1944" t="n">
        <v>2019</v>
      </c>
      <c r="C1944" t="n">
        <v>8</v>
      </c>
      <c r="D1944" t="n">
        <v>20105</v>
      </c>
      <c r="E1944" t="n">
        <v>730</v>
      </c>
      <c r="F1944" t="n">
        <v>49</v>
      </c>
      <c r="G1944" t="n">
        <v>19326</v>
      </c>
      <c r="H1944" t="n">
        <v>14861</v>
      </c>
      <c r="I1944" t="n">
        <v>242514</v>
      </c>
      <c r="J1944" t="n">
        <v>295884.1999999992</v>
      </c>
      <c r="K1944" t="n">
        <v>19987</v>
      </c>
      <c r="L1944" t="n">
        <v>171689</v>
      </c>
      <c r="M1944" t="n">
        <v>127946</v>
      </c>
      <c r="N1944" t="n">
        <v>47821</v>
      </c>
      <c r="O1944" t="n">
        <v>22997</v>
      </c>
      <c r="P1944" t="n">
        <v>567</v>
      </c>
    </row>
    <row r="1945">
      <c r="A1945" t="inlineStr">
        <is>
          <t>YV</t>
        </is>
      </c>
      <c r="B1945" t="n">
        <v>2019</v>
      </c>
      <c r="C1945" t="n">
        <v>9</v>
      </c>
      <c r="D1945" t="n">
        <v>19099</v>
      </c>
      <c r="E1945" t="n">
        <v>548</v>
      </c>
      <c r="F1945" t="n">
        <v>61</v>
      </c>
      <c r="G1945" t="n">
        <v>18490</v>
      </c>
      <c r="H1945" t="n">
        <v>15428</v>
      </c>
      <c r="I1945" t="n">
        <v>71998</v>
      </c>
      <c r="J1945" t="n">
        <v>300166.3000000007</v>
      </c>
      <c r="K1945" t="n">
        <v>19026</v>
      </c>
      <c r="L1945" t="n">
        <v>103361</v>
      </c>
      <c r="M1945" t="n">
        <v>86870</v>
      </c>
      <c r="N1945" t="n">
        <v>28213</v>
      </c>
      <c r="O1945" t="n">
        <v>17311</v>
      </c>
      <c r="P1945" t="n">
        <v>109</v>
      </c>
    </row>
    <row r="1946">
      <c r="A1946" t="inlineStr">
        <is>
          <t>YV</t>
        </is>
      </c>
      <c r="B1946" t="n">
        <v>2019</v>
      </c>
      <c r="C1946" t="n">
        <v>10</v>
      </c>
      <c r="D1946" t="n">
        <v>19762</v>
      </c>
      <c r="E1946" t="n">
        <v>393</v>
      </c>
      <c r="F1946" t="n">
        <v>38</v>
      </c>
      <c r="G1946" t="n">
        <v>19331</v>
      </c>
      <c r="H1946" t="n">
        <v>14907</v>
      </c>
      <c r="I1946" t="n">
        <v>239016</v>
      </c>
      <c r="J1946" t="n">
        <v>313256.200000002</v>
      </c>
      <c r="K1946" t="n">
        <v>19561</v>
      </c>
      <c r="L1946" t="n">
        <v>174911</v>
      </c>
      <c r="M1946" t="n">
        <v>121582</v>
      </c>
      <c r="N1946" t="n">
        <v>57597</v>
      </c>
      <c r="O1946" t="n">
        <v>20161</v>
      </c>
      <c r="P1946" t="n">
        <v>203</v>
      </c>
    </row>
    <row r="1947">
      <c r="A1947" t="inlineStr">
        <is>
          <t>YV</t>
        </is>
      </c>
      <c r="B1947" t="n">
        <v>2019</v>
      </c>
      <c r="C1947" t="n">
        <v>11</v>
      </c>
      <c r="D1947" t="n">
        <v>18567</v>
      </c>
      <c r="E1947" t="n">
        <v>108</v>
      </c>
      <c r="F1947" t="n">
        <v>33</v>
      </c>
      <c r="G1947" t="n">
        <v>18426</v>
      </c>
      <c r="H1947" t="n">
        <v>15442</v>
      </c>
      <c r="I1947" t="n">
        <v>73475</v>
      </c>
      <c r="J1947" t="n">
        <v>318377.2000000036</v>
      </c>
      <c r="K1947" t="n">
        <v>18366</v>
      </c>
      <c r="L1947" t="n">
        <v>101942</v>
      </c>
      <c r="M1947" t="n">
        <v>94087</v>
      </c>
      <c r="N1947" t="n">
        <v>22491</v>
      </c>
      <c r="O1947" t="n">
        <v>5460</v>
      </c>
      <c r="P1947" t="n">
        <v>217</v>
      </c>
    </row>
    <row r="1948">
      <c r="A1948" t="inlineStr">
        <is>
          <t>YV</t>
        </is>
      </c>
      <c r="B1948" t="n">
        <v>2019</v>
      </c>
      <c r="C1948" t="n">
        <v>12</v>
      </c>
      <c r="D1948" t="n">
        <v>18843</v>
      </c>
      <c r="E1948" t="n">
        <v>298</v>
      </c>
      <c r="F1948" t="n">
        <v>58</v>
      </c>
      <c r="G1948" t="n">
        <v>18487</v>
      </c>
      <c r="H1948" t="n">
        <v>13965</v>
      </c>
      <c r="I1948" t="n">
        <v>280251</v>
      </c>
      <c r="J1948" t="n">
        <v>308334.8999999994</v>
      </c>
      <c r="K1948" t="n">
        <v>18597</v>
      </c>
      <c r="L1948" t="n">
        <v>212093</v>
      </c>
      <c r="M1948" t="n">
        <v>142485</v>
      </c>
      <c r="N1948" t="n">
        <v>30524</v>
      </c>
      <c r="O1948" t="n">
        <v>16910</v>
      </c>
      <c r="P1948" t="n">
        <v>348</v>
      </c>
    </row>
    <row r="1949">
      <c r="A1949" t="inlineStr">
        <is>
          <t>YV</t>
        </is>
      </c>
      <c r="B1949" t="n">
        <v>2020</v>
      </c>
      <c r="C1949" t="n">
        <v>1</v>
      </c>
      <c r="D1949" t="n">
        <v>17836</v>
      </c>
      <c r="E1949" t="n">
        <v>295</v>
      </c>
      <c r="F1949" t="n">
        <v>68</v>
      </c>
      <c r="G1949" t="n">
        <v>17473</v>
      </c>
      <c r="H1949" t="n">
        <v>14355</v>
      </c>
      <c r="I1949" t="n">
        <v>102245</v>
      </c>
      <c r="J1949" t="n">
        <v>308803.7</v>
      </c>
      <c r="K1949" t="n">
        <v>17785</v>
      </c>
      <c r="L1949" t="n">
        <v>103975</v>
      </c>
      <c r="M1949" t="n">
        <v>82828</v>
      </c>
      <c r="N1949" t="n">
        <v>28951</v>
      </c>
      <c r="O1949" t="n">
        <v>23706</v>
      </c>
      <c r="P1949" t="n">
        <v>296</v>
      </c>
    </row>
    <row r="1950">
      <c r="A1950" t="inlineStr">
        <is>
          <t>YV</t>
        </is>
      </c>
      <c r="B1950" t="n">
        <v>2020</v>
      </c>
      <c r="C1950" t="n">
        <v>2</v>
      </c>
      <c r="D1950" t="n">
        <v>16679</v>
      </c>
      <c r="E1950" t="n">
        <v>89</v>
      </c>
      <c r="F1950" t="n">
        <v>40</v>
      </c>
      <c r="G1950" t="n">
        <v>16550</v>
      </c>
      <c r="H1950" t="n">
        <v>13869</v>
      </c>
      <c r="I1950" t="n">
        <v>71880</v>
      </c>
      <c r="J1950" t="n">
        <v>292968.3000000013</v>
      </c>
      <c r="K1950" t="n">
        <v>16584</v>
      </c>
      <c r="L1950" t="n">
        <v>66061</v>
      </c>
      <c r="M1950" t="n">
        <v>98147</v>
      </c>
      <c r="N1950" t="n">
        <v>30215</v>
      </c>
      <c r="O1950" t="n">
        <v>8231</v>
      </c>
      <c r="P1950" t="n">
        <v>179</v>
      </c>
    </row>
    <row r="1951">
      <c r="A1951" t="inlineStr">
        <is>
          <t>YV</t>
        </is>
      </c>
      <c r="B1951" t="n">
        <v>2020</v>
      </c>
      <c r="C1951" t="n">
        <v>3</v>
      </c>
      <c r="D1951" t="n">
        <v>18273</v>
      </c>
      <c r="E1951" t="n">
        <v>3011</v>
      </c>
      <c r="F1951" t="n">
        <v>28</v>
      </c>
      <c r="G1951" t="n">
        <v>15234</v>
      </c>
      <c r="H1951" t="n">
        <v>12987</v>
      </c>
      <c r="I1951" t="n">
        <v>20149</v>
      </c>
      <c r="J1951" t="n">
        <v>311819.0000000003</v>
      </c>
      <c r="K1951" t="n">
        <v>18083</v>
      </c>
      <c r="L1951" t="n">
        <v>58377</v>
      </c>
      <c r="M1951" t="n">
        <v>65604</v>
      </c>
      <c r="N1951" t="n">
        <v>38025</v>
      </c>
      <c r="O1951" t="n">
        <v>7353</v>
      </c>
      <c r="P1951" t="n">
        <v>60</v>
      </c>
    </row>
    <row r="1952">
      <c r="A1952" t="inlineStr">
        <is>
          <t>YV</t>
        </is>
      </c>
      <c r="B1952" t="n">
        <v>2020</v>
      </c>
      <c r="C1952" t="n">
        <v>4</v>
      </c>
      <c r="D1952" t="n">
        <v>9157</v>
      </c>
      <c r="E1952" t="n">
        <v>3691</v>
      </c>
      <c r="F1952" t="n">
        <v>6</v>
      </c>
      <c r="G1952" t="n">
        <v>5460</v>
      </c>
      <c r="H1952" t="n">
        <v>5150</v>
      </c>
      <c r="I1952" t="n">
        <v>-72293</v>
      </c>
      <c r="J1952" t="n">
        <v>140029.6999999997</v>
      </c>
      <c r="K1952" t="n">
        <v>9054</v>
      </c>
      <c r="L1952" t="n">
        <v>2374</v>
      </c>
      <c r="M1952" t="n">
        <v>11398</v>
      </c>
      <c r="N1952" t="n">
        <v>3910</v>
      </c>
      <c r="O1952" t="n">
        <v>1249</v>
      </c>
      <c r="P1952" t="n">
        <v>65</v>
      </c>
    </row>
    <row r="1953">
      <c r="A1953" t="inlineStr">
        <is>
          <t>YV</t>
        </is>
      </c>
      <c r="B1953" t="n">
        <v>2020</v>
      </c>
      <c r="C1953" t="n">
        <v>5</v>
      </c>
      <c r="D1953" t="n">
        <v>6945</v>
      </c>
      <c r="E1953" t="n">
        <v>262</v>
      </c>
      <c r="F1953" t="n">
        <v>19</v>
      </c>
      <c r="G1953" t="n">
        <v>6664</v>
      </c>
      <c r="H1953" t="n">
        <v>6260</v>
      </c>
      <c r="I1953" t="n">
        <v>-67269</v>
      </c>
      <c r="J1953" t="n">
        <v>109398.8999999995</v>
      </c>
      <c r="K1953" t="n">
        <v>6775</v>
      </c>
      <c r="L1953" t="n">
        <v>5218</v>
      </c>
      <c r="M1953" t="n">
        <v>13835</v>
      </c>
      <c r="N1953" t="n">
        <v>4326</v>
      </c>
      <c r="O1953" t="n">
        <v>1366</v>
      </c>
      <c r="P1953" t="n">
        <v>23</v>
      </c>
    </row>
    <row r="1954">
      <c r="A1954" t="inlineStr">
        <is>
          <t>YV</t>
        </is>
      </c>
      <c r="B1954" t="n">
        <v>2020</v>
      </c>
      <c r="C1954" t="n">
        <v>6</v>
      </c>
      <c r="D1954" t="n">
        <v>5040</v>
      </c>
      <c r="E1954" t="n">
        <v>5</v>
      </c>
      <c r="F1954" t="n">
        <v>7</v>
      </c>
      <c r="G1954" t="n">
        <v>5028</v>
      </c>
      <c r="H1954" t="n">
        <v>4527</v>
      </c>
      <c r="I1954" t="n">
        <v>-9904</v>
      </c>
      <c r="J1954" t="n">
        <v>58675.90000000005</v>
      </c>
      <c r="K1954" t="n">
        <v>5040</v>
      </c>
      <c r="L1954" t="n">
        <v>4029</v>
      </c>
      <c r="M1954" t="n">
        <v>11509</v>
      </c>
      <c r="N1954" t="n">
        <v>7873</v>
      </c>
      <c r="O1954" t="n">
        <v>7914</v>
      </c>
      <c r="P1954" t="n">
        <v>80</v>
      </c>
    </row>
    <row r="1955">
      <c r="A1955" t="inlineStr">
        <is>
          <t>YV</t>
        </is>
      </c>
      <c r="B1955" t="n">
        <v>2020</v>
      </c>
      <c r="C1955" t="n">
        <v>7</v>
      </c>
      <c r="D1955" t="n">
        <v>9117</v>
      </c>
      <c r="E1955" t="n">
        <v>102</v>
      </c>
      <c r="F1955" t="n">
        <v>13</v>
      </c>
      <c r="G1955" t="n">
        <v>9002</v>
      </c>
      <c r="H1955" t="n">
        <v>7800</v>
      </c>
      <c r="I1955" t="n">
        <v>45367</v>
      </c>
      <c r="J1955" t="n">
        <v>106255.9999999998</v>
      </c>
      <c r="K1955" t="n">
        <v>8989</v>
      </c>
      <c r="L1955" t="n">
        <v>19781</v>
      </c>
      <c r="M1955" t="n">
        <v>57345</v>
      </c>
      <c r="N1955" t="n">
        <v>28058</v>
      </c>
      <c r="O1955" t="n">
        <v>7378</v>
      </c>
      <c r="P1955" t="n">
        <v>175</v>
      </c>
    </row>
    <row r="1956">
      <c r="A1956" t="inlineStr">
        <is>
          <t>YV</t>
        </is>
      </c>
      <c r="B1956" t="n">
        <v>2020</v>
      </c>
      <c r="C1956" t="n">
        <v>8</v>
      </c>
      <c r="D1956" t="n">
        <v>9972</v>
      </c>
      <c r="E1956" t="n">
        <v>296</v>
      </c>
      <c r="F1956" t="n">
        <v>19</v>
      </c>
      <c r="G1956" t="n">
        <v>9657</v>
      </c>
      <c r="H1956" t="n">
        <v>8749</v>
      </c>
      <c r="I1956" t="n">
        <v>-34358</v>
      </c>
      <c r="J1956" t="n">
        <v>118548.0999999997</v>
      </c>
      <c r="K1956" t="n">
        <v>9964</v>
      </c>
      <c r="L1956" t="n">
        <v>9872</v>
      </c>
      <c r="M1956" t="n">
        <v>17751</v>
      </c>
      <c r="N1956" t="n">
        <v>15170</v>
      </c>
      <c r="O1956" t="n">
        <v>7930</v>
      </c>
      <c r="P1956" t="n">
        <v>17</v>
      </c>
    </row>
    <row r="1957">
      <c r="A1957" t="inlineStr">
        <is>
          <t>YV</t>
        </is>
      </c>
      <c r="B1957" t="n">
        <v>2020</v>
      </c>
      <c r="C1957" t="n">
        <v>9</v>
      </c>
      <c r="D1957" t="n">
        <v>10710</v>
      </c>
      <c r="E1957" t="n">
        <v>117</v>
      </c>
      <c r="F1957" t="n">
        <v>21</v>
      </c>
      <c r="G1957" t="n">
        <v>10572</v>
      </c>
      <c r="H1957" t="n">
        <v>9613</v>
      </c>
      <c r="I1957" t="n">
        <v>-49224</v>
      </c>
      <c r="J1957" t="n">
        <v>176933.0999999999</v>
      </c>
      <c r="K1957" t="n">
        <v>10658</v>
      </c>
      <c r="L1957" t="n">
        <v>17314</v>
      </c>
      <c r="M1957" t="n">
        <v>21210</v>
      </c>
      <c r="N1957" t="n">
        <v>15427</v>
      </c>
      <c r="O1957" t="n">
        <v>10146</v>
      </c>
      <c r="P1957" t="n">
        <v>33</v>
      </c>
    </row>
    <row r="1958">
      <c r="A1958" t="inlineStr">
        <is>
          <t>YV</t>
        </is>
      </c>
      <c r="B1958" t="n">
        <v>2020</v>
      </c>
      <c r="C1958" t="n">
        <v>10</v>
      </c>
      <c r="D1958" t="n">
        <v>9806</v>
      </c>
      <c r="E1958" t="n">
        <v>57</v>
      </c>
      <c r="F1958" t="n">
        <v>20</v>
      </c>
      <c r="G1958" t="n">
        <v>9729</v>
      </c>
      <c r="H1958" t="n">
        <v>8613</v>
      </c>
      <c r="I1958" t="n">
        <v>-12268</v>
      </c>
      <c r="J1958" t="n">
        <v>159955.0999999995</v>
      </c>
      <c r="K1958" t="n">
        <v>9751</v>
      </c>
      <c r="L1958" t="n">
        <v>28089</v>
      </c>
      <c r="M1958" t="n">
        <v>23693</v>
      </c>
      <c r="N1958" t="n">
        <v>23611</v>
      </c>
      <c r="O1958" t="n">
        <v>9845</v>
      </c>
      <c r="P1958" t="n">
        <v>9</v>
      </c>
    </row>
    <row r="1959">
      <c r="A1959" t="inlineStr">
        <is>
          <t>YV</t>
        </is>
      </c>
      <c r="B1959" t="n">
        <v>2020</v>
      </c>
      <c r="C1959" t="n">
        <v>11</v>
      </c>
      <c r="D1959" t="n">
        <v>11004</v>
      </c>
      <c r="E1959" t="n">
        <v>137</v>
      </c>
      <c r="F1959" t="n">
        <v>11</v>
      </c>
      <c r="G1959" t="n">
        <v>10856</v>
      </c>
      <c r="H1959" t="n">
        <v>9618</v>
      </c>
      <c r="I1959" t="n">
        <v>-27633</v>
      </c>
      <c r="J1959" t="n">
        <v>197965.3999999987</v>
      </c>
      <c r="K1959" t="n">
        <v>10728</v>
      </c>
      <c r="L1959" t="n">
        <v>33844</v>
      </c>
      <c r="M1959" t="n">
        <v>34100</v>
      </c>
      <c r="N1959" t="n">
        <v>13372</v>
      </c>
      <c r="O1959" t="n">
        <v>3923</v>
      </c>
      <c r="P1959" t="n">
        <v>18</v>
      </c>
    </row>
    <row r="1960">
      <c r="A1960" t="inlineStr">
        <is>
          <t>YV</t>
        </is>
      </c>
      <c r="B1960" t="n">
        <v>2020</v>
      </c>
      <c r="C1960" t="n">
        <v>12</v>
      </c>
      <c r="D1960" t="n">
        <v>11659</v>
      </c>
      <c r="E1960" t="n">
        <v>188</v>
      </c>
      <c r="F1960" t="n">
        <v>28</v>
      </c>
      <c r="G1960" t="n">
        <v>11443</v>
      </c>
      <c r="H1960" t="n">
        <v>9606</v>
      </c>
      <c r="I1960" t="n">
        <v>19210</v>
      </c>
      <c r="J1960" t="n">
        <v>224621.5000000007</v>
      </c>
      <c r="K1960" t="n">
        <v>11527</v>
      </c>
      <c r="L1960" t="n">
        <v>41636</v>
      </c>
      <c r="M1960" t="n">
        <v>41934</v>
      </c>
      <c r="N1960" t="n">
        <v>36740</v>
      </c>
      <c r="O1960" t="n">
        <v>7677</v>
      </c>
      <c r="P1960" t="n">
        <v>248</v>
      </c>
    </row>
    <row r="1961">
      <c r="A1961" t="inlineStr">
        <is>
          <t>YV</t>
        </is>
      </c>
      <c r="B1961" t="n">
        <v>2021</v>
      </c>
      <c r="C1961" t="n">
        <v>1</v>
      </c>
      <c r="D1961" t="n">
        <v>11232</v>
      </c>
      <c r="E1961" t="n">
        <v>172</v>
      </c>
      <c r="F1961" t="n">
        <v>16</v>
      </c>
      <c r="G1961" t="n">
        <v>11044</v>
      </c>
      <c r="H1961" t="n">
        <v>9742</v>
      </c>
      <c r="I1961" t="n">
        <v>-45123</v>
      </c>
      <c r="J1961" t="n">
        <v>240379.1000000005</v>
      </c>
      <c r="K1961" t="n">
        <v>11197</v>
      </c>
      <c r="L1961" t="n">
        <v>20479</v>
      </c>
      <c r="M1961" t="n">
        <v>34199</v>
      </c>
      <c r="N1961" t="n">
        <v>27725</v>
      </c>
      <c r="O1961" t="n">
        <v>14356</v>
      </c>
      <c r="P1961" t="n">
        <v>100</v>
      </c>
    </row>
    <row r="1962">
      <c r="A1962" t="inlineStr">
        <is>
          <t>YV</t>
        </is>
      </c>
      <c r="B1962" t="n">
        <v>2021</v>
      </c>
      <c r="C1962" t="n">
        <v>2</v>
      </c>
      <c r="D1962" t="n">
        <v>10191</v>
      </c>
      <c r="E1962" t="n">
        <v>1508</v>
      </c>
      <c r="F1962" t="n">
        <v>16</v>
      </c>
      <c r="G1962" t="n">
        <v>8667</v>
      </c>
      <c r="H1962" t="n">
        <v>7210</v>
      </c>
      <c r="I1962" t="n">
        <v>29706</v>
      </c>
      <c r="J1962" t="n">
        <v>211944.5</v>
      </c>
      <c r="K1962" t="n">
        <v>10131</v>
      </c>
      <c r="L1962" t="n">
        <v>33088</v>
      </c>
      <c r="M1962" t="n">
        <v>31362</v>
      </c>
      <c r="N1962" t="n">
        <v>32163</v>
      </c>
      <c r="O1962" t="n">
        <v>23890</v>
      </c>
      <c r="P1962" t="n">
        <v>63</v>
      </c>
    </row>
    <row r="1963">
      <c r="A1963" t="inlineStr">
        <is>
          <t>YV</t>
        </is>
      </c>
      <c r="B1963" t="n">
        <v>2021</v>
      </c>
      <c r="C1963" t="n">
        <v>3</v>
      </c>
      <c r="D1963" t="n">
        <v>12573</v>
      </c>
      <c r="E1963" t="n">
        <v>133</v>
      </c>
      <c r="F1963" t="n">
        <v>38</v>
      </c>
      <c r="G1963" t="n">
        <v>12402</v>
      </c>
      <c r="H1963" t="n">
        <v>10814</v>
      </c>
      <c r="I1963" t="n">
        <v>-33762</v>
      </c>
      <c r="J1963" t="n">
        <v>271492.4999999968</v>
      </c>
      <c r="K1963" t="n">
        <v>12498</v>
      </c>
      <c r="L1963" t="n">
        <v>32611</v>
      </c>
      <c r="M1963" t="n">
        <v>39481</v>
      </c>
      <c r="N1963" t="n">
        <v>28495</v>
      </c>
      <c r="O1963" t="n">
        <v>7575</v>
      </c>
      <c r="P1963" t="n">
        <v>183</v>
      </c>
    </row>
    <row r="1964">
      <c r="A1964" t="inlineStr">
        <is>
          <t>YV</t>
        </is>
      </c>
      <c r="B1964" t="n">
        <v>2021</v>
      </c>
      <c r="C1964" t="n">
        <v>4</v>
      </c>
      <c r="D1964" t="n">
        <v>12530</v>
      </c>
      <c r="E1964" t="n">
        <v>89</v>
      </c>
      <c r="F1964" t="n">
        <v>25</v>
      </c>
      <c r="G1964" t="n">
        <v>12416</v>
      </c>
      <c r="H1964" t="n">
        <v>10659</v>
      </c>
      <c r="I1964" t="n">
        <v>-528</v>
      </c>
      <c r="J1964" t="n">
        <v>253542.2999999973</v>
      </c>
      <c r="K1964" t="n">
        <v>12523</v>
      </c>
      <c r="L1964" t="n">
        <v>50728</v>
      </c>
      <c r="M1964" t="n">
        <v>42048</v>
      </c>
      <c r="N1964" t="n">
        <v>29897</v>
      </c>
      <c r="O1964" t="n">
        <v>7281</v>
      </c>
      <c r="P1964" t="n">
        <v>293</v>
      </c>
    </row>
    <row r="1965">
      <c r="A1965" t="inlineStr">
        <is>
          <t>YV</t>
        </is>
      </c>
      <c r="B1965" t="n">
        <v>2021</v>
      </c>
      <c r="C1965" t="n">
        <v>5</v>
      </c>
      <c r="D1965" t="n">
        <v>13095</v>
      </c>
      <c r="E1965" t="n">
        <v>229</v>
      </c>
      <c r="F1965" t="n">
        <v>66</v>
      </c>
      <c r="G1965" t="n">
        <v>12800</v>
      </c>
      <c r="H1965" t="n">
        <v>10279</v>
      </c>
      <c r="I1965" t="n">
        <v>128162</v>
      </c>
      <c r="J1965" t="n">
        <v>242971.0999999981</v>
      </c>
      <c r="K1965" t="n">
        <v>13061</v>
      </c>
      <c r="L1965" t="n">
        <v>71855</v>
      </c>
      <c r="M1965" t="n">
        <v>58601</v>
      </c>
      <c r="N1965" t="n">
        <v>65049</v>
      </c>
      <c r="O1965" t="n">
        <v>42903</v>
      </c>
      <c r="P1965" t="n">
        <v>176</v>
      </c>
    </row>
    <row r="1966">
      <c r="A1966" t="inlineStr">
        <is>
          <t>YV</t>
        </is>
      </c>
      <c r="B1966" t="n">
        <v>2021</v>
      </c>
      <c r="C1966" t="n">
        <v>6</v>
      </c>
      <c r="D1966" t="n">
        <v>14252</v>
      </c>
      <c r="E1966" t="n">
        <v>309</v>
      </c>
      <c r="F1966" t="n">
        <v>65</v>
      </c>
      <c r="G1966" t="n">
        <v>13878</v>
      </c>
      <c r="H1966" t="n">
        <v>9963</v>
      </c>
      <c r="I1966" t="n">
        <v>286137</v>
      </c>
      <c r="J1966" t="n">
        <v>227949.6999999993</v>
      </c>
      <c r="K1966" t="n">
        <v>14182</v>
      </c>
      <c r="L1966" t="n">
        <v>133764</v>
      </c>
      <c r="M1966" t="n">
        <v>98503</v>
      </c>
      <c r="N1966" t="n">
        <v>77144</v>
      </c>
      <c r="O1966" t="n">
        <v>51730</v>
      </c>
      <c r="P1966" t="n">
        <v>375</v>
      </c>
    </row>
    <row r="1967">
      <c r="A1967" t="inlineStr">
        <is>
          <t>YV</t>
        </is>
      </c>
      <c r="B1967" t="n">
        <v>2021</v>
      </c>
      <c r="C1967" t="n">
        <v>7</v>
      </c>
      <c r="D1967" t="n">
        <v>15755</v>
      </c>
      <c r="E1967" t="n">
        <v>409</v>
      </c>
      <c r="F1967" t="n">
        <v>67</v>
      </c>
      <c r="G1967" t="n">
        <v>15279</v>
      </c>
      <c r="H1967" t="n">
        <v>10374</v>
      </c>
      <c r="I1967" t="n">
        <v>387139</v>
      </c>
      <c r="J1967" t="n">
        <v>251926.5999999992</v>
      </c>
      <c r="K1967" t="n">
        <v>15694</v>
      </c>
      <c r="L1967" t="n">
        <v>211879</v>
      </c>
      <c r="M1967" t="n">
        <v>138920</v>
      </c>
      <c r="N1967" t="n">
        <v>49299</v>
      </c>
      <c r="O1967" t="n">
        <v>59904</v>
      </c>
      <c r="P1967" t="n">
        <v>169</v>
      </c>
    </row>
    <row r="1968">
      <c r="A1968" t="inlineStr">
        <is>
          <t>YV</t>
        </is>
      </c>
      <c r="B1968" t="n">
        <v>2021</v>
      </c>
      <c r="C1968" t="n">
        <v>8</v>
      </c>
      <c r="D1968" t="n">
        <v>15619</v>
      </c>
      <c r="E1968" t="n">
        <v>464</v>
      </c>
      <c r="F1968" t="n">
        <v>68</v>
      </c>
      <c r="G1968" t="n">
        <v>15087</v>
      </c>
      <c r="H1968" t="n">
        <v>11306</v>
      </c>
      <c r="I1968" t="n">
        <v>253360</v>
      </c>
      <c r="J1968" t="n">
        <v>249385.5999999995</v>
      </c>
      <c r="K1968" t="n">
        <v>15499</v>
      </c>
      <c r="L1968" t="n">
        <v>128190</v>
      </c>
      <c r="M1968" t="n">
        <v>122353</v>
      </c>
      <c r="N1968" t="n">
        <v>42869</v>
      </c>
      <c r="O1968" t="n">
        <v>48369</v>
      </c>
      <c r="P1968" t="n">
        <v>131</v>
      </c>
    </row>
    <row r="1969">
      <c r="A1969" t="inlineStr">
        <is>
          <t>YV</t>
        </is>
      </c>
      <c r="B1969" t="n">
        <v>2021</v>
      </c>
      <c r="C1969" t="n">
        <v>9</v>
      </c>
      <c r="D1969" t="n">
        <v>13796</v>
      </c>
      <c r="E1969" t="n">
        <v>160</v>
      </c>
      <c r="F1969" t="n">
        <v>23</v>
      </c>
      <c r="G1969" t="n">
        <v>13613</v>
      </c>
      <c r="H1969" t="n">
        <v>11625</v>
      </c>
      <c r="I1969" t="n">
        <v>24717</v>
      </c>
      <c r="J1969" t="n">
        <v>234209.1999999997</v>
      </c>
      <c r="K1969" t="n">
        <v>13665</v>
      </c>
      <c r="L1969" t="n">
        <v>48553</v>
      </c>
      <c r="M1969" t="n">
        <v>56100</v>
      </c>
      <c r="N1969" t="n">
        <v>17266</v>
      </c>
      <c r="O1969" t="n">
        <v>14577</v>
      </c>
      <c r="P1969" t="n">
        <v>78</v>
      </c>
    </row>
    <row r="1970">
      <c r="A1970" t="inlineStr">
        <is>
          <t>YV</t>
        </is>
      </c>
      <c r="B1970" t="n">
        <v>2021</v>
      </c>
      <c r="C1970" t="n">
        <v>10</v>
      </c>
      <c r="D1970" t="n">
        <v>14610</v>
      </c>
      <c r="E1970" t="n">
        <v>299</v>
      </c>
      <c r="F1970" t="n">
        <v>38</v>
      </c>
      <c r="G1970" t="n">
        <v>14273</v>
      </c>
      <c r="H1970" t="n">
        <v>11191</v>
      </c>
      <c r="I1970" t="n">
        <v>142968</v>
      </c>
      <c r="J1970" t="n">
        <v>266050.8999999986</v>
      </c>
      <c r="K1970" t="n">
        <v>14463</v>
      </c>
      <c r="L1970" t="n">
        <v>87509</v>
      </c>
      <c r="M1970" t="n">
        <v>115360</v>
      </c>
      <c r="N1970" t="n">
        <v>26345</v>
      </c>
      <c r="O1970" t="n">
        <v>18296</v>
      </c>
      <c r="P1970" t="n">
        <v>211</v>
      </c>
    </row>
    <row r="1971">
      <c r="A1971" t="inlineStr">
        <is>
          <t>YV</t>
        </is>
      </c>
      <c r="B1971" t="n">
        <v>2021</v>
      </c>
      <c r="C1971" t="n">
        <v>11</v>
      </c>
      <c r="D1971" t="n">
        <v>13454</v>
      </c>
      <c r="E1971" t="n">
        <v>282</v>
      </c>
      <c r="F1971" t="n">
        <v>20</v>
      </c>
      <c r="G1971" t="n">
        <v>13152</v>
      </c>
      <c r="H1971" t="n">
        <v>10696</v>
      </c>
      <c r="I1971" t="n">
        <v>87960</v>
      </c>
      <c r="J1971" t="n">
        <v>279467.5999999971</v>
      </c>
      <c r="K1971" t="n">
        <v>13287</v>
      </c>
      <c r="L1971" t="n">
        <v>90805</v>
      </c>
      <c r="M1971" t="n">
        <v>103103</v>
      </c>
      <c r="N1971" t="n">
        <v>12623</v>
      </c>
      <c r="O1971" t="n">
        <v>4394</v>
      </c>
      <c r="P1971" t="n">
        <v>346</v>
      </c>
    </row>
    <row r="1972">
      <c r="A1972" t="inlineStr">
        <is>
          <t>YV</t>
        </is>
      </c>
      <c r="B1972" t="n">
        <v>2021</v>
      </c>
      <c r="C1972" t="n">
        <v>12</v>
      </c>
      <c r="D1972" t="n">
        <v>12702</v>
      </c>
      <c r="E1972" t="n">
        <v>764</v>
      </c>
      <c r="F1972" t="n">
        <v>29</v>
      </c>
      <c r="G1972" t="n">
        <v>11909</v>
      </c>
      <c r="H1972" t="n">
        <v>9415</v>
      </c>
      <c r="I1972" t="n">
        <v>125517</v>
      </c>
      <c r="J1972" t="n">
        <v>259938.5000000003</v>
      </c>
      <c r="K1972" t="n">
        <v>12526</v>
      </c>
      <c r="L1972" t="n">
        <v>88546</v>
      </c>
      <c r="M1972" t="n">
        <v>116177</v>
      </c>
      <c r="N1972" t="n">
        <v>11813</v>
      </c>
      <c r="O1972" t="n">
        <v>6715</v>
      </c>
      <c r="P1972" t="n">
        <v>1319</v>
      </c>
    </row>
    <row r="1973">
      <c r="A1973" t="inlineStr">
        <is>
          <t>YV</t>
        </is>
      </c>
      <c r="B1973" t="n">
        <v>2022</v>
      </c>
      <c r="C1973" t="n">
        <v>1</v>
      </c>
      <c r="D1973" t="n">
        <v>11404</v>
      </c>
      <c r="E1973" t="n">
        <v>1456</v>
      </c>
      <c r="F1973" t="n">
        <v>28</v>
      </c>
      <c r="G1973" t="n">
        <v>9920</v>
      </c>
      <c r="H1973" t="n">
        <v>7719</v>
      </c>
      <c r="I1973" t="n">
        <v>110702</v>
      </c>
      <c r="J1973" t="n">
        <v>236397.1999999993</v>
      </c>
      <c r="K1973" t="n">
        <v>11378</v>
      </c>
      <c r="L1973" t="n">
        <v>47092</v>
      </c>
      <c r="M1973" t="n">
        <v>110708</v>
      </c>
      <c r="N1973" t="n">
        <v>30791</v>
      </c>
      <c r="O1973" t="n">
        <v>10609</v>
      </c>
      <c r="P1973" t="n">
        <v>120</v>
      </c>
    </row>
    <row r="1974">
      <c r="A1974" t="inlineStr">
        <is>
          <t>YV</t>
        </is>
      </c>
      <c r="B1974" t="n">
        <v>2022</v>
      </c>
      <c r="C1974" t="n">
        <v>2</v>
      </c>
      <c r="D1974" t="n">
        <v>9881</v>
      </c>
      <c r="E1974" t="n">
        <v>679</v>
      </c>
      <c r="F1974" t="n">
        <v>17</v>
      </c>
      <c r="G1974" t="n">
        <v>9185</v>
      </c>
      <c r="H1974" t="n">
        <v>7378</v>
      </c>
      <c r="I1974" t="n">
        <v>78889</v>
      </c>
      <c r="J1974" t="n">
        <v>196636.1000000004</v>
      </c>
      <c r="K1974" t="n">
        <v>9814</v>
      </c>
      <c r="L1974" t="n">
        <v>38873</v>
      </c>
      <c r="M1974" t="n">
        <v>82573</v>
      </c>
      <c r="N1974" t="n">
        <v>21044</v>
      </c>
      <c r="O1974" t="n">
        <v>13918</v>
      </c>
      <c r="P1974" t="n">
        <v>143</v>
      </c>
    </row>
    <row r="1975">
      <c r="A1975" t="inlineStr">
        <is>
          <t>YV</t>
        </is>
      </c>
      <c r="B1975" t="n">
        <v>2022</v>
      </c>
      <c r="C1975" t="n">
        <v>3</v>
      </c>
      <c r="D1975" t="n">
        <v>9814</v>
      </c>
      <c r="E1975" t="n">
        <v>99</v>
      </c>
      <c r="F1975" t="n">
        <v>25</v>
      </c>
      <c r="G1975" t="n">
        <v>9690</v>
      </c>
      <c r="H1975" t="n">
        <v>8096</v>
      </c>
      <c r="I1975" t="n">
        <v>50586</v>
      </c>
      <c r="J1975" t="n">
        <v>193639.8999999991</v>
      </c>
      <c r="K1975" t="n">
        <v>9714</v>
      </c>
      <c r="L1975" t="n">
        <v>32718</v>
      </c>
      <c r="M1975" t="n">
        <v>70617</v>
      </c>
      <c r="N1975" t="n">
        <v>22572</v>
      </c>
      <c r="O1975" t="n">
        <v>14742</v>
      </c>
      <c r="P1975" t="n">
        <v>164</v>
      </c>
    </row>
    <row r="1976">
      <c r="A1976" t="inlineStr">
        <is>
          <t>YV</t>
        </is>
      </c>
      <c r="B1976" t="n">
        <v>2022</v>
      </c>
      <c r="C1976" t="n">
        <v>4</v>
      </c>
      <c r="D1976" t="n">
        <v>10367</v>
      </c>
      <c r="E1976" t="n">
        <v>106</v>
      </c>
      <c r="F1976" t="n">
        <v>28</v>
      </c>
      <c r="G1976" t="n">
        <v>10233</v>
      </c>
      <c r="H1976" t="n">
        <v>8732</v>
      </c>
      <c r="I1976" t="n">
        <v>29013</v>
      </c>
      <c r="J1976" t="n">
        <v>182540.9999999998</v>
      </c>
      <c r="K1976" t="n">
        <v>10326</v>
      </c>
      <c r="L1976" t="n">
        <v>33209</v>
      </c>
      <c r="M1976" t="n">
        <v>57509</v>
      </c>
      <c r="N1976" t="n">
        <v>17733</v>
      </c>
      <c r="O1976" t="n">
        <v>10484</v>
      </c>
      <c r="P1976" t="n">
        <v>111</v>
      </c>
    </row>
    <row r="1977">
      <c r="A1977" t="inlineStr">
        <is>
          <t>YV</t>
        </is>
      </c>
      <c r="B1977" t="n">
        <v>2022</v>
      </c>
      <c r="C1977" t="n">
        <v>5</v>
      </c>
      <c r="D1977" t="n">
        <v>11037</v>
      </c>
      <c r="E1977" t="n">
        <v>242</v>
      </c>
      <c r="F1977" t="n">
        <v>20</v>
      </c>
      <c r="G1977" t="n">
        <v>10775</v>
      </c>
      <c r="H1977" t="n">
        <v>8673</v>
      </c>
      <c r="I1977" t="n">
        <v>100478</v>
      </c>
      <c r="J1977" t="n">
        <v>195908.9999999994</v>
      </c>
      <c r="K1977" t="n">
        <v>10916</v>
      </c>
      <c r="L1977" t="n">
        <v>68872</v>
      </c>
      <c r="M1977" t="n">
        <v>92768</v>
      </c>
      <c r="N1977" t="n">
        <v>23701</v>
      </c>
      <c r="O1977" t="n">
        <v>12286</v>
      </c>
      <c r="P1977" t="n">
        <v>186</v>
      </c>
    </row>
    <row r="1978">
      <c r="A1978" t="inlineStr">
        <is>
          <t>YV</t>
        </is>
      </c>
      <c r="B1978" t="n">
        <v>2022</v>
      </c>
      <c r="C1978" t="n">
        <v>6</v>
      </c>
      <c r="D1978" t="n">
        <v>9908</v>
      </c>
      <c r="E1978" t="n">
        <v>216</v>
      </c>
      <c r="F1978" t="n">
        <v>20</v>
      </c>
      <c r="G1978" t="n">
        <v>9672</v>
      </c>
      <c r="H1978" t="n">
        <v>7550</v>
      </c>
      <c r="I1978" t="n">
        <v>131899</v>
      </c>
      <c r="J1978" t="n">
        <v>170956.3999999995</v>
      </c>
      <c r="K1978" t="n">
        <v>9851</v>
      </c>
      <c r="L1978" t="n">
        <v>74755</v>
      </c>
      <c r="M1978" t="n">
        <v>94331</v>
      </c>
      <c r="N1978" t="n">
        <v>17858</v>
      </c>
      <c r="O1978" t="n">
        <v>17758</v>
      </c>
      <c r="P1978" t="n">
        <v>346</v>
      </c>
    </row>
    <row r="1979">
      <c r="A1979" t="inlineStr">
        <is>
          <t>YV</t>
        </is>
      </c>
      <c r="B1979" t="n">
        <v>2022</v>
      </c>
      <c r="C1979" t="n">
        <v>7</v>
      </c>
      <c r="D1979" t="n">
        <v>9590</v>
      </c>
      <c r="E1979" t="n">
        <v>200</v>
      </c>
      <c r="F1979" t="n">
        <v>19</v>
      </c>
      <c r="G1979" t="n">
        <v>9371</v>
      </c>
      <c r="H1979" t="n">
        <v>7392</v>
      </c>
      <c r="I1979" t="n">
        <v>102193</v>
      </c>
      <c r="J1979" t="n">
        <v>173490.7999999993</v>
      </c>
      <c r="K1979" t="n">
        <v>9547</v>
      </c>
      <c r="L1979" t="n">
        <v>66689</v>
      </c>
      <c r="M1979" t="n">
        <v>87079</v>
      </c>
      <c r="N1979" t="n">
        <v>16097</v>
      </c>
      <c r="O1979" t="n">
        <v>12449</v>
      </c>
      <c r="P1979" t="n">
        <v>88</v>
      </c>
    </row>
    <row r="1980">
      <c r="A1980" t="inlineStr">
        <is>
          <t>YV</t>
        </is>
      </c>
      <c r="B1980" t="n">
        <v>2022</v>
      </c>
      <c r="C1980" t="n">
        <v>8</v>
      </c>
      <c r="D1980" t="n">
        <v>8895</v>
      </c>
      <c r="E1980" t="n">
        <v>385</v>
      </c>
      <c r="F1980" t="n">
        <v>51</v>
      </c>
      <c r="G1980" t="n">
        <v>8459</v>
      </c>
      <c r="H1980" t="n">
        <v>6276</v>
      </c>
      <c r="I1980" t="n">
        <v>147321</v>
      </c>
      <c r="J1980" t="n">
        <v>157187.9999999997</v>
      </c>
      <c r="K1980" t="n">
        <v>8840</v>
      </c>
      <c r="L1980" t="n">
        <v>83598</v>
      </c>
      <c r="M1980" t="n">
        <v>84882</v>
      </c>
      <c r="N1980" t="n">
        <v>25200</v>
      </c>
      <c r="O1980" t="n">
        <v>19903</v>
      </c>
      <c r="P1980" t="n">
        <v>113</v>
      </c>
    </row>
    <row r="1981">
      <c r="A1981" t="inlineStr">
        <is>
          <t>YV</t>
        </is>
      </c>
      <c r="B1981" t="n">
        <v>2022</v>
      </c>
      <c r="C1981" t="n">
        <v>9</v>
      </c>
      <c r="D1981" t="n">
        <v>8586</v>
      </c>
      <c r="E1981" t="n">
        <v>88</v>
      </c>
      <c r="F1981" t="n">
        <v>22</v>
      </c>
      <c r="G1981" t="n">
        <v>8476</v>
      </c>
      <c r="H1981" t="n">
        <v>7018</v>
      </c>
      <c r="I1981" t="n">
        <v>45789</v>
      </c>
      <c r="J1981" t="n">
        <v>152514.7999999993</v>
      </c>
      <c r="K1981" t="n">
        <v>8423</v>
      </c>
      <c r="L1981" t="n">
        <v>52983</v>
      </c>
      <c r="M1981" t="n">
        <v>55059</v>
      </c>
      <c r="N1981" t="n">
        <v>14418</v>
      </c>
      <c r="O1981" t="n">
        <v>8692</v>
      </c>
      <c r="P1981" t="n">
        <v>316</v>
      </c>
    </row>
    <row r="1982">
      <c r="A1982" t="inlineStr">
        <is>
          <t>YV</t>
        </is>
      </c>
      <c r="B1982" t="n">
        <v>2022</v>
      </c>
      <c r="C1982" t="n">
        <v>10</v>
      </c>
      <c r="D1982" t="n">
        <v>8694</v>
      </c>
      <c r="E1982" t="n">
        <v>109</v>
      </c>
      <c r="F1982" t="n">
        <v>21</v>
      </c>
      <c r="G1982" t="n">
        <v>8564</v>
      </c>
      <c r="H1982" t="n">
        <v>7126</v>
      </c>
      <c r="I1982" t="n">
        <v>59751</v>
      </c>
      <c r="J1982" t="n">
        <v>150947.5000000007</v>
      </c>
      <c r="K1982" t="n">
        <v>8663</v>
      </c>
      <c r="L1982" t="n">
        <v>51978</v>
      </c>
      <c r="M1982" t="n">
        <v>59217</v>
      </c>
      <c r="N1982" t="n">
        <v>17014</v>
      </c>
      <c r="O1982" t="n">
        <v>8247</v>
      </c>
      <c r="P1982" t="n">
        <v>22</v>
      </c>
    </row>
    <row r="1983">
      <c r="A1983" t="inlineStr">
        <is>
          <t>YV</t>
        </is>
      </c>
      <c r="B1983" t="n">
        <v>2022</v>
      </c>
      <c r="C1983" t="n">
        <v>11</v>
      </c>
      <c r="D1983" t="n">
        <v>8608</v>
      </c>
      <c r="E1983" t="n">
        <v>89</v>
      </c>
      <c r="F1983" t="n">
        <v>21</v>
      </c>
      <c r="G1983" t="n">
        <v>8498</v>
      </c>
      <c r="H1983" t="n">
        <v>7003</v>
      </c>
      <c r="I1983" t="n">
        <v>48170</v>
      </c>
      <c r="J1983" t="n">
        <v>156600.8999999994</v>
      </c>
      <c r="K1983" t="n">
        <v>8526</v>
      </c>
      <c r="L1983" t="n">
        <v>41827</v>
      </c>
      <c r="M1983" t="n">
        <v>47021</v>
      </c>
      <c r="N1983" t="n">
        <v>20889</v>
      </c>
      <c r="O1983" t="n">
        <v>8744</v>
      </c>
      <c r="P1983" t="n">
        <v>60</v>
      </c>
    </row>
    <row r="1984">
      <c r="A1984" t="inlineStr">
        <is>
          <t>YV</t>
        </is>
      </c>
      <c r="B1984" t="n">
        <v>2022</v>
      </c>
      <c r="C1984" t="n">
        <v>12</v>
      </c>
      <c r="D1984" t="n">
        <v>7995</v>
      </c>
      <c r="E1984" t="n">
        <v>141</v>
      </c>
      <c r="F1984" t="n">
        <v>32</v>
      </c>
      <c r="G1984" t="n">
        <v>7822</v>
      </c>
      <c r="H1984" t="n">
        <v>5907</v>
      </c>
      <c r="I1984" t="n">
        <v>125806</v>
      </c>
      <c r="J1984" t="n">
        <v>140858.1000000009</v>
      </c>
      <c r="K1984" t="n">
        <v>7886</v>
      </c>
      <c r="L1984" t="n">
        <v>73588</v>
      </c>
      <c r="M1984" t="n">
        <v>70355</v>
      </c>
      <c r="N1984" t="n">
        <v>19583</v>
      </c>
      <c r="O1984" t="n">
        <v>15410</v>
      </c>
      <c r="P1984" t="n">
        <v>136</v>
      </c>
    </row>
    <row r="1985">
      <c r="A1985" t="inlineStr">
        <is>
          <t>YX</t>
        </is>
      </c>
      <c r="B1985" t="n">
        <v>2018</v>
      </c>
      <c r="C1985" t="n">
        <v>1</v>
      </c>
      <c r="D1985" t="n">
        <v>25212</v>
      </c>
      <c r="E1985" t="n">
        <v>1375</v>
      </c>
      <c r="F1985" t="n">
        <v>45</v>
      </c>
      <c r="G1985" t="n">
        <v>23792</v>
      </c>
      <c r="H1985" t="n">
        <v>19215</v>
      </c>
      <c r="I1985" t="n">
        <v>57190</v>
      </c>
      <c r="J1985" t="n">
        <v>556195.4999999948</v>
      </c>
      <c r="K1985" t="n">
        <v>25085</v>
      </c>
      <c r="L1985" t="n">
        <v>101620</v>
      </c>
      <c r="M1985" t="n">
        <v>67652</v>
      </c>
      <c r="N1985" t="n">
        <v>87351</v>
      </c>
      <c r="O1985" t="n">
        <v>23820</v>
      </c>
      <c r="P1985" t="n">
        <v>216</v>
      </c>
    </row>
    <row r="1986">
      <c r="A1986" t="inlineStr">
        <is>
          <t>YX</t>
        </is>
      </c>
      <c r="B1986" t="n">
        <v>2018</v>
      </c>
      <c r="C1986" t="n">
        <v>2</v>
      </c>
      <c r="D1986" t="n">
        <v>23244</v>
      </c>
      <c r="E1986" t="n">
        <v>434</v>
      </c>
      <c r="F1986" t="n">
        <v>48</v>
      </c>
      <c r="G1986" t="n">
        <v>22762</v>
      </c>
      <c r="H1986" t="n">
        <v>18666</v>
      </c>
      <c r="I1986" t="n">
        <v>29880</v>
      </c>
      <c r="J1986" t="n">
        <v>503046.0000000015</v>
      </c>
      <c r="K1986" t="n">
        <v>23015</v>
      </c>
      <c r="L1986" t="n">
        <v>87134</v>
      </c>
      <c r="M1986" t="n">
        <v>56271</v>
      </c>
      <c r="N1986" t="n">
        <v>89935</v>
      </c>
      <c r="O1986" t="n">
        <v>8990</v>
      </c>
      <c r="P1986" t="n">
        <v>372</v>
      </c>
    </row>
    <row r="1987">
      <c r="A1987" t="inlineStr">
        <is>
          <t>YX</t>
        </is>
      </c>
      <c r="B1987" t="n">
        <v>2018</v>
      </c>
      <c r="C1987" t="n">
        <v>3</v>
      </c>
      <c r="D1987" t="n">
        <v>26927</v>
      </c>
      <c r="E1987" t="n">
        <v>2078</v>
      </c>
      <c r="F1987" t="n">
        <v>38</v>
      </c>
      <c r="G1987" t="n">
        <v>24811</v>
      </c>
      <c r="H1987" t="n">
        <v>20907</v>
      </c>
      <c r="I1987" t="n">
        <v>-22100</v>
      </c>
      <c r="J1987" t="n">
        <v>599210.5000000057</v>
      </c>
      <c r="K1987" t="n">
        <v>26576</v>
      </c>
      <c r="L1987" t="n">
        <v>83194</v>
      </c>
      <c r="M1987" t="n">
        <v>52295</v>
      </c>
      <c r="N1987" t="n">
        <v>67645</v>
      </c>
      <c r="O1987" t="n">
        <v>8340</v>
      </c>
      <c r="P1987" t="n">
        <v>204</v>
      </c>
    </row>
    <row r="1988">
      <c r="A1988" t="inlineStr">
        <is>
          <t>YX</t>
        </is>
      </c>
      <c r="B1988" t="n">
        <v>2018</v>
      </c>
      <c r="C1988" t="n">
        <v>4</v>
      </c>
      <c r="D1988" t="n">
        <v>26219</v>
      </c>
      <c r="E1988" t="n">
        <v>660</v>
      </c>
      <c r="F1988" t="n">
        <v>56</v>
      </c>
      <c r="G1988" t="n">
        <v>25503</v>
      </c>
      <c r="H1988" t="n">
        <v>21066</v>
      </c>
      <c r="I1988" t="n">
        <v>50786</v>
      </c>
      <c r="J1988" t="n">
        <v>575630.7999999992</v>
      </c>
      <c r="K1988" t="n">
        <v>26121</v>
      </c>
      <c r="L1988" t="n">
        <v>112230</v>
      </c>
      <c r="M1988" t="n">
        <v>64575</v>
      </c>
      <c r="N1988" t="n">
        <v>100623</v>
      </c>
      <c r="O1988" t="n">
        <v>18325</v>
      </c>
      <c r="P1988" t="n">
        <v>76</v>
      </c>
    </row>
    <row r="1989">
      <c r="A1989" t="inlineStr">
        <is>
          <t>YX</t>
        </is>
      </c>
      <c r="B1989" t="n">
        <v>2018</v>
      </c>
      <c r="C1989" t="n">
        <v>5</v>
      </c>
      <c r="D1989" t="n">
        <v>27398</v>
      </c>
      <c r="E1989" t="n">
        <v>715</v>
      </c>
      <c r="F1989" t="n">
        <v>87</v>
      </c>
      <c r="G1989" t="n">
        <v>26596</v>
      </c>
      <c r="H1989" t="n">
        <v>21854</v>
      </c>
      <c r="I1989" t="n">
        <v>44548</v>
      </c>
      <c r="J1989" t="n">
        <v>594645.0999999997</v>
      </c>
      <c r="K1989" t="n">
        <v>27372</v>
      </c>
      <c r="L1989" t="n">
        <v>113743</v>
      </c>
      <c r="M1989" t="n">
        <v>68353</v>
      </c>
      <c r="N1989" t="n">
        <v>111834</v>
      </c>
      <c r="O1989" t="n">
        <v>20580</v>
      </c>
      <c r="P1989" t="n">
        <v>232</v>
      </c>
    </row>
    <row r="1990">
      <c r="A1990" t="inlineStr">
        <is>
          <t>YX</t>
        </is>
      </c>
      <c r="B1990" t="n">
        <v>2018</v>
      </c>
      <c r="C1990" t="n">
        <v>6</v>
      </c>
      <c r="D1990" t="n">
        <v>27690</v>
      </c>
      <c r="E1990" t="n">
        <v>573</v>
      </c>
      <c r="F1990" t="n">
        <v>81</v>
      </c>
      <c r="G1990" t="n">
        <v>27036</v>
      </c>
      <c r="H1990" t="n">
        <v>21295</v>
      </c>
      <c r="I1990" t="n">
        <v>160170</v>
      </c>
      <c r="J1990" t="n">
        <v>584699.4</v>
      </c>
      <c r="K1990" t="n">
        <v>27464</v>
      </c>
      <c r="L1990" t="n">
        <v>144797</v>
      </c>
      <c r="M1990" t="n">
        <v>99723</v>
      </c>
      <c r="N1990" t="n">
        <v>120169</v>
      </c>
      <c r="O1990" t="n">
        <v>17682</v>
      </c>
      <c r="P1990" t="n">
        <v>179</v>
      </c>
    </row>
    <row r="1991">
      <c r="A1991" t="inlineStr">
        <is>
          <t>YX</t>
        </is>
      </c>
      <c r="B1991" t="n">
        <v>2018</v>
      </c>
      <c r="C1991" t="n">
        <v>7</v>
      </c>
      <c r="D1991" t="n">
        <v>27536</v>
      </c>
      <c r="E1991" t="n">
        <v>1167</v>
      </c>
      <c r="F1991" t="n">
        <v>82</v>
      </c>
      <c r="G1991" t="n">
        <v>26287</v>
      </c>
      <c r="H1991" t="n">
        <v>20816</v>
      </c>
      <c r="I1991" t="n">
        <v>165059</v>
      </c>
      <c r="J1991" t="n">
        <v>579398.699999996</v>
      </c>
      <c r="K1991" t="n">
        <v>27447</v>
      </c>
      <c r="L1991" t="n">
        <v>146414</v>
      </c>
      <c r="M1991" t="n">
        <v>79557</v>
      </c>
      <c r="N1991" t="n">
        <v>148630</v>
      </c>
      <c r="O1991" t="n">
        <v>21075</v>
      </c>
      <c r="P1991" t="n">
        <v>103</v>
      </c>
    </row>
    <row r="1992">
      <c r="A1992" t="inlineStr">
        <is>
          <t>YX</t>
        </is>
      </c>
      <c r="B1992" t="n">
        <v>2018</v>
      </c>
      <c r="C1992" t="n">
        <v>8</v>
      </c>
      <c r="D1992" t="n">
        <v>28258</v>
      </c>
      <c r="E1992" t="n">
        <v>1495</v>
      </c>
      <c r="F1992" t="n">
        <v>74</v>
      </c>
      <c r="G1992" t="n">
        <v>26689</v>
      </c>
      <c r="H1992" t="n">
        <v>20915</v>
      </c>
      <c r="I1992" t="n">
        <v>202300</v>
      </c>
      <c r="J1992" t="n">
        <v>572056.9999999957</v>
      </c>
      <c r="K1992" t="n">
        <v>28126</v>
      </c>
      <c r="L1992" t="n">
        <v>155420</v>
      </c>
      <c r="M1992" t="n">
        <v>81102</v>
      </c>
      <c r="N1992" t="n">
        <v>160484</v>
      </c>
      <c r="O1992" t="n">
        <v>22166</v>
      </c>
      <c r="P1992" t="n">
        <v>426</v>
      </c>
    </row>
    <row r="1993">
      <c r="A1993" t="inlineStr">
        <is>
          <t>YX</t>
        </is>
      </c>
      <c r="B1993" t="n">
        <v>2018</v>
      </c>
      <c r="C1993" t="n">
        <v>9</v>
      </c>
      <c r="D1993" t="n">
        <v>25617</v>
      </c>
      <c r="E1993" t="n">
        <v>582</v>
      </c>
      <c r="F1993" t="n">
        <v>52</v>
      </c>
      <c r="G1993" t="n">
        <v>24983</v>
      </c>
      <c r="H1993" t="n">
        <v>20593</v>
      </c>
      <c r="I1993" t="n">
        <v>69283</v>
      </c>
      <c r="J1993" t="n">
        <v>482834.1000000003</v>
      </c>
      <c r="K1993" t="n">
        <v>25541</v>
      </c>
      <c r="L1993" t="n">
        <v>102804</v>
      </c>
      <c r="M1993" t="n">
        <v>53353</v>
      </c>
      <c r="N1993" t="n">
        <v>115365</v>
      </c>
      <c r="O1993" t="n">
        <v>13428</v>
      </c>
      <c r="P1993" t="n">
        <v>74</v>
      </c>
    </row>
    <row r="1994">
      <c r="A1994" t="inlineStr">
        <is>
          <t>YX</t>
        </is>
      </c>
      <c r="B1994" t="n">
        <v>2018</v>
      </c>
      <c r="C1994" t="n">
        <v>10</v>
      </c>
      <c r="D1994" t="n">
        <v>26881</v>
      </c>
      <c r="E1994" t="n">
        <v>221</v>
      </c>
      <c r="F1994" t="n">
        <v>60</v>
      </c>
      <c r="G1994" t="n">
        <v>26600</v>
      </c>
      <c r="H1994" t="n">
        <v>22044</v>
      </c>
      <c r="I1994" t="n">
        <v>47480</v>
      </c>
      <c r="J1994" t="n">
        <v>518518.1000000008</v>
      </c>
      <c r="K1994" t="n">
        <v>26841</v>
      </c>
      <c r="L1994" t="n">
        <v>94729</v>
      </c>
      <c r="M1994" t="n">
        <v>55756</v>
      </c>
      <c r="N1994" t="n">
        <v>101710</v>
      </c>
      <c r="O1994" t="n">
        <v>5299</v>
      </c>
      <c r="P1994" t="n">
        <v>151</v>
      </c>
    </row>
    <row r="1995">
      <c r="A1995" t="inlineStr">
        <is>
          <t>YX</t>
        </is>
      </c>
      <c r="B1995" t="n">
        <v>2018</v>
      </c>
      <c r="C1995" t="n">
        <v>11</v>
      </c>
      <c r="D1995" t="n">
        <v>25462</v>
      </c>
      <c r="E1995" t="n">
        <v>557</v>
      </c>
      <c r="F1995" t="n">
        <v>51</v>
      </c>
      <c r="G1995" t="n">
        <v>24854</v>
      </c>
      <c r="H1995" t="n">
        <v>19913</v>
      </c>
      <c r="I1995" t="n">
        <v>113170</v>
      </c>
      <c r="J1995" t="n">
        <v>546405.9999999999</v>
      </c>
      <c r="K1995" t="n">
        <v>25374</v>
      </c>
      <c r="L1995" t="n">
        <v>115134</v>
      </c>
      <c r="M1995" t="n">
        <v>69890</v>
      </c>
      <c r="N1995" t="n">
        <v>105341</v>
      </c>
      <c r="O1995" t="n">
        <v>10825</v>
      </c>
      <c r="P1995" t="n">
        <v>289</v>
      </c>
    </row>
    <row r="1996">
      <c r="A1996" t="inlineStr">
        <is>
          <t>YX</t>
        </is>
      </c>
      <c r="B1996" t="n">
        <v>2018</v>
      </c>
      <c r="C1996" t="n">
        <v>12</v>
      </c>
      <c r="D1996" t="n">
        <v>25639</v>
      </c>
      <c r="E1996" t="n">
        <v>243</v>
      </c>
      <c r="F1996" t="n">
        <v>60</v>
      </c>
      <c r="G1996" t="n">
        <v>25336</v>
      </c>
      <c r="H1996" t="n">
        <v>21066</v>
      </c>
      <c r="I1996" t="n">
        <v>19941</v>
      </c>
      <c r="J1996" t="n">
        <v>544375.2999999996</v>
      </c>
      <c r="K1996" t="n">
        <v>25502</v>
      </c>
      <c r="L1996" t="n">
        <v>93844</v>
      </c>
      <c r="M1996" t="n">
        <v>57145</v>
      </c>
      <c r="N1996" t="n">
        <v>84872</v>
      </c>
      <c r="O1996" t="n">
        <v>9827</v>
      </c>
      <c r="P1996" t="n">
        <v>120</v>
      </c>
    </row>
    <row r="1997">
      <c r="A1997" t="inlineStr">
        <is>
          <t>YX</t>
        </is>
      </c>
      <c r="B1997" t="n">
        <v>2019</v>
      </c>
      <c r="C1997" t="n">
        <v>1</v>
      </c>
      <c r="D1997" t="n">
        <v>25755</v>
      </c>
      <c r="E1997" t="n">
        <v>1132</v>
      </c>
      <c r="F1997" t="n">
        <v>54</v>
      </c>
      <c r="G1997" t="n">
        <v>24569</v>
      </c>
      <c r="H1997" t="n">
        <v>18705</v>
      </c>
      <c r="I1997" t="n">
        <v>211810</v>
      </c>
      <c r="J1997" t="n">
        <v>565717.700000004</v>
      </c>
      <c r="K1997" t="n">
        <v>25671</v>
      </c>
      <c r="L1997" t="n">
        <v>157252</v>
      </c>
      <c r="M1997" t="n">
        <v>85013</v>
      </c>
      <c r="N1997" t="n">
        <v>150893</v>
      </c>
      <c r="O1997" t="n">
        <v>20263</v>
      </c>
      <c r="P1997" t="n">
        <v>190</v>
      </c>
    </row>
    <row r="1998">
      <c r="A1998" t="inlineStr">
        <is>
          <t>YX</t>
        </is>
      </c>
      <c r="B1998" t="n">
        <v>2019</v>
      </c>
      <c r="C1998" t="n">
        <v>2</v>
      </c>
      <c r="D1998" t="n">
        <v>23786</v>
      </c>
      <c r="E1998" t="n">
        <v>952</v>
      </c>
      <c r="F1998" t="n">
        <v>50</v>
      </c>
      <c r="G1998" t="n">
        <v>22784</v>
      </c>
      <c r="H1998" t="n">
        <v>18266</v>
      </c>
      <c r="I1998" t="n">
        <v>85798</v>
      </c>
      <c r="J1998" t="n">
        <v>521401.400000001</v>
      </c>
      <c r="K1998" t="n">
        <v>23700</v>
      </c>
      <c r="L1998" t="n">
        <v>108792</v>
      </c>
      <c r="M1998" t="n">
        <v>58563</v>
      </c>
      <c r="N1998" t="n">
        <v>98788</v>
      </c>
      <c r="O1998" t="n">
        <v>18371</v>
      </c>
      <c r="P1998" t="n">
        <v>359</v>
      </c>
    </row>
    <row r="1999">
      <c r="A1999" t="inlineStr">
        <is>
          <t>YX</t>
        </is>
      </c>
      <c r="B1999" t="n">
        <v>2019</v>
      </c>
      <c r="C1999" t="n">
        <v>3</v>
      </c>
      <c r="D1999" t="n">
        <v>27277</v>
      </c>
      <c r="E1999" t="n">
        <v>348</v>
      </c>
      <c r="F1999" t="n">
        <v>35</v>
      </c>
      <c r="G1999" t="n">
        <v>26894</v>
      </c>
      <c r="H1999" t="n">
        <v>22499</v>
      </c>
      <c r="I1999" t="n">
        <v>39872</v>
      </c>
      <c r="J1999" t="n">
        <v>579948.0999999992</v>
      </c>
      <c r="K1999" t="n">
        <v>27184</v>
      </c>
      <c r="L1999" t="n">
        <v>103103</v>
      </c>
      <c r="M1999" t="n">
        <v>69697</v>
      </c>
      <c r="N1999" t="n">
        <v>88571</v>
      </c>
      <c r="O1999" t="n">
        <v>10998</v>
      </c>
      <c r="P1999" t="n">
        <v>202</v>
      </c>
    </row>
    <row r="2000">
      <c r="A2000" t="inlineStr">
        <is>
          <t>YX</t>
        </is>
      </c>
      <c r="B2000" t="n">
        <v>2019</v>
      </c>
      <c r="C2000" t="n">
        <v>4</v>
      </c>
      <c r="D2000" t="n">
        <v>27048</v>
      </c>
      <c r="E2000" t="n">
        <v>572</v>
      </c>
      <c r="F2000" t="n">
        <v>55</v>
      </c>
      <c r="G2000" t="n">
        <v>26421</v>
      </c>
      <c r="H2000" t="n">
        <v>21207</v>
      </c>
      <c r="I2000" t="n">
        <v>140670</v>
      </c>
      <c r="J2000" t="n">
        <v>555352.4000000004</v>
      </c>
      <c r="K2000" t="n">
        <v>26933</v>
      </c>
      <c r="L2000" t="n">
        <v>135945</v>
      </c>
      <c r="M2000" t="n">
        <v>85145</v>
      </c>
      <c r="N2000" t="n">
        <v>123736</v>
      </c>
      <c r="O2000" t="n">
        <v>14304</v>
      </c>
      <c r="P2000" t="n">
        <v>170</v>
      </c>
    </row>
    <row r="2001">
      <c r="A2001" t="inlineStr">
        <is>
          <t>YX</t>
        </is>
      </c>
      <c r="B2001" t="n">
        <v>2019</v>
      </c>
      <c r="C2001" t="n">
        <v>5</v>
      </c>
      <c r="D2001" t="n">
        <v>28147</v>
      </c>
      <c r="E2001" t="n">
        <v>677</v>
      </c>
      <c r="F2001" t="n">
        <v>109</v>
      </c>
      <c r="G2001" t="n">
        <v>27361</v>
      </c>
      <c r="H2001" t="n">
        <v>22054</v>
      </c>
      <c r="I2001" t="n">
        <v>146130</v>
      </c>
      <c r="J2001" t="n">
        <v>577782.5000000052</v>
      </c>
      <c r="K2001" t="n">
        <v>27954</v>
      </c>
      <c r="L2001" t="n">
        <v>139277</v>
      </c>
      <c r="M2001" t="n">
        <v>63364</v>
      </c>
      <c r="N2001" t="n">
        <v>145388</v>
      </c>
      <c r="O2001" t="n">
        <v>24675</v>
      </c>
      <c r="P2001" t="n">
        <v>377</v>
      </c>
    </row>
    <row r="2002">
      <c r="A2002" t="inlineStr">
        <is>
          <t>YX</t>
        </is>
      </c>
      <c r="B2002" t="n">
        <v>2019</v>
      </c>
      <c r="C2002" t="n">
        <v>6</v>
      </c>
      <c r="D2002" t="n">
        <v>27671</v>
      </c>
      <c r="E2002" t="n">
        <v>681</v>
      </c>
      <c r="F2002" t="n">
        <v>144</v>
      </c>
      <c r="G2002" t="n">
        <v>26846</v>
      </c>
      <c r="H2002" t="n">
        <v>20345</v>
      </c>
      <c r="I2002" t="n">
        <v>311171</v>
      </c>
      <c r="J2002" t="n">
        <v>562366.1999999947</v>
      </c>
      <c r="K2002" t="n">
        <v>27544</v>
      </c>
      <c r="L2002" t="n">
        <v>203465</v>
      </c>
      <c r="M2002" t="n">
        <v>89178</v>
      </c>
      <c r="N2002" t="n">
        <v>185227</v>
      </c>
      <c r="O2002" t="n">
        <v>22890</v>
      </c>
      <c r="P2002" t="n">
        <v>568</v>
      </c>
    </row>
    <row r="2003">
      <c r="A2003" t="inlineStr">
        <is>
          <t>YX</t>
        </is>
      </c>
      <c r="B2003" t="n">
        <v>2019</v>
      </c>
      <c r="C2003" t="n">
        <v>7</v>
      </c>
      <c r="D2003" t="n">
        <v>28158</v>
      </c>
      <c r="E2003" t="n">
        <v>1249</v>
      </c>
      <c r="F2003" t="n">
        <v>114</v>
      </c>
      <c r="G2003" t="n">
        <v>26795</v>
      </c>
      <c r="H2003" t="n">
        <v>21481</v>
      </c>
      <c r="I2003" t="n">
        <v>205331</v>
      </c>
      <c r="J2003" t="n">
        <v>571244.0000000007</v>
      </c>
      <c r="K2003" t="n">
        <v>28063</v>
      </c>
      <c r="L2003" t="n">
        <v>151928</v>
      </c>
      <c r="M2003" t="n">
        <v>97712</v>
      </c>
      <c r="N2003" t="n">
        <v>158755</v>
      </c>
      <c r="O2003" t="n">
        <v>27926</v>
      </c>
      <c r="P2003" t="n">
        <v>676</v>
      </c>
    </row>
    <row r="2004">
      <c r="A2004" t="inlineStr">
        <is>
          <t>YX</t>
        </is>
      </c>
      <c r="B2004" t="n">
        <v>2019</v>
      </c>
      <c r="C2004" t="n">
        <v>8</v>
      </c>
      <c r="D2004" t="n">
        <v>28997</v>
      </c>
      <c r="E2004" t="n">
        <v>927</v>
      </c>
      <c r="F2004" t="n">
        <v>102</v>
      </c>
      <c r="G2004" t="n">
        <v>27968</v>
      </c>
      <c r="H2004" t="n">
        <v>21472</v>
      </c>
      <c r="I2004" t="n">
        <v>261211</v>
      </c>
      <c r="J2004" t="n">
        <v>589965.3999999912</v>
      </c>
      <c r="K2004" t="n">
        <v>28839</v>
      </c>
      <c r="L2004" t="n">
        <v>192535</v>
      </c>
      <c r="M2004" t="n">
        <v>86647</v>
      </c>
      <c r="N2004" t="n">
        <v>178633</v>
      </c>
      <c r="O2004" t="n">
        <v>23958</v>
      </c>
      <c r="P2004" t="n">
        <v>351</v>
      </c>
    </row>
    <row r="2005">
      <c r="A2005" t="inlineStr">
        <is>
          <t>YX</t>
        </is>
      </c>
      <c r="B2005" t="n">
        <v>2019</v>
      </c>
      <c r="C2005" t="n">
        <v>9</v>
      </c>
      <c r="D2005" t="n">
        <v>27512</v>
      </c>
      <c r="E2005" t="n">
        <v>329</v>
      </c>
      <c r="F2005" t="n">
        <v>41</v>
      </c>
      <c r="G2005" t="n">
        <v>27142</v>
      </c>
      <c r="H2005" t="n">
        <v>23566</v>
      </c>
      <c r="I2005" t="n">
        <v>-63245</v>
      </c>
      <c r="J2005" t="n">
        <v>547897.1999999984</v>
      </c>
      <c r="K2005" t="n">
        <v>27364</v>
      </c>
      <c r="L2005" t="n">
        <v>80019</v>
      </c>
      <c r="M2005" t="n">
        <v>44941</v>
      </c>
      <c r="N2005" t="n">
        <v>89007</v>
      </c>
      <c r="O2005" t="n">
        <v>8404</v>
      </c>
      <c r="P2005" t="n">
        <v>276</v>
      </c>
    </row>
    <row r="2006">
      <c r="A2006" t="inlineStr">
        <is>
          <t>YX</t>
        </is>
      </c>
      <c r="B2006" t="n">
        <v>2019</v>
      </c>
      <c r="C2006" t="n">
        <v>10</v>
      </c>
      <c r="D2006" t="n">
        <v>28754</v>
      </c>
      <c r="E2006" t="n">
        <v>126</v>
      </c>
      <c r="F2006" t="n">
        <v>44</v>
      </c>
      <c r="G2006" t="n">
        <v>28584</v>
      </c>
      <c r="H2006" t="n">
        <v>23561</v>
      </c>
      <c r="I2006" t="n">
        <v>66983</v>
      </c>
      <c r="J2006" t="n">
        <v>598143.1999999983</v>
      </c>
      <c r="K2006" t="n">
        <v>28634</v>
      </c>
      <c r="L2006" t="n">
        <v>125726</v>
      </c>
      <c r="M2006" t="n">
        <v>58166</v>
      </c>
      <c r="N2006" t="n">
        <v>133109</v>
      </c>
      <c r="O2006" t="n">
        <v>5457</v>
      </c>
      <c r="P2006" t="n">
        <v>231</v>
      </c>
    </row>
    <row r="2007">
      <c r="A2007" t="inlineStr">
        <is>
          <t>YX</t>
        </is>
      </c>
      <c r="B2007" t="n">
        <v>2019</v>
      </c>
      <c r="C2007" t="n">
        <v>11</v>
      </c>
      <c r="D2007" t="n">
        <v>27167</v>
      </c>
      <c r="E2007" t="n">
        <v>141</v>
      </c>
      <c r="F2007" t="n">
        <v>22</v>
      </c>
      <c r="G2007" t="n">
        <v>27004</v>
      </c>
      <c r="H2007" t="n">
        <v>23548</v>
      </c>
      <c r="I2007" t="n">
        <v>-87399</v>
      </c>
      <c r="J2007" t="n">
        <v>606587.3000000013</v>
      </c>
      <c r="K2007" t="n">
        <v>27013</v>
      </c>
      <c r="L2007" t="n">
        <v>74128</v>
      </c>
      <c r="M2007" t="n">
        <v>50069</v>
      </c>
      <c r="N2007" t="n">
        <v>68244</v>
      </c>
      <c r="O2007" t="n">
        <v>6305</v>
      </c>
      <c r="P2007" t="n">
        <v>164</v>
      </c>
    </row>
    <row r="2008">
      <c r="A2008" t="inlineStr">
        <is>
          <t>YX</t>
        </is>
      </c>
      <c r="B2008" t="n">
        <v>2019</v>
      </c>
      <c r="C2008" t="n">
        <v>12</v>
      </c>
      <c r="D2008" t="n">
        <v>28877</v>
      </c>
      <c r="E2008" t="n">
        <v>558</v>
      </c>
      <c r="F2008" t="n">
        <v>72</v>
      </c>
      <c r="G2008" t="n">
        <v>28247</v>
      </c>
      <c r="H2008" t="n">
        <v>22206</v>
      </c>
      <c r="I2008" t="n">
        <v>179509</v>
      </c>
      <c r="J2008" t="n">
        <v>632458.0999999983</v>
      </c>
      <c r="K2008" t="n">
        <v>28554</v>
      </c>
      <c r="L2008" t="n">
        <v>181954</v>
      </c>
      <c r="M2008" t="n">
        <v>78608</v>
      </c>
      <c r="N2008" t="n">
        <v>150751</v>
      </c>
      <c r="O2008" t="n">
        <v>15920</v>
      </c>
      <c r="P2008" t="n">
        <v>313</v>
      </c>
    </row>
    <row r="2009">
      <c r="A2009" t="inlineStr">
        <is>
          <t>YX</t>
        </is>
      </c>
      <c r="B2009" t="n">
        <v>2020</v>
      </c>
      <c r="C2009" t="n">
        <v>1</v>
      </c>
      <c r="D2009" t="n">
        <v>29123</v>
      </c>
      <c r="E2009" t="n">
        <v>252</v>
      </c>
      <c r="F2009" t="n">
        <v>45</v>
      </c>
      <c r="G2009" t="n">
        <v>28826</v>
      </c>
      <c r="H2009" t="n">
        <v>25398</v>
      </c>
      <c r="I2009" t="n">
        <v>-153331</v>
      </c>
      <c r="J2009" t="n">
        <v>681004.0999999933</v>
      </c>
      <c r="K2009" t="n">
        <v>29016</v>
      </c>
      <c r="L2009" t="n">
        <v>68534</v>
      </c>
      <c r="M2009" t="n">
        <v>54427</v>
      </c>
      <c r="N2009" t="n">
        <v>63968</v>
      </c>
      <c r="O2009" t="n">
        <v>14033</v>
      </c>
      <c r="P2009" t="n">
        <v>185</v>
      </c>
    </row>
    <row r="2010">
      <c r="A2010" t="inlineStr">
        <is>
          <t>YX</t>
        </is>
      </c>
      <c r="B2010" t="n">
        <v>2020</v>
      </c>
      <c r="C2010" t="n">
        <v>2</v>
      </c>
      <c r="D2010" t="n">
        <v>27560</v>
      </c>
      <c r="E2010" t="n">
        <v>188</v>
      </c>
      <c r="F2010" t="n">
        <v>72</v>
      </c>
      <c r="G2010" t="n">
        <v>27300</v>
      </c>
      <c r="H2010" t="n">
        <v>22896</v>
      </c>
      <c r="I2010" t="n">
        <v>-700</v>
      </c>
      <c r="J2010" t="n">
        <v>645773.3999999998</v>
      </c>
      <c r="K2010" t="n">
        <v>27441</v>
      </c>
      <c r="L2010" t="n">
        <v>141310</v>
      </c>
      <c r="M2010" t="n">
        <v>58914</v>
      </c>
      <c r="N2010" t="n">
        <v>101394</v>
      </c>
      <c r="O2010" t="n">
        <v>9941</v>
      </c>
      <c r="P2010" t="n">
        <v>63</v>
      </c>
    </row>
    <row r="2011">
      <c r="A2011" t="inlineStr">
        <is>
          <t>YX</t>
        </is>
      </c>
      <c r="B2011" t="n">
        <v>2020</v>
      </c>
      <c r="C2011" t="n">
        <v>3</v>
      </c>
      <c r="D2011" t="n">
        <v>29967</v>
      </c>
      <c r="E2011" t="n">
        <v>4194</v>
      </c>
      <c r="F2011" t="n">
        <v>28</v>
      </c>
      <c r="G2011" t="n">
        <v>25745</v>
      </c>
      <c r="H2011" t="n">
        <v>23667</v>
      </c>
      <c r="I2011" t="n">
        <v>-263070</v>
      </c>
      <c r="J2011" t="n">
        <v>674673.5999999993</v>
      </c>
      <c r="K2011" t="n">
        <v>29483</v>
      </c>
      <c r="L2011" t="n">
        <v>34248</v>
      </c>
      <c r="M2011" t="n">
        <v>36293</v>
      </c>
      <c r="N2011" t="n">
        <v>37200</v>
      </c>
      <c r="O2011" t="n">
        <v>2024</v>
      </c>
      <c r="P2011" t="n">
        <v>60</v>
      </c>
    </row>
    <row r="2012">
      <c r="A2012" t="inlineStr">
        <is>
          <t>YX</t>
        </is>
      </c>
      <c r="B2012" t="n">
        <v>2020</v>
      </c>
      <c r="C2012" t="n">
        <v>4</v>
      </c>
      <c r="D2012" t="n">
        <v>12100</v>
      </c>
      <c r="E2012" t="n">
        <v>4885</v>
      </c>
      <c r="F2012" t="n">
        <v>7</v>
      </c>
      <c r="G2012" t="n">
        <v>7208</v>
      </c>
      <c r="H2012" t="n">
        <v>6927</v>
      </c>
      <c r="I2012" t="n">
        <v>-129362</v>
      </c>
      <c r="J2012" t="n">
        <v>234075.1000000027</v>
      </c>
      <c r="K2012" t="n">
        <v>11980</v>
      </c>
      <c r="L2012" t="n">
        <v>2986</v>
      </c>
      <c r="M2012" t="n">
        <v>11882</v>
      </c>
      <c r="N2012" t="n">
        <v>1766</v>
      </c>
      <c r="O2012" t="n">
        <v>1088</v>
      </c>
      <c r="P2012" t="n">
        <v>0</v>
      </c>
    </row>
    <row r="2013">
      <c r="A2013" t="inlineStr">
        <is>
          <t>YX</t>
        </is>
      </c>
      <c r="B2013" t="n">
        <v>2020</v>
      </c>
      <c r="C2013" t="n">
        <v>5</v>
      </c>
      <c r="D2013" t="n">
        <v>5977</v>
      </c>
      <c r="E2013" t="n">
        <v>191</v>
      </c>
      <c r="F2013" t="n">
        <v>4</v>
      </c>
      <c r="G2013" t="n">
        <v>5782</v>
      </c>
      <c r="H2013" t="n">
        <v>5594</v>
      </c>
      <c r="I2013" t="n">
        <v>-89898</v>
      </c>
      <c r="J2013" t="n">
        <v>112326.3000000001</v>
      </c>
      <c r="K2013" t="n">
        <v>5895</v>
      </c>
      <c r="L2013" t="n">
        <v>5760</v>
      </c>
      <c r="M2013" t="n">
        <v>6395</v>
      </c>
      <c r="N2013" t="n">
        <v>2024</v>
      </c>
      <c r="O2013" t="n">
        <v>370</v>
      </c>
      <c r="P2013" t="n">
        <v>0</v>
      </c>
    </row>
    <row r="2014">
      <c r="A2014" t="inlineStr">
        <is>
          <t>YX</t>
        </is>
      </c>
      <c r="B2014" t="n">
        <v>2020</v>
      </c>
      <c r="C2014" t="n">
        <v>6</v>
      </c>
      <c r="D2014" t="n">
        <v>8925</v>
      </c>
      <c r="E2014" t="n">
        <v>6</v>
      </c>
      <c r="F2014" t="n">
        <v>8</v>
      </c>
      <c r="G2014" t="n">
        <v>8911</v>
      </c>
      <c r="H2014" t="n">
        <v>8484</v>
      </c>
      <c r="I2014" t="n">
        <v>-113400</v>
      </c>
      <c r="J2014" t="n">
        <v>152599.6999999995</v>
      </c>
      <c r="K2014" t="n">
        <v>8907</v>
      </c>
      <c r="L2014" t="n">
        <v>4808</v>
      </c>
      <c r="M2014" t="n">
        <v>8167</v>
      </c>
      <c r="N2014" t="n">
        <v>7201</v>
      </c>
      <c r="O2014" t="n">
        <v>3014</v>
      </c>
      <c r="P2014" t="n">
        <v>18</v>
      </c>
    </row>
    <row r="2015">
      <c r="A2015" t="inlineStr">
        <is>
          <t>YX</t>
        </is>
      </c>
      <c r="B2015" t="n">
        <v>2020</v>
      </c>
      <c r="C2015" t="n">
        <v>7</v>
      </c>
      <c r="D2015" t="n">
        <v>16849</v>
      </c>
      <c r="E2015" t="n">
        <v>172</v>
      </c>
      <c r="F2015" t="n">
        <v>42</v>
      </c>
      <c r="G2015" t="n">
        <v>16635</v>
      </c>
      <c r="H2015" t="n">
        <v>15437</v>
      </c>
      <c r="I2015" t="n">
        <v>-157147</v>
      </c>
      <c r="J2015" t="n">
        <v>283050.8999999983</v>
      </c>
      <c r="K2015" t="n">
        <v>16736</v>
      </c>
      <c r="L2015" t="n">
        <v>17610</v>
      </c>
      <c r="M2015" t="n">
        <v>25720</v>
      </c>
      <c r="N2015" t="n">
        <v>26444</v>
      </c>
      <c r="O2015" t="n">
        <v>11944</v>
      </c>
      <c r="P2015" t="n">
        <v>614</v>
      </c>
    </row>
    <row r="2016">
      <c r="A2016" t="inlineStr">
        <is>
          <t>YX</t>
        </is>
      </c>
      <c r="B2016" t="n">
        <v>2020</v>
      </c>
      <c r="C2016" t="n">
        <v>8</v>
      </c>
      <c r="D2016" t="n">
        <v>16743</v>
      </c>
      <c r="E2016" t="n">
        <v>227</v>
      </c>
      <c r="F2016" t="n">
        <v>32</v>
      </c>
      <c r="G2016" t="n">
        <v>16484</v>
      </c>
      <c r="H2016" t="n">
        <v>15461</v>
      </c>
      <c r="I2016" t="n">
        <v>-182867</v>
      </c>
      <c r="J2016" t="n">
        <v>287103.6999999987</v>
      </c>
      <c r="K2016" t="n">
        <v>16557</v>
      </c>
      <c r="L2016" t="n">
        <v>11395</v>
      </c>
      <c r="M2016" t="n">
        <v>15934</v>
      </c>
      <c r="N2016" t="n">
        <v>23447</v>
      </c>
      <c r="O2016" t="n">
        <v>8474</v>
      </c>
      <c r="P2016" t="n">
        <v>95</v>
      </c>
    </row>
    <row r="2017">
      <c r="A2017" t="inlineStr">
        <is>
          <t>YX</t>
        </is>
      </c>
      <c r="B2017" t="n">
        <v>2020</v>
      </c>
      <c r="C2017" t="n">
        <v>9</v>
      </c>
      <c r="D2017" t="n">
        <v>15378</v>
      </c>
      <c r="E2017" t="n">
        <v>15</v>
      </c>
      <c r="F2017" t="n">
        <v>21</v>
      </c>
      <c r="G2017" t="n">
        <v>15342</v>
      </c>
      <c r="H2017" t="n">
        <v>14728</v>
      </c>
      <c r="I2017" t="n">
        <v>-206636</v>
      </c>
      <c r="J2017" t="n">
        <v>290004.2999999986</v>
      </c>
      <c r="K2017" t="n">
        <v>15254</v>
      </c>
      <c r="L2017" t="n">
        <v>7426</v>
      </c>
      <c r="M2017" t="n">
        <v>17214</v>
      </c>
      <c r="N2017" t="n">
        <v>8716</v>
      </c>
      <c r="O2017" t="n">
        <v>1198</v>
      </c>
      <c r="P2017" t="n">
        <v>177</v>
      </c>
    </row>
    <row r="2018">
      <c r="A2018" t="inlineStr">
        <is>
          <t>YX</t>
        </is>
      </c>
      <c r="B2018" t="n">
        <v>2020</v>
      </c>
      <c r="C2018" t="n">
        <v>10</v>
      </c>
      <c r="D2018" t="n">
        <v>17370</v>
      </c>
      <c r="E2018" t="n">
        <v>18</v>
      </c>
      <c r="F2018" t="n">
        <v>23</v>
      </c>
      <c r="G2018" t="n">
        <v>17329</v>
      </c>
      <c r="H2018" t="n">
        <v>16227</v>
      </c>
      <c r="I2018" t="n">
        <v>-160908</v>
      </c>
      <c r="J2018" t="n">
        <v>307906.6000000003</v>
      </c>
      <c r="K2018" t="n">
        <v>17338</v>
      </c>
      <c r="L2018" t="n">
        <v>12129</v>
      </c>
      <c r="M2018" t="n">
        <v>15176</v>
      </c>
      <c r="N2018" t="n">
        <v>19450</v>
      </c>
      <c r="O2018" t="n">
        <v>3659</v>
      </c>
      <c r="P2018" t="n">
        <v>167</v>
      </c>
    </row>
    <row r="2019">
      <c r="A2019" t="inlineStr">
        <is>
          <t>YX</t>
        </is>
      </c>
      <c r="B2019" t="n">
        <v>2020</v>
      </c>
      <c r="C2019" t="n">
        <v>11</v>
      </c>
      <c r="D2019" t="n">
        <v>18501</v>
      </c>
      <c r="E2019" t="n">
        <v>59</v>
      </c>
      <c r="F2019" t="n">
        <v>26</v>
      </c>
      <c r="G2019" t="n">
        <v>18416</v>
      </c>
      <c r="H2019" t="n">
        <v>17178</v>
      </c>
      <c r="I2019" t="n">
        <v>-164440</v>
      </c>
      <c r="J2019" t="n">
        <v>346703.4000000001</v>
      </c>
      <c r="K2019" t="n">
        <v>18359</v>
      </c>
      <c r="L2019" t="n">
        <v>18355</v>
      </c>
      <c r="M2019" t="n">
        <v>28297</v>
      </c>
      <c r="N2019" t="n">
        <v>20265</v>
      </c>
      <c r="O2019" t="n">
        <v>2958</v>
      </c>
      <c r="P2019" t="n">
        <v>156</v>
      </c>
    </row>
    <row r="2020">
      <c r="A2020" t="inlineStr">
        <is>
          <t>YX</t>
        </is>
      </c>
      <c r="B2020" t="n">
        <v>2020</v>
      </c>
      <c r="C2020" t="n">
        <v>12</v>
      </c>
      <c r="D2020" t="n">
        <v>21257</v>
      </c>
      <c r="E2020" t="n">
        <v>311</v>
      </c>
      <c r="F2020" t="n">
        <v>13</v>
      </c>
      <c r="G2020" t="n">
        <v>20933</v>
      </c>
      <c r="H2020" t="n">
        <v>19042</v>
      </c>
      <c r="I2020" t="n">
        <v>-126821</v>
      </c>
      <c r="J2020" t="n">
        <v>393592.5999999981</v>
      </c>
      <c r="K2020" t="n">
        <v>21094</v>
      </c>
      <c r="L2020" t="n">
        <v>26760</v>
      </c>
      <c r="M2020" t="n">
        <v>51931</v>
      </c>
      <c r="N2020" t="n">
        <v>26857</v>
      </c>
      <c r="O2020" t="n">
        <v>7736</v>
      </c>
      <c r="P2020" t="n">
        <v>392</v>
      </c>
    </row>
    <row r="2021">
      <c r="A2021" t="inlineStr">
        <is>
          <t>YX</t>
        </is>
      </c>
      <c r="B2021" t="n">
        <v>2021</v>
      </c>
      <c r="C2021" t="n">
        <v>1</v>
      </c>
      <c r="D2021" t="n">
        <v>21720</v>
      </c>
      <c r="E2021" t="n">
        <v>271</v>
      </c>
      <c r="F2021" t="n">
        <v>28</v>
      </c>
      <c r="G2021" t="n">
        <v>21421</v>
      </c>
      <c r="H2021" t="n">
        <v>19582</v>
      </c>
      <c r="I2021" t="n">
        <v>-183058</v>
      </c>
      <c r="J2021" t="n">
        <v>467507.9999999971</v>
      </c>
      <c r="K2021" t="n">
        <v>21628</v>
      </c>
      <c r="L2021" t="n">
        <v>28896</v>
      </c>
      <c r="M2021" t="n">
        <v>41704</v>
      </c>
      <c r="N2021" t="n">
        <v>39195</v>
      </c>
      <c r="O2021" t="n">
        <v>11711</v>
      </c>
      <c r="P2021" t="n">
        <v>395</v>
      </c>
    </row>
    <row r="2022">
      <c r="A2022" t="inlineStr">
        <is>
          <t>YX</t>
        </is>
      </c>
      <c r="B2022" t="n">
        <v>2021</v>
      </c>
      <c r="C2022" t="n">
        <v>2</v>
      </c>
      <c r="D2022" t="n">
        <v>20379</v>
      </c>
      <c r="E2022" t="n">
        <v>1121</v>
      </c>
      <c r="F2022" t="n">
        <v>47</v>
      </c>
      <c r="G2022" t="n">
        <v>19211</v>
      </c>
      <c r="H2022" t="n">
        <v>16450</v>
      </c>
      <c r="I2022" t="n">
        <v>-37461</v>
      </c>
      <c r="J2022" t="n">
        <v>433325.2999999997</v>
      </c>
      <c r="K2022" t="n">
        <v>20272</v>
      </c>
      <c r="L2022" t="n">
        <v>44418</v>
      </c>
      <c r="M2022" t="n">
        <v>63215</v>
      </c>
      <c r="N2022" t="n">
        <v>51472</v>
      </c>
      <c r="O2022" t="n">
        <v>14527</v>
      </c>
      <c r="P2022" t="n">
        <v>400</v>
      </c>
    </row>
    <row r="2023">
      <c r="A2023" t="inlineStr">
        <is>
          <t>YX</t>
        </is>
      </c>
      <c r="B2023" t="n">
        <v>2021</v>
      </c>
      <c r="C2023" t="n">
        <v>3</v>
      </c>
      <c r="D2023" t="n">
        <v>25776</v>
      </c>
      <c r="E2023" t="n">
        <v>36</v>
      </c>
      <c r="F2023" t="n">
        <v>58</v>
      </c>
      <c r="G2023" t="n">
        <v>25682</v>
      </c>
      <c r="H2023" t="n">
        <v>23761</v>
      </c>
      <c r="I2023" t="n">
        <v>-206754</v>
      </c>
      <c r="J2023" t="n">
        <v>541690.6000000037</v>
      </c>
      <c r="K2023" t="n">
        <v>25625</v>
      </c>
      <c r="L2023" t="n">
        <v>37368</v>
      </c>
      <c r="M2023" t="n">
        <v>51261</v>
      </c>
      <c r="N2023" t="n">
        <v>27394</v>
      </c>
      <c r="O2023" t="n">
        <v>5637</v>
      </c>
      <c r="P2023" t="n">
        <v>415</v>
      </c>
    </row>
    <row r="2024">
      <c r="A2024" t="inlineStr">
        <is>
          <t>YX</t>
        </is>
      </c>
      <c r="B2024" t="n">
        <v>2021</v>
      </c>
      <c r="C2024" t="n">
        <v>4</v>
      </c>
      <c r="D2024" t="n">
        <v>26509</v>
      </c>
      <c r="E2024" t="n">
        <v>95</v>
      </c>
      <c r="F2024" t="n">
        <v>40</v>
      </c>
      <c r="G2024" t="n">
        <v>26374</v>
      </c>
      <c r="H2024" t="n">
        <v>24226</v>
      </c>
      <c r="I2024" t="n">
        <v>-187655</v>
      </c>
      <c r="J2024" t="n">
        <v>554753.9999999956</v>
      </c>
      <c r="K2024" t="n">
        <v>26417</v>
      </c>
      <c r="L2024" t="n">
        <v>40804</v>
      </c>
      <c r="M2024" t="n">
        <v>70782</v>
      </c>
      <c r="N2024" t="n">
        <v>30435</v>
      </c>
      <c r="O2024" t="n">
        <v>6461</v>
      </c>
      <c r="P2024" t="n">
        <v>344</v>
      </c>
    </row>
    <row r="2025">
      <c r="A2025" t="inlineStr">
        <is>
          <t>YX</t>
        </is>
      </c>
      <c r="B2025" t="n">
        <v>2021</v>
      </c>
      <c r="C2025" t="n">
        <v>5</v>
      </c>
      <c r="D2025" t="n">
        <v>29189</v>
      </c>
      <c r="E2025" t="n">
        <v>70</v>
      </c>
      <c r="F2025" t="n">
        <v>54</v>
      </c>
      <c r="G2025" t="n">
        <v>29065</v>
      </c>
      <c r="H2025" t="n">
        <v>26690</v>
      </c>
      <c r="I2025" t="n">
        <v>-192923</v>
      </c>
      <c r="J2025" t="n">
        <v>593139.0000000003</v>
      </c>
      <c r="K2025" t="n">
        <v>28867</v>
      </c>
      <c r="L2025" t="n">
        <v>44061</v>
      </c>
      <c r="M2025" t="n">
        <v>74298</v>
      </c>
      <c r="N2025" t="n">
        <v>28795</v>
      </c>
      <c r="O2025" t="n">
        <v>4495</v>
      </c>
      <c r="P2025" t="n">
        <v>164</v>
      </c>
    </row>
    <row r="2026">
      <c r="A2026" t="inlineStr">
        <is>
          <t>YX</t>
        </is>
      </c>
      <c r="B2026" t="n">
        <v>2021</v>
      </c>
      <c r="C2026" t="n">
        <v>6</v>
      </c>
      <c r="D2026" t="n">
        <v>30951</v>
      </c>
      <c r="E2026" t="n">
        <v>614</v>
      </c>
      <c r="F2026" t="n">
        <v>105</v>
      </c>
      <c r="G2026" t="n">
        <v>30232</v>
      </c>
      <c r="H2026" t="n">
        <v>24085</v>
      </c>
      <c r="I2026" t="n">
        <v>228731</v>
      </c>
      <c r="J2026" t="n">
        <v>595156.1</v>
      </c>
      <c r="K2026" t="n">
        <v>30656</v>
      </c>
      <c r="L2026" t="n">
        <v>173670</v>
      </c>
      <c r="M2026" t="n">
        <v>160019</v>
      </c>
      <c r="N2026" t="n">
        <v>117423</v>
      </c>
      <c r="O2026" t="n">
        <v>35481</v>
      </c>
      <c r="P2026" t="n">
        <v>612</v>
      </c>
    </row>
    <row r="2027">
      <c r="A2027" t="inlineStr">
        <is>
          <t>YX</t>
        </is>
      </c>
      <c r="B2027" t="n">
        <v>2021</v>
      </c>
      <c r="C2027" t="n">
        <v>7</v>
      </c>
      <c r="D2027" t="n">
        <v>32700</v>
      </c>
      <c r="E2027" t="n">
        <v>1285</v>
      </c>
      <c r="F2027" t="n">
        <v>133</v>
      </c>
      <c r="G2027" t="n">
        <v>31282</v>
      </c>
      <c r="H2027" t="n">
        <v>24115</v>
      </c>
      <c r="I2027" t="n">
        <v>339013</v>
      </c>
      <c r="J2027" t="n">
        <v>569661.9000000018</v>
      </c>
      <c r="K2027" t="n">
        <v>32502</v>
      </c>
      <c r="L2027" t="n">
        <v>194727</v>
      </c>
      <c r="M2027" t="n">
        <v>186767</v>
      </c>
      <c r="N2027" t="n">
        <v>119806</v>
      </c>
      <c r="O2027" t="n">
        <v>38052</v>
      </c>
      <c r="P2027" t="n">
        <v>1304</v>
      </c>
    </row>
    <row r="2028">
      <c r="A2028" t="inlineStr">
        <is>
          <t>YX</t>
        </is>
      </c>
      <c r="B2028" t="n">
        <v>2021</v>
      </c>
      <c r="C2028" t="n">
        <v>8</v>
      </c>
      <c r="D2028" t="n">
        <v>31830</v>
      </c>
      <c r="E2028" t="n">
        <v>1356</v>
      </c>
      <c r="F2028" t="n">
        <v>117</v>
      </c>
      <c r="G2028" t="n">
        <v>30357</v>
      </c>
      <c r="H2028" t="n">
        <v>23474</v>
      </c>
      <c r="I2028" t="n">
        <v>316900</v>
      </c>
      <c r="J2028" t="n">
        <v>523572.9000000003</v>
      </c>
      <c r="K2028" t="n">
        <v>31611</v>
      </c>
      <c r="L2028" t="n">
        <v>172282</v>
      </c>
      <c r="M2028" t="n">
        <v>174543</v>
      </c>
      <c r="N2028" t="n">
        <v>131080</v>
      </c>
      <c r="O2028" t="n">
        <v>38108</v>
      </c>
      <c r="P2028" t="n">
        <v>529</v>
      </c>
    </row>
    <row r="2029">
      <c r="A2029" t="inlineStr">
        <is>
          <t>YX</t>
        </is>
      </c>
      <c r="B2029" t="n">
        <v>2021</v>
      </c>
      <c r="C2029" t="n">
        <v>9</v>
      </c>
      <c r="D2029" t="n">
        <v>29780</v>
      </c>
      <c r="E2029" t="n">
        <v>710</v>
      </c>
      <c r="F2029" t="n">
        <v>49</v>
      </c>
      <c r="G2029" t="n">
        <v>29021</v>
      </c>
      <c r="H2029" t="n">
        <v>25788</v>
      </c>
      <c r="I2029" t="n">
        <v>-77446</v>
      </c>
      <c r="J2029" t="n">
        <v>553993.6000000065</v>
      </c>
      <c r="K2029" t="n">
        <v>29538</v>
      </c>
      <c r="L2029" t="n">
        <v>72826</v>
      </c>
      <c r="M2029" t="n">
        <v>85192</v>
      </c>
      <c r="N2029" t="n">
        <v>54692</v>
      </c>
      <c r="O2029" t="n">
        <v>17201</v>
      </c>
      <c r="P2029" t="n">
        <v>89</v>
      </c>
    </row>
    <row r="2030">
      <c r="A2030" t="inlineStr">
        <is>
          <t>YX</t>
        </is>
      </c>
      <c r="B2030" t="n">
        <v>2021</v>
      </c>
      <c r="C2030" t="n">
        <v>10</v>
      </c>
      <c r="D2030" t="n">
        <v>29086</v>
      </c>
      <c r="E2030" t="n">
        <v>177</v>
      </c>
      <c r="F2030" t="n">
        <v>36</v>
      </c>
      <c r="G2030" t="n">
        <v>28873</v>
      </c>
      <c r="H2030" t="n">
        <v>25629</v>
      </c>
      <c r="I2030" t="n">
        <v>-78329</v>
      </c>
      <c r="J2030" t="n">
        <v>526903.4000000034</v>
      </c>
      <c r="K2030" t="n">
        <v>28975</v>
      </c>
      <c r="L2030" t="n">
        <v>59333</v>
      </c>
      <c r="M2030" t="n">
        <v>67962</v>
      </c>
      <c r="N2030" t="n">
        <v>55208</v>
      </c>
      <c r="O2030" t="n">
        <v>7682</v>
      </c>
      <c r="P2030" t="n">
        <v>527</v>
      </c>
    </row>
    <row r="2031">
      <c r="A2031" t="inlineStr">
        <is>
          <t>YX</t>
        </is>
      </c>
      <c r="B2031" t="n">
        <v>2021</v>
      </c>
      <c r="C2031" t="n">
        <v>11</v>
      </c>
      <c r="D2031" t="n">
        <v>27548</v>
      </c>
      <c r="E2031" t="n">
        <v>49</v>
      </c>
      <c r="F2031" t="n">
        <v>29</v>
      </c>
      <c r="G2031" t="n">
        <v>27470</v>
      </c>
      <c r="H2031" t="n">
        <v>23637</v>
      </c>
      <c r="I2031" t="n">
        <v>-25758</v>
      </c>
      <c r="J2031" t="n">
        <v>552861.0000000052</v>
      </c>
      <c r="K2031" t="n">
        <v>26918</v>
      </c>
      <c r="L2031" t="n">
        <v>67820</v>
      </c>
      <c r="M2031" t="n">
        <v>60492</v>
      </c>
      <c r="N2031" t="n">
        <v>60443</v>
      </c>
      <c r="O2031" t="n">
        <v>2139</v>
      </c>
      <c r="P2031" t="n">
        <v>592</v>
      </c>
    </row>
    <row r="2032">
      <c r="A2032" t="inlineStr">
        <is>
          <t>YX</t>
        </is>
      </c>
      <c r="B2032" t="n">
        <v>2021</v>
      </c>
      <c r="C2032" t="n">
        <v>12</v>
      </c>
      <c r="D2032" t="n">
        <v>27592</v>
      </c>
      <c r="E2032" t="n">
        <v>66</v>
      </c>
      <c r="F2032" t="n">
        <v>52</v>
      </c>
      <c r="G2032" t="n">
        <v>27474</v>
      </c>
      <c r="H2032" t="n">
        <v>23510</v>
      </c>
      <c r="I2032" t="n">
        <v>-22044</v>
      </c>
      <c r="J2032" t="n">
        <v>576525.9000000026</v>
      </c>
      <c r="K2032" t="n">
        <v>27381</v>
      </c>
      <c r="L2032" t="n">
        <v>53343</v>
      </c>
      <c r="M2032" t="n">
        <v>77840</v>
      </c>
      <c r="N2032" t="n">
        <v>63501</v>
      </c>
      <c r="O2032" t="n">
        <v>18831</v>
      </c>
      <c r="P2032" t="n">
        <v>423</v>
      </c>
    </row>
    <row r="2033">
      <c r="A2033" t="inlineStr">
        <is>
          <t>YX</t>
        </is>
      </c>
      <c r="B2033" t="n">
        <v>2022</v>
      </c>
      <c r="C2033" t="n">
        <v>1</v>
      </c>
      <c r="D2033" t="n">
        <v>27260</v>
      </c>
      <c r="E2033" t="n">
        <v>2868</v>
      </c>
      <c r="F2033" t="n">
        <v>78</v>
      </c>
      <c r="G2033" t="n">
        <v>24314</v>
      </c>
      <c r="H2033" t="n">
        <v>19308</v>
      </c>
      <c r="I2033" t="n">
        <v>80243</v>
      </c>
      <c r="J2033" t="n">
        <v>602646.5999999973</v>
      </c>
      <c r="K2033" t="n">
        <v>27143</v>
      </c>
      <c r="L2033" t="n">
        <v>97233</v>
      </c>
      <c r="M2033" t="n">
        <v>111629</v>
      </c>
      <c r="N2033" t="n">
        <v>81730</v>
      </c>
      <c r="O2033" t="n">
        <v>16021</v>
      </c>
      <c r="P2033" t="n">
        <v>220</v>
      </c>
    </row>
    <row r="2034">
      <c r="A2034" t="inlineStr">
        <is>
          <t>YX</t>
        </is>
      </c>
      <c r="B2034" t="n">
        <v>2022</v>
      </c>
      <c r="C2034" t="n">
        <v>2</v>
      </c>
      <c r="D2034" t="n">
        <v>24630</v>
      </c>
      <c r="E2034" t="n">
        <v>1471</v>
      </c>
      <c r="F2034" t="n">
        <v>52</v>
      </c>
      <c r="G2034" t="n">
        <v>23107</v>
      </c>
      <c r="H2034" t="n">
        <v>18213</v>
      </c>
      <c r="I2034" t="n">
        <v>119314</v>
      </c>
      <c r="J2034" t="n">
        <v>554287.5999999988</v>
      </c>
      <c r="K2034" t="n">
        <v>24549</v>
      </c>
      <c r="L2034" t="n">
        <v>131374</v>
      </c>
      <c r="M2034" t="n">
        <v>93378</v>
      </c>
      <c r="N2034" t="n">
        <v>96393</v>
      </c>
      <c r="O2034" t="n">
        <v>14098</v>
      </c>
      <c r="P2034" t="n">
        <v>345</v>
      </c>
    </row>
    <row r="2035">
      <c r="A2035" t="inlineStr">
        <is>
          <t>YX</t>
        </is>
      </c>
      <c r="B2035" t="n">
        <v>2022</v>
      </c>
      <c r="C2035" t="n">
        <v>3</v>
      </c>
      <c r="D2035" t="n">
        <v>30092</v>
      </c>
      <c r="E2035" t="n">
        <v>855</v>
      </c>
      <c r="F2035" t="n">
        <v>131</v>
      </c>
      <c r="G2035" t="n">
        <v>29106</v>
      </c>
      <c r="H2035" t="n">
        <v>22879</v>
      </c>
      <c r="I2035" t="n">
        <v>204736</v>
      </c>
      <c r="J2035" t="n">
        <v>646148.9000000034</v>
      </c>
      <c r="K2035" t="n">
        <v>29852</v>
      </c>
      <c r="L2035" t="n">
        <v>162220</v>
      </c>
      <c r="M2035" t="n">
        <v>127820</v>
      </c>
      <c r="N2035" t="n">
        <v>130074</v>
      </c>
      <c r="O2035" t="n">
        <v>19462</v>
      </c>
      <c r="P2035" t="n">
        <v>558</v>
      </c>
    </row>
    <row r="2036">
      <c r="A2036" t="inlineStr">
        <is>
          <t>YX</t>
        </is>
      </c>
      <c r="B2036" t="n">
        <v>2022</v>
      </c>
      <c r="C2036" t="n">
        <v>4</v>
      </c>
      <c r="D2036" t="n">
        <v>29963</v>
      </c>
      <c r="E2036" t="n">
        <v>638</v>
      </c>
      <c r="F2036" t="n">
        <v>61</v>
      </c>
      <c r="G2036" t="n">
        <v>29264</v>
      </c>
      <c r="H2036" t="n">
        <v>23740</v>
      </c>
      <c r="I2036" t="n">
        <v>120353</v>
      </c>
      <c r="J2036" t="n">
        <v>631315.0000000037</v>
      </c>
      <c r="K2036" t="n">
        <v>29793</v>
      </c>
      <c r="L2036" t="n">
        <v>146700</v>
      </c>
      <c r="M2036" t="n">
        <v>98272</v>
      </c>
      <c r="N2036" t="n">
        <v>99538</v>
      </c>
      <c r="O2036" t="n">
        <v>14191</v>
      </c>
      <c r="P2036" t="n">
        <v>158</v>
      </c>
    </row>
    <row r="2037">
      <c r="A2037" t="inlineStr">
        <is>
          <t>YX</t>
        </is>
      </c>
      <c r="B2037" t="n">
        <v>2022</v>
      </c>
      <c r="C2037" t="n">
        <v>5</v>
      </c>
      <c r="D2037" t="n">
        <v>31089</v>
      </c>
      <c r="E2037" t="n">
        <v>1954</v>
      </c>
      <c r="F2037" t="n">
        <v>98</v>
      </c>
      <c r="G2037" t="n">
        <v>29037</v>
      </c>
      <c r="H2037" t="n">
        <v>21392</v>
      </c>
      <c r="I2037" t="n">
        <v>358869</v>
      </c>
      <c r="J2037" t="n">
        <v>655016.499999996</v>
      </c>
      <c r="K2037" t="n">
        <v>30614</v>
      </c>
      <c r="L2037" t="n">
        <v>233730</v>
      </c>
      <c r="M2037" t="n">
        <v>168503</v>
      </c>
      <c r="N2037" t="n">
        <v>143842</v>
      </c>
      <c r="O2037" t="n">
        <v>26306</v>
      </c>
      <c r="P2037" t="n">
        <v>158</v>
      </c>
    </row>
    <row r="2038">
      <c r="A2038" t="inlineStr">
        <is>
          <t>YX</t>
        </is>
      </c>
      <c r="B2038" t="n">
        <v>2022</v>
      </c>
      <c r="C2038" t="n">
        <v>6</v>
      </c>
      <c r="D2038" t="n">
        <v>28130</v>
      </c>
      <c r="E2038" t="n">
        <v>2484</v>
      </c>
      <c r="F2038" t="n">
        <v>86</v>
      </c>
      <c r="G2038" t="n">
        <v>25560</v>
      </c>
      <c r="H2038" t="n">
        <v>19674</v>
      </c>
      <c r="I2038" t="n">
        <v>256562</v>
      </c>
      <c r="J2038" t="n">
        <v>584974.8999999987</v>
      </c>
      <c r="K2038" t="n">
        <v>27757</v>
      </c>
      <c r="L2038" t="n">
        <v>148174</v>
      </c>
      <c r="M2038" t="n">
        <v>144639</v>
      </c>
      <c r="N2038" t="n">
        <v>130615</v>
      </c>
      <c r="O2038" t="n">
        <v>29335</v>
      </c>
      <c r="P2038" t="n">
        <v>238</v>
      </c>
    </row>
    <row r="2039">
      <c r="A2039" t="inlineStr">
        <is>
          <t>YX</t>
        </is>
      </c>
      <c r="B2039" t="n">
        <v>2022</v>
      </c>
      <c r="C2039" t="n">
        <v>7</v>
      </c>
      <c r="D2039" t="n">
        <v>26710</v>
      </c>
      <c r="E2039" t="n">
        <v>1195</v>
      </c>
      <c r="F2039" t="n">
        <v>97</v>
      </c>
      <c r="G2039" t="n">
        <v>25418</v>
      </c>
      <c r="H2039" t="n">
        <v>20029</v>
      </c>
      <c r="I2039" t="n">
        <v>183312</v>
      </c>
      <c r="J2039" t="n">
        <v>562865.3999999976</v>
      </c>
      <c r="K2039" t="n">
        <v>26503</v>
      </c>
      <c r="L2039" t="n">
        <v>157776</v>
      </c>
      <c r="M2039" t="n">
        <v>108035</v>
      </c>
      <c r="N2039" t="n">
        <v>106759</v>
      </c>
      <c r="O2039" t="n">
        <v>29254</v>
      </c>
      <c r="P2039" t="n">
        <v>119</v>
      </c>
    </row>
    <row r="2040">
      <c r="A2040" t="inlineStr">
        <is>
          <t>YX</t>
        </is>
      </c>
      <c r="B2040" t="n">
        <v>2022</v>
      </c>
      <c r="C2040" t="n">
        <v>8</v>
      </c>
      <c r="D2040" t="n">
        <v>26685</v>
      </c>
      <c r="E2040" t="n">
        <v>1846</v>
      </c>
      <c r="F2040" t="n">
        <v>52</v>
      </c>
      <c r="G2040" t="n">
        <v>24787</v>
      </c>
      <c r="H2040" t="n">
        <v>20003</v>
      </c>
      <c r="I2040" t="n">
        <v>113350</v>
      </c>
      <c r="J2040" t="n">
        <v>569843.099999998</v>
      </c>
      <c r="K2040" t="n">
        <v>26428</v>
      </c>
      <c r="L2040" t="n">
        <v>106853</v>
      </c>
      <c r="M2040" t="n">
        <v>98763</v>
      </c>
      <c r="N2040" t="n">
        <v>107676</v>
      </c>
      <c r="O2040" t="n">
        <v>26715</v>
      </c>
      <c r="P2040" t="n">
        <v>222</v>
      </c>
    </row>
    <row r="2041">
      <c r="A2041" t="inlineStr">
        <is>
          <t>YX</t>
        </is>
      </c>
      <c r="B2041" t="n">
        <v>2022</v>
      </c>
      <c r="C2041" t="n">
        <v>9</v>
      </c>
      <c r="D2041" t="n">
        <v>25332</v>
      </c>
      <c r="E2041" t="n">
        <v>370</v>
      </c>
      <c r="F2041" t="n">
        <v>24</v>
      </c>
      <c r="G2041" t="n">
        <v>24938</v>
      </c>
      <c r="H2041" t="n">
        <v>21707</v>
      </c>
      <c r="I2041" t="n">
        <v>-53792</v>
      </c>
      <c r="J2041" t="n">
        <v>510534.9000000024</v>
      </c>
      <c r="K2041" t="n">
        <v>25006</v>
      </c>
      <c r="L2041" t="n">
        <v>66245</v>
      </c>
      <c r="M2041" t="n">
        <v>48798</v>
      </c>
      <c r="N2041" t="n">
        <v>68564</v>
      </c>
      <c r="O2041" t="n">
        <v>9772</v>
      </c>
      <c r="P2041" t="n">
        <v>241</v>
      </c>
    </row>
    <row r="2042">
      <c r="A2042" t="inlineStr">
        <is>
          <t>YX</t>
        </is>
      </c>
      <c r="B2042" t="n">
        <v>2022</v>
      </c>
      <c r="C2042" t="n">
        <v>10</v>
      </c>
      <c r="D2042" t="n">
        <v>23836</v>
      </c>
      <c r="E2042" t="n">
        <v>223</v>
      </c>
      <c r="F2042" t="n">
        <v>42</v>
      </c>
      <c r="G2042" t="n">
        <v>23571</v>
      </c>
      <c r="H2042" t="n">
        <v>20070</v>
      </c>
      <c r="I2042" t="n">
        <v>-14571</v>
      </c>
      <c r="J2042" t="n">
        <v>495910.100000005</v>
      </c>
      <c r="K2042" t="n">
        <v>23591</v>
      </c>
      <c r="L2042" t="n">
        <v>75568</v>
      </c>
      <c r="M2042" t="n">
        <v>46324</v>
      </c>
      <c r="N2042" t="n">
        <v>80384</v>
      </c>
      <c r="O2042" t="n">
        <v>7561</v>
      </c>
      <c r="P2042" t="n">
        <v>157</v>
      </c>
    </row>
    <row r="2043">
      <c r="A2043" t="inlineStr">
        <is>
          <t>YX</t>
        </is>
      </c>
      <c r="B2043" t="n">
        <v>2022</v>
      </c>
      <c r="C2043" t="n">
        <v>11</v>
      </c>
      <c r="D2043" t="n">
        <v>22021</v>
      </c>
      <c r="E2043" t="n">
        <v>346</v>
      </c>
      <c r="F2043" t="n">
        <v>47</v>
      </c>
      <c r="G2043" t="n">
        <v>21628</v>
      </c>
      <c r="H2043" t="n">
        <v>18286</v>
      </c>
      <c r="I2043" t="n">
        <v>-20384</v>
      </c>
      <c r="J2043" t="n">
        <v>499799.3000000059</v>
      </c>
      <c r="K2043" t="n">
        <v>21651</v>
      </c>
      <c r="L2043" t="n">
        <v>69371</v>
      </c>
      <c r="M2043" t="n">
        <v>45314</v>
      </c>
      <c r="N2043" t="n">
        <v>75007</v>
      </c>
      <c r="O2043" t="n">
        <v>10006</v>
      </c>
      <c r="P2043" t="n">
        <v>327</v>
      </c>
    </row>
    <row r="2044">
      <c r="A2044" t="inlineStr">
        <is>
          <t>YX</t>
        </is>
      </c>
      <c r="B2044" t="n">
        <v>2022</v>
      </c>
      <c r="C2044" t="n">
        <v>12</v>
      </c>
      <c r="D2044" t="n">
        <v>20772</v>
      </c>
      <c r="E2044" t="n">
        <v>612</v>
      </c>
      <c r="F2044" t="n">
        <v>43</v>
      </c>
      <c r="G2044" t="n">
        <v>20117</v>
      </c>
      <c r="H2044" t="n">
        <v>16601</v>
      </c>
      <c r="I2044" t="n">
        <v>5468</v>
      </c>
      <c r="J2044" t="n">
        <v>483607.6000000009</v>
      </c>
      <c r="K2044" t="n">
        <v>20001</v>
      </c>
      <c r="L2044" t="n">
        <v>63596</v>
      </c>
      <c r="M2044" t="n">
        <v>53637</v>
      </c>
      <c r="N2044" t="n">
        <v>78414</v>
      </c>
      <c r="O2044" t="n">
        <v>15997</v>
      </c>
      <c r="P2044" t="n">
        <v>173</v>
      </c>
    </row>
    <row r="2045">
      <c r="A2045" t="inlineStr">
        <is>
          <t>YX</t>
        </is>
      </c>
      <c r="B2045" t="n">
        <v>2023</v>
      </c>
      <c r="C2045" t="n">
        <v>1</v>
      </c>
      <c r="D2045" t="n">
        <v>24476</v>
      </c>
      <c r="E2045" t="n">
        <v>386</v>
      </c>
      <c r="F2045" t="n">
        <v>41</v>
      </c>
      <c r="G2045" t="n">
        <v>24049</v>
      </c>
      <c r="H2045" t="n">
        <v>20096</v>
      </c>
      <c r="I2045" t="n">
        <v>-39000</v>
      </c>
      <c r="J2045" t="n">
        <v>584663.8999999927</v>
      </c>
      <c r="K2045" t="n">
        <v>23520</v>
      </c>
      <c r="L2045" t="n">
        <v>82097</v>
      </c>
      <c r="M2045" t="n">
        <v>45812</v>
      </c>
      <c r="N2045" t="n">
        <v>103794</v>
      </c>
      <c r="O2045" t="n">
        <v>13079</v>
      </c>
      <c r="P2045" t="n">
        <v>61</v>
      </c>
    </row>
    <row r="2046">
      <c r="A2046" t="inlineStr">
        <is>
          <t>YX</t>
        </is>
      </c>
      <c r="B2046" t="n">
        <v>2023</v>
      </c>
      <c r="C2046" t="n">
        <v>2</v>
      </c>
      <c r="D2046" t="n">
        <v>23728</v>
      </c>
      <c r="E2046" t="n">
        <v>388</v>
      </c>
      <c r="F2046" t="n">
        <v>35</v>
      </c>
      <c r="G2046" t="n">
        <v>23305</v>
      </c>
      <c r="H2046" t="n">
        <v>20021</v>
      </c>
      <c r="I2046" t="n">
        <v>-97382</v>
      </c>
      <c r="J2046" t="n">
        <v>553331.2999999978</v>
      </c>
      <c r="K2046" t="n">
        <v>22664</v>
      </c>
      <c r="L2046" t="n">
        <v>59476</v>
      </c>
      <c r="M2046" t="n">
        <v>43626</v>
      </c>
      <c r="N2046" t="n">
        <v>69039</v>
      </c>
      <c r="O2046" t="n">
        <v>13559</v>
      </c>
      <c r="P2046" t="n">
        <v>42</v>
      </c>
    </row>
    <row r="2047">
      <c r="A2047" t="inlineStr">
        <is>
          <t>YX</t>
        </is>
      </c>
      <c r="B2047" t="n">
        <v>2023</v>
      </c>
      <c r="C2047" t="n">
        <v>3</v>
      </c>
      <c r="D2047" t="n">
        <v>27885</v>
      </c>
      <c r="E2047" t="n">
        <v>440</v>
      </c>
      <c r="F2047" t="n">
        <v>38</v>
      </c>
      <c r="G2047" t="n">
        <v>27407</v>
      </c>
      <c r="H2047" t="n">
        <v>23643</v>
      </c>
      <c r="I2047" t="n">
        <v>-71186</v>
      </c>
      <c r="J2047" t="n">
        <v>614335.3999999933</v>
      </c>
      <c r="K2047" t="n">
        <v>26222</v>
      </c>
      <c r="L2047" t="n">
        <v>58133</v>
      </c>
      <c r="M2047" t="n">
        <v>64436</v>
      </c>
      <c r="N2047" t="n">
        <v>73857</v>
      </c>
      <c r="O2047" t="n">
        <v>7838</v>
      </c>
      <c r="P2047" t="n">
        <v>227</v>
      </c>
    </row>
    <row r="2048">
      <c r="A2048" t="inlineStr">
        <is>
          <t>YX</t>
        </is>
      </c>
      <c r="B2048" t="n">
        <v>2023</v>
      </c>
      <c r="C2048" t="n">
        <v>4</v>
      </c>
      <c r="D2048" t="n">
        <v>27104</v>
      </c>
      <c r="E2048" t="n">
        <v>689</v>
      </c>
      <c r="F2048" t="n">
        <v>85</v>
      </c>
      <c r="G2048" t="n">
        <v>26330</v>
      </c>
      <c r="H2048" t="n">
        <v>22466</v>
      </c>
      <c r="I2048" t="n">
        <v>-13191</v>
      </c>
      <c r="J2048" t="n">
        <v>591440.5000000001</v>
      </c>
      <c r="K2048" t="n">
        <v>25593</v>
      </c>
      <c r="L2048" t="n">
        <v>111660</v>
      </c>
      <c r="M2048" t="n">
        <v>67466</v>
      </c>
      <c r="N2048" t="n">
        <v>85590</v>
      </c>
      <c r="O2048" t="n">
        <v>20807</v>
      </c>
      <c r="P2048" t="n">
        <v>243</v>
      </c>
    </row>
    <row r="2049">
      <c r="A2049" t="inlineStr">
        <is>
          <t>YX</t>
        </is>
      </c>
      <c r="B2049" t="n">
        <v>2023</v>
      </c>
      <c r="C2049" t="n">
        <v>5</v>
      </c>
      <c r="D2049" t="n">
        <v>26539</v>
      </c>
      <c r="E2049" t="n">
        <v>22</v>
      </c>
      <c r="F2049" t="n">
        <v>29</v>
      </c>
      <c r="G2049" t="n">
        <v>26488</v>
      </c>
      <c r="H2049" t="n">
        <v>24536</v>
      </c>
      <c r="I2049" t="n">
        <v>-257768</v>
      </c>
      <c r="J2049" t="n">
        <v>590212.9000000006</v>
      </c>
      <c r="K2049" t="n">
        <v>24753</v>
      </c>
      <c r="L2049" t="n">
        <v>36877</v>
      </c>
      <c r="M2049" t="n">
        <v>34458</v>
      </c>
      <c r="N2049" t="n">
        <v>27730</v>
      </c>
      <c r="O2049" t="n">
        <v>1481</v>
      </c>
      <c r="P2049" t="n">
        <v>159</v>
      </c>
    </row>
    <row r="2050">
      <c r="A2050" t="inlineStr">
        <is>
          <t>YX</t>
        </is>
      </c>
      <c r="B2050" t="n">
        <v>2023</v>
      </c>
      <c r="C2050" t="n">
        <v>6</v>
      </c>
      <c r="D2050" t="n">
        <v>23752</v>
      </c>
      <c r="E2050" t="n">
        <v>1393</v>
      </c>
      <c r="F2050" t="n">
        <v>70</v>
      </c>
      <c r="G2050" t="n">
        <v>22289</v>
      </c>
      <c r="H2050" t="n">
        <v>18280</v>
      </c>
      <c r="I2050" t="n">
        <v>67001</v>
      </c>
      <c r="J2050" t="n">
        <v>509206.899999995</v>
      </c>
      <c r="K2050" t="n">
        <v>22109</v>
      </c>
      <c r="L2050" t="n">
        <v>88654</v>
      </c>
      <c r="M2050" t="n">
        <v>63437</v>
      </c>
      <c r="N2050" t="n">
        <v>111597</v>
      </c>
      <c r="O2050" t="n">
        <v>27949</v>
      </c>
      <c r="P2050" t="n">
        <v>256</v>
      </c>
    </row>
    <row r="2051">
      <c r="A2051" t="inlineStr">
        <is>
          <t>YX</t>
        </is>
      </c>
      <c r="B2051" t="n">
        <v>2023</v>
      </c>
      <c r="C2051" t="n">
        <v>7</v>
      </c>
      <c r="D2051" t="n">
        <v>25385</v>
      </c>
      <c r="E2051" t="n">
        <v>2621</v>
      </c>
      <c r="F2051" t="n">
        <v>114</v>
      </c>
      <c r="G2051" t="n">
        <v>22650</v>
      </c>
      <c r="H2051" t="n">
        <v>17348</v>
      </c>
      <c r="I2051" t="n">
        <v>224751</v>
      </c>
      <c r="J2051" t="n">
        <v>548556.1999999961</v>
      </c>
      <c r="K2051" t="n">
        <v>23647</v>
      </c>
      <c r="L2051" t="n">
        <v>127921</v>
      </c>
      <c r="M2051" t="n">
        <v>101685</v>
      </c>
      <c r="N2051" t="n">
        <v>149431</v>
      </c>
      <c r="O2051" t="n">
        <v>49680</v>
      </c>
      <c r="P2051" t="n">
        <v>289</v>
      </c>
    </row>
    <row r="2052">
      <c r="A2052" t="inlineStr">
        <is>
          <t>YX</t>
        </is>
      </c>
      <c r="B2052" t="n">
        <v>2023</v>
      </c>
      <c r="C2052" t="n">
        <v>8</v>
      </c>
      <c r="D2052" t="n">
        <v>24333</v>
      </c>
      <c r="E2052" t="n">
        <v>384</v>
      </c>
      <c r="F2052" t="n">
        <v>43</v>
      </c>
      <c r="G2052" t="n">
        <v>23906</v>
      </c>
      <c r="H2052" t="n">
        <v>20942</v>
      </c>
      <c r="I2052" t="n">
        <v>-101458</v>
      </c>
      <c r="J2052" t="n">
        <v>529037.099999995</v>
      </c>
      <c r="K2052" t="n">
        <v>22662</v>
      </c>
      <c r="L2052" t="n">
        <v>64936</v>
      </c>
      <c r="M2052" t="n">
        <v>49496</v>
      </c>
      <c r="N2052" t="n">
        <v>59377</v>
      </c>
      <c r="O2052" t="n">
        <v>15604</v>
      </c>
      <c r="P2052" t="n">
        <v>469</v>
      </c>
    </row>
    <row r="2053">
      <c r="A2053" t="inlineStr">
        <is>
          <t>YX</t>
        </is>
      </c>
      <c r="B2053" t="n">
        <v>2023</v>
      </c>
      <c r="C2053" t="n">
        <v>9</v>
      </c>
      <c r="D2053" t="n">
        <v>24839</v>
      </c>
      <c r="E2053" t="n">
        <v>1707</v>
      </c>
      <c r="F2053" t="n">
        <v>64</v>
      </c>
      <c r="G2053" t="n">
        <v>23068</v>
      </c>
      <c r="H2053" t="n">
        <v>19584</v>
      </c>
      <c r="I2053" t="n">
        <v>8306</v>
      </c>
      <c r="J2053" t="n">
        <v>521060.4000000047</v>
      </c>
      <c r="K2053" t="n">
        <v>23154</v>
      </c>
      <c r="L2053" t="n">
        <v>74417</v>
      </c>
      <c r="M2053" t="n">
        <v>69263</v>
      </c>
      <c r="N2053" t="n">
        <v>95902</v>
      </c>
      <c r="O2053" t="n">
        <v>22140</v>
      </c>
      <c r="P2053" t="n">
        <v>367</v>
      </c>
    </row>
    <row r="2054">
      <c r="A2054" t="inlineStr">
        <is>
          <t>YX</t>
        </is>
      </c>
      <c r="B2054" t="n">
        <v>2023</v>
      </c>
      <c r="C2054" t="n">
        <v>10</v>
      </c>
      <c r="D2054" t="n">
        <v>23589</v>
      </c>
      <c r="E2054" t="n">
        <v>0</v>
      </c>
      <c r="F2054" t="n">
        <v>28</v>
      </c>
      <c r="G2054" t="n">
        <v>23561</v>
      </c>
      <c r="H2054" t="n">
        <v>21843</v>
      </c>
      <c r="I2054" t="n">
        <v>-228134</v>
      </c>
      <c r="J2054" t="n">
        <v>497271.6999999991</v>
      </c>
      <c r="K2054" t="n">
        <v>22091</v>
      </c>
      <c r="L2054" t="n">
        <v>35880</v>
      </c>
      <c r="M2054" t="n">
        <v>28116</v>
      </c>
      <c r="N2054" t="n">
        <v>23974</v>
      </c>
      <c r="O2054" t="n">
        <v>1127</v>
      </c>
      <c r="P2054" t="n">
        <v>191</v>
      </c>
    </row>
    <row r="2055">
      <c r="A2055" t="inlineStr">
        <is>
          <t>YX</t>
        </is>
      </c>
      <c r="B2055" t="n">
        <v>2023</v>
      </c>
      <c r="C2055" t="n">
        <v>11</v>
      </c>
      <c r="D2055" t="n">
        <v>22002</v>
      </c>
      <c r="E2055" t="n">
        <v>2</v>
      </c>
      <c r="F2055" t="n">
        <v>14</v>
      </c>
      <c r="G2055" t="n">
        <v>21986</v>
      </c>
      <c r="H2055" t="n">
        <v>20675</v>
      </c>
      <c r="I2055" t="n">
        <v>-245818</v>
      </c>
      <c r="J2055" t="n">
        <v>499858.4000000025</v>
      </c>
      <c r="K2055" t="n">
        <v>20725</v>
      </c>
      <c r="L2055" t="n">
        <v>19272</v>
      </c>
      <c r="M2055" t="n">
        <v>21647</v>
      </c>
      <c r="N2055" t="n">
        <v>19151</v>
      </c>
      <c r="O2055" t="n">
        <v>870</v>
      </c>
      <c r="P2055" t="n">
        <v>75</v>
      </c>
    </row>
    <row r="2056">
      <c r="A2056" t="inlineStr">
        <is>
          <t>YX</t>
        </is>
      </c>
      <c r="B2056" t="n">
        <v>2023</v>
      </c>
      <c r="C2056" t="n">
        <v>12</v>
      </c>
      <c r="D2056" t="n">
        <v>21641</v>
      </c>
      <c r="E2056" t="n">
        <v>131</v>
      </c>
      <c r="F2056" t="n">
        <v>61</v>
      </c>
      <c r="G2056" t="n">
        <v>21449</v>
      </c>
      <c r="H2056" t="n">
        <v>19620</v>
      </c>
      <c r="I2056" t="n">
        <v>-214376</v>
      </c>
      <c r="J2056" t="n">
        <v>506066.100000002</v>
      </c>
      <c r="K2056" t="n">
        <v>20365</v>
      </c>
      <c r="L2056" t="n">
        <v>37857</v>
      </c>
      <c r="M2056" t="n">
        <v>31373</v>
      </c>
      <c r="N2056" t="n">
        <v>31294</v>
      </c>
      <c r="O2056" t="n">
        <v>6200</v>
      </c>
      <c r="P2056" t="n">
        <v>185</v>
      </c>
    </row>
    <row r="2057">
      <c r="A2057" t="inlineStr">
        <is>
          <t>YX</t>
        </is>
      </c>
      <c r="B2057" t="n">
        <v>2024</v>
      </c>
      <c r="C2057" t="n">
        <v>1</v>
      </c>
      <c r="D2057" t="n">
        <v>22914</v>
      </c>
      <c r="E2057" t="n">
        <v>1061</v>
      </c>
      <c r="F2057" t="n">
        <v>48</v>
      </c>
      <c r="G2057" t="n">
        <v>21805</v>
      </c>
      <c r="H2057" t="n">
        <v>18091</v>
      </c>
      <c r="I2057" t="n">
        <v>6992</v>
      </c>
      <c r="J2057" t="n">
        <v>528605.2000000012</v>
      </c>
      <c r="K2057" t="n">
        <v>21768</v>
      </c>
      <c r="L2057" t="n">
        <v>98182</v>
      </c>
      <c r="M2057" t="n">
        <v>66426</v>
      </c>
      <c r="N2057" t="n">
        <v>80555</v>
      </c>
      <c r="O2057" t="n">
        <v>30771</v>
      </c>
      <c r="P2057" t="n">
        <v>116</v>
      </c>
    </row>
    <row r="2058">
      <c r="A2058" t="inlineStr">
        <is>
          <t>YX</t>
        </is>
      </c>
      <c r="B2058" t="n">
        <v>2024</v>
      </c>
      <c r="C2058" t="n">
        <v>2</v>
      </c>
      <c r="D2058" t="n">
        <v>21602</v>
      </c>
      <c r="E2058" t="n">
        <v>304</v>
      </c>
      <c r="F2058" t="n">
        <v>24</v>
      </c>
      <c r="G2058" t="n">
        <v>21274</v>
      </c>
      <c r="H2058" t="n">
        <v>19621</v>
      </c>
      <c r="I2058" t="n">
        <v>-237235</v>
      </c>
      <c r="J2058" t="n">
        <v>490989.5000000011</v>
      </c>
      <c r="K2058" t="n">
        <v>20322</v>
      </c>
      <c r="L2058" t="n">
        <v>35325</v>
      </c>
      <c r="M2058" t="n">
        <v>23022</v>
      </c>
      <c r="N2058" t="n">
        <v>31051</v>
      </c>
      <c r="O2058" t="n">
        <v>5810</v>
      </c>
      <c r="P2058" t="n">
        <v>170</v>
      </c>
    </row>
    <row r="2059">
      <c r="A2059" t="inlineStr">
        <is>
          <t>YX</t>
        </is>
      </c>
      <c r="B2059" t="n">
        <v>2024</v>
      </c>
      <c r="C2059" t="n">
        <v>3</v>
      </c>
      <c r="D2059" t="n">
        <v>24348</v>
      </c>
      <c r="E2059" t="n">
        <v>60</v>
      </c>
      <c r="F2059" t="n">
        <v>35</v>
      </c>
      <c r="G2059" t="n">
        <v>24253</v>
      </c>
      <c r="H2059" t="n">
        <v>22131</v>
      </c>
      <c r="I2059" t="n">
        <v>-208643</v>
      </c>
      <c r="J2059" t="n">
        <v>545939.4000000008</v>
      </c>
      <c r="K2059" t="n">
        <v>22921</v>
      </c>
      <c r="L2059" t="n">
        <v>38961</v>
      </c>
      <c r="M2059" t="n">
        <v>34289</v>
      </c>
      <c r="N2059" t="n">
        <v>41900</v>
      </c>
      <c r="O2059" t="n">
        <v>7276</v>
      </c>
      <c r="P2059" t="n">
        <v>242</v>
      </c>
    </row>
    <row r="2060">
      <c r="A2060" t="inlineStr">
        <is>
          <t>YX</t>
        </is>
      </c>
      <c r="B2060" t="n">
        <v>2024</v>
      </c>
      <c r="C2060" t="n">
        <v>4</v>
      </c>
      <c r="D2060" t="n">
        <v>23863</v>
      </c>
      <c r="E2060" t="n">
        <v>220</v>
      </c>
      <c r="F2060" t="n">
        <v>51</v>
      </c>
      <c r="G2060" t="n">
        <v>23592</v>
      </c>
      <c r="H2060" t="n">
        <v>20730</v>
      </c>
      <c r="I2060" t="n">
        <v>-85273</v>
      </c>
      <c r="J2060" t="n">
        <v>497861.0999999954</v>
      </c>
      <c r="K2060" t="n">
        <v>22483</v>
      </c>
      <c r="L2060" t="n">
        <v>58213</v>
      </c>
      <c r="M2060" t="n">
        <v>51282</v>
      </c>
      <c r="N2060" t="n">
        <v>59307</v>
      </c>
      <c r="O2060" t="n">
        <v>10711</v>
      </c>
      <c r="P2060" t="n">
        <v>156</v>
      </c>
    </row>
    <row r="2061">
      <c r="A2061" t="inlineStr">
        <is>
          <t>YX</t>
        </is>
      </c>
      <c r="B2061" t="n">
        <v>2024</v>
      </c>
      <c r="C2061" t="n">
        <v>5</v>
      </c>
      <c r="D2061" t="n">
        <v>25551</v>
      </c>
      <c r="E2061" t="n">
        <v>284</v>
      </c>
      <c r="F2061" t="n">
        <v>73</v>
      </c>
      <c r="G2061" t="n">
        <v>25194</v>
      </c>
      <c r="H2061" t="n">
        <v>21271</v>
      </c>
      <c r="I2061" t="n">
        <v>21179</v>
      </c>
      <c r="J2061" t="n">
        <v>519419.7000000001</v>
      </c>
      <c r="K2061" t="n">
        <v>23881</v>
      </c>
      <c r="L2061" t="n">
        <v>103353</v>
      </c>
      <c r="M2061" t="n">
        <v>65265</v>
      </c>
      <c r="N2061" t="n">
        <v>89066</v>
      </c>
      <c r="O2061" t="n">
        <v>21891</v>
      </c>
      <c r="P2061" t="n">
        <v>262</v>
      </c>
    </row>
    <row r="2062">
      <c r="A2062" t="inlineStr">
        <is>
          <t>YX</t>
        </is>
      </c>
      <c r="B2062" t="n">
        <v>2024</v>
      </c>
      <c r="C2062" t="n">
        <v>6</v>
      </c>
      <c r="D2062" t="n">
        <v>24504</v>
      </c>
      <c r="E2062" t="n">
        <v>773</v>
      </c>
      <c r="F2062" t="n">
        <v>57</v>
      </c>
      <c r="G2062" t="n">
        <v>23674</v>
      </c>
      <c r="H2062" t="n">
        <v>19839</v>
      </c>
      <c r="I2062" t="n">
        <v>60323</v>
      </c>
      <c r="J2062" t="n">
        <v>511343.9999999994</v>
      </c>
      <c r="K2062" t="n">
        <v>23173</v>
      </c>
      <c r="L2062" t="n">
        <v>85170</v>
      </c>
      <c r="M2062" t="n">
        <v>81004</v>
      </c>
      <c r="N2062" t="n">
        <v>96895</v>
      </c>
      <c r="O2062" t="n">
        <v>40766</v>
      </c>
      <c r="P2062" t="n">
        <v>142</v>
      </c>
    </row>
    <row r="2063">
      <c r="A2063" t="inlineStr">
        <is>
          <t>YX</t>
        </is>
      </c>
      <c r="B2063" t="n">
        <v>2024</v>
      </c>
      <c r="C2063" t="n">
        <v>7</v>
      </c>
      <c r="D2063" t="n">
        <v>25613</v>
      </c>
      <c r="E2063" t="n">
        <v>719</v>
      </c>
      <c r="F2063" t="n">
        <v>91</v>
      </c>
      <c r="G2063" t="n">
        <v>24803</v>
      </c>
      <c r="H2063" t="n">
        <v>19250</v>
      </c>
      <c r="I2063" t="n">
        <v>224803</v>
      </c>
      <c r="J2063" t="n">
        <v>540618.5999999972</v>
      </c>
      <c r="K2063" t="n">
        <v>24146</v>
      </c>
      <c r="L2063" t="n">
        <v>141523</v>
      </c>
      <c r="M2063" t="n">
        <v>126402</v>
      </c>
      <c r="N2063" t="n">
        <v>146148</v>
      </c>
      <c r="O2063" t="n">
        <v>32172</v>
      </c>
      <c r="P2063" t="n">
        <v>205</v>
      </c>
    </row>
    <row r="2064">
      <c r="A2064" t="inlineStr">
        <is>
          <t>YX</t>
        </is>
      </c>
      <c r="B2064" t="n">
        <v>2024</v>
      </c>
      <c r="C2064" t="n">
        <v>8</v>
      </c>
      <c r="D2064" t="n">
        <v>25916</v>
      </c>
      <c r="E2064" t="n">
        <v>1841</v>
      </c>
      <c r="F2064" t="n">
        <v>79</v>
      </c>
      <c r="G2064" t="n">
        <v>23996</v>
      </c>
      <c r="H2064" t="n">
        <v>19182</v>
      </c>
      <c r="I2064" t="n">
        <v>148566</v>
      </c>
      <c r="J2064" t="n">
        <v>538078.6999999991</v>
      </c>
      <c r="K2064" t="n">
        <v>24458</v>
      </c>
      <c r="L2064" t="n">
        <v>108939</v>
      </c>
      <c r="M2064" t="n">
        <v>98864</v>
      </c>
      <c r="N2064" t="n">
        <v>117265</v>
      </c>
      <c r="O2064" t="n">
        <v>38567</v>
      </c>
      <c r="P2064" t="n">
        <v>351</v>
      </c>
    </row>
    <row r="2065">
      <c r="A2065" t="inlineStr">
        <is>
          <t>YX</t>
        </is>
      </c>
      <c r="B2065" t="n">
        <v>2024</v>
      </c>
      <c r="C2065" t="n">
        <v>9</v>
      </c>
      <c r="D2065" t="n">
        <v>25425</v>
      </c>
      <c r="E2065" t="n">
        <v>85</v>
      </c>
      <c r="F2065" t="n">
        <v>28</v>
      </c>
      <c r="G2065" t="n">
        <v>25312</v>
      </c>
      <c r="H2065" t="n">
        <v>22758</v>
      </c>
      <c r="I2065" t="n">
        <v>-153174</v>
      </c>
      <c r="J2065" t="n">
        <v>531531.5000000049</v>
      </c>
      <c r="K2065" t="n">
        <v>24235</v>
      </c>
      <c r="L2065" t="n">
        <v>41865</v>
      </c>
      <c r="M2065" t="n">
        <v>37698</v>
      </c>
      <c r="N2065" t="n">
        <v>49081</v>
      </c>
      <c r="O2065" t="n">
        <v>7153</v>
      </c>
      <c r="P2065" t="n">
        <v>102</v>
      </c>
    </row>
    <row r="2066">
      <c r="A2066" t="inlineStr">
        <is>
          <t>YX</t>
        </is>
      </c>
      <c r="B2066" t="n">
        <v>2024</v>
      </c>
      <c r="C2066" t="n">
        <v>10</v>
      </c>
      <c r="D2066" t="n">
        <v>27159</v>
      </c>
      <c r="E2066" t="n">
        <v>34</v>
      </c>
      <c r="F2066" t="n">
        <v>22</v>
      </c>
      <c r="G2066" t="n">
        <v>27103</v>
      </c>
      <c r="H2066" t="n">
        <v>24904</v>
      </c>
      <c r="I2066" t="n">
        <v>-225254</v>
      </c>
      <c r="J2066" t="n">
        <v>573258.3000000025</v>
      </c>
      <c r="K2066" t="n">
        <v>26086</v>
      </c>
      <c r="L2066" t="n">
        <v>32735</v>
      </c>
      <c r="M2066" t="n">
        <v>36719</v>
      </c>
      <c r="N2066" t="n">
        <v>41007</v>
      </c>
      <c r="O2066" t="n">
        <v>2116</v>
      </c>
      <c r="P2066" t="n">
        <v>163</v>
      </c>
    </row>
    <row r="2067">
      <c r="A2067" t="inlineStr">
        <is>
          <t>YX</t>
        </is>
      </c>
      <c r="B2067" t="n">
        <v>2024</v>
      </c>
      <c r="C2067" t="n">
        <v>11</v>
      </c>
      <c r="D2067" t="n">
        <v>27291</v>
      </c>
      <c r="E2067" t="n">
        <v>26</v>
      </c>
      <c r="F2067" t="n">
        <v>21</v>
      </c>
      <c r="G2067" t="n">
        <v>27244</v>
      </c>
      <c r="H2067" t="n">
        <v>23893</v>
      </c>
      <c r="I2067" t="n">
        <v>-119622</v>
      </c>
      <c r="J2067" t="n">
        <v>602685.5000000009</v>
      </c>
      <c r="K2067" t="n">
        <v>26219</v>
      </c>
      <c r="L2067" t="n">
        <v>63458</v>
      </c>
      <c r="M2067" t="n">
        <v>50054</v>
      </c>
      <c r="N2067" t="n">
        <v>74346</v>
      </c>
      <c r="O2067" t="n">
        <v>7549</v>
      </c>
      <c r="P2067" t="n">
        <v>395</v>
      </c>
    </row>
    <row r="2068">
      <c r="A2068" t="inlineStr">
        <is>
          <t>YX</t>
        </is>
      </c>
      <c r="B2068" t="n">
        <v>2024</v>
      </c>
      <c r="C2068" t="n">
        <v>12</v>
      </c>
      <c r="D2068" t="n">
        <v>27279</v>
      </c>
      <c r="E2068" t="n">
        <v>169</v>
      </c>
      <c r="F2068" t="n">
        <v>54</v>
      </c>
      <c r="G2068" t="n">
        <v>27056</v>
      </c>
      <c r="H2068" t="n">
        <v>22082</v>
      </c>
      <c r="I2068" t="n">
        <v>37456</v>
      </c>
      <c r="J2068" t="n">
        <v>605603.4999999999</v>
      </c>
      <c r="K2068" t="n">
        <v>26001</v>
      </c>
      <c r="L2068" t="n">
        <v>109936</v>
      </c>
      <c r="M2068" t="n">
        <v>75677</v>
      </c>
      <c r="N2068" t="n">
        <v>92464</v>
      </c>
      <c r="O2068" t="n">
        <v>13332</v>
      </c>
      <c r="P2068" t="n">
        <v>296</v>
      </c>
    </row>
    <row r="2069">
      <c r="A2069" t="inlineStr">
        <is>
          <t>YX</t>
        </is>
      </c>
      <c r="B2069" t="n">
        <v>2025</v>
      </c>
      <c r="C2069" t="n">
        <v>1</v>
      </c>
      <c r="D2069" t="n">
        <v>27833</v>
      </c>
      <c r="E2069" t="n">
        <v>1119</v>
      </c>
      <c r="F2069" t="n">
        <v>31</v>
      </c>
      <c r="G2069" t="n">
        <v>26683</v>
      </c>
      <c r="H2069" t="n">
        <v>22409</v>
      </c>
      <c r="I2069" t="n">
        <v>-61124</v>
      </c>
      <c r="J2069" t="n">
        <v>668377.1000000006</v>
      </c>
      <c r="K2069" t="n">
        <v>26835</v>
      </c>
      <c r="L2069" t="n">
        <v>66936</v>
      </c>
      <c r="M2069" t="n">
        <v>69618</v>
      </c>
      <c r="N2069" t="n">
        <v>83863</v>
      </c>
      <c r="O2069" t="n">
        <v>11020</v>
      </c>
      <c r="P2069" t="n">
        <v>181</v>
      </c>
    </row>
    <row r="2070">
      <c r="A2070" t="inlineStr">
        <is>
          <t>YX</t>
        </is>
      </c>
      <c r="B2070" t="n">
        <v>2025</v>
      </c>
      <c r="C2070" t="n">
        <v>2</v>
      </c>
      <c r="D2070" t="n">
        <v>25483</v>
      </c>
      <c r="E2070" t="n">
        <v>891</v>
      </c>
      <c r="F2070" t="n">
        <v>60</v>
      </c>
      <c r="G2070" t="n">
        <v>24532</v>
      </c>
      <c r="H2070" t="n">
        <v>19259</v>
      </c>
      <c r="I2070" t="n">
        <v>118767</v>
      </c>
      <c r="J2070" t="n">
        <v>571108.5999999966</v>
      </c>
      <c r="K2070" t="n">
        <v>24559</v>
      </c>
      <c r="L2070" t="n">
        <v>118298</v>
      </c>
      <c r="M2070" t="n">
        <v>90072</v>
      </c>
      <c r="N2070" t="n">
        <v>124245</v>
      </c>
      <c r="O2070" t="n">
        <v>18949</v>
      </c>
      <c r="P2070" t="n">
        <v>250</v>
      </c>
    </row>
    <row r="2071">
      <c r="A2071" t="inlineStr">
        <is>
          <t>YX</t>
        </is>
      </c>
      <c r="B2071" t="n">
        <v>2025</v>
      </c>
      <c r="C2071" t="n">
        <v>3</v>
      </c>
      <c r="D2071" t="n">
        <v>28824</v>
      </c>
      <c r="E2071" t="n">
        <v>338</v>
      </c>
      <c r="F2071" t="n">
        <v>64</v>
      </c>
      <c r="G2071" t="n">
        <v>28422</v>
      </c>
      <c r="H2071" t="n">
        <v>24018</v>
      </c>
      <c r="I2071" t="n">
        <v>6583</v>
      </c>
      <c r="J2071" t="n">
        <v>626558.7000000027</v>
      </c>
      <c r="K2071" t="n">
        <v>27672</v>
      </c>
      <c r="L2071" t="n">
        <v>103567</v>
      </c>
      <c r="M2071" t="n">
        <v>79226</v>
      </c>
      <c r="N2071" t="n">
        <v>99373</v>
      </c>
      <c r="O2071" t="n">
        <v>16939</v>
      </c>
      <c r="P2071" t="n">
        <v>251</v>
      </c>
    </row>
    <row r="2072">
      <c r="A2072" t="inlineStr">
        <is>
          <t>YX</t>
        </is>
      </c>
      <c r="B2072" t="n">
        <v>2025</v>
      </c>
      <c r="C2072" t="n">
        <v>4</v>
      </c>
      <c r="D2072" t="n">
        <v>28384</v>
      </c>
      <c r="E2072" t="n">
        <v>237</v>
      </c>
      <c r="F2072" t="n">
        <v>40</v>
      </c>
      <c r="G2072" t="n">
        <v>28107</v>
      </c>
      <c r="H2072" t="n">
        <v>23581</v>
      </c>
      <c r="I2072" t="n">
        <v>10344</v>
      </c>
      <c r="J2072" t="n">
        <v>612287.5999999965</v>
      </c>
      <c r="K2072" t="n">
        <v>26982</v>
      </c>
      <c r="L2072" t="n">
        <v>85593</v>
      </c>
      <c r="M2072" t="n">
        <v>72371</v>
      </c>
      <c r="N2072" t="n">
        <v>97648</v>
      </c>
      <c r="O2072" t="n">
        <v>11278</v>
      </c>
      <c r="P2072" t="n">
        <v>110</v>
      </c>
    </row>
    <row r="2073">
      <c r="A2073" t="inlineStr">
        <is>
          <t>YX</t>
        </is>
      </c>
      <c r="B2073" t="n">
        <v>2025</v>
      </c>
      <c r="C2073" t="n">
        <v>5</v>
      </c>
      <c r="D2073" t="n">
        <v>28067</v>
      </c>
      <c r="E2073" t="n">
        <v>741</v>
      </c>
      <c r="F2073" t="n">
        <v>57</v>
      </c>
      <c r="G2073" t="n">
        <v>27269</v>
      </c>
      <c r="H2073" t="n">
        <v>20708</v>
      </c>
      <c r="I2073" t="n">
        <v>286911</v>
      </c>
      <c r="J2073" t="n">
        <v>584173.6999999976</v>
      </c>
      <c r="K2073" t="n">
        <v>26507</v>
      </c>
      <c r="L2073" t="n">
        <v>164554</v>
      </c>
      <c r="M2073" t="n">
        <v>91764</v>
      </c>
      <c r="N2073" t="n">
        <v>203295</v>
      </c>
      <c r="O2073" t="n">
        <v>25121</v>
      </c>
      <c r="P2073" t="n">
        <v>586</v>
      </c>
    </row>
    <row r="2074">
      <c r="A2074" t="inlineStr">
        <is>
          <t>YX</t>
        </is>
      </c>
      <c r="B2074" t="n">
        <v>2025</v>
      </c>
      <c r="C2074" t="n">
        <v>6</v>
      </c>
      <c r="D2074" t="n">
        <v>28872</v>
      </c>
      <c r="E2074" t="n">
        <v>1268</v>
      </c>
      <c r="F2074" t="n">
        <v>96</v>
      </c>
      <c r="G2074" t="n">
        <v>27508</v>
      </c>
      <c r="H2074" t="n">
        <v>20307</v>
      </c>
      <c r="I2074" t="n">
        <v>377706</v>
      </c>
      <c r="J2074" t="n">
        <v>618816.4</v>
      </c>
      <c r="K2074" t="n">
        <v>27148</v>
      </c>
      <c r="L2074" t="n">
        <v>227697</v>
      </c>
      <c r="M2074" t="n">
        <v>143115</v>
      </c>
      <c r="N2074" t="n">
        <v>185903</v>
      </c>
      <c r="O2074" t="n">
        <v>41391</v>
      </c>
      <c r="P2074" t="n">
        <v>266</v>
      </c>
    </row>
    <row r="2075">
      <c r="A2075" t="inlineStr">
        <is>
          <t>YX</t>
        </is>
      </c>
      <c r="B2075" t="n">
        <v>2025</v>
      </c>
      <c r="C2075" t="n">
        <v>7</v>
      </c>
      <c r="D2075" t="n">
        <v>30396</v>
      </c>
      <c r="E2075" t="n">
        <v>2727</v>
      </c>
      <c r="F2075" t="n">
        <v>106</v>
      </c>
      <c r="G2075" t="n">
        <v>27563</v>
      </c>
      <c r="H2075" t="n">
        <v>20048</v>
      </c>
      <c r="I2075" t="n">
        <v>432553</v>
      </c>
      <c r="J2075" t="n">
        <v>688986.4999999997</v>
      </c>
      <c r="K2075" t="n">
        <v>28639</v>
      </c>
      <c r="L2075" t="n">
        <v>224694</v>
      </c>
      <c r="M2075" t="n">
        <v>165380</v>
      </c>
      <c r="N2075" t="n">
        <v>209951</v>
      </c>
      <c r="O2075" t="n">
        <v>58408</v>
      </c>
      <c r="P2075" t="n">
        <v>177</v>
      </c>
    </row>
    <row r="2076">
      <c r="A2076" t="inlineStr">
        <is>
          <t>YX</t>
        </is>
      </c>
      <c r="B2076" t="n">
        <v>2025</v>
      </c>
      <c r="C2076" t="n">
        <v>8</v>
      </c>
      <c r="D2076" t="n">
        <v>29958</v>
      </c>
      <c r="E2076" t="n">
        <v>522</v>
      </c>
      <c r="F2076" t="n">
        <v>52</v>
      </c>
      <c r="G2076" t="n">
        <v>29384</v>
      </c>
      <c r="H2076" t="n">
        <v>24496</v>
      </c>
      <c r="I2076" t="n">
        <v>32708</v>
      </c>
      <c r="J2076" t="n">
        <v>685920.799999999</v>
      </c>
      <c r="K2076" t="n">
        <v>28367</v>
      </c>
      <c r="L2076" t="n">
        <v>117965</v>
      </c>
      <c r="M2076" t="n">
        <v>99901</v>
      </c>
      <c r="N2076" t="n">
        <v>102435</v>
      </c>
      <c r="O2076" t="n">
        <v>26967</v>
      </c>
      <c r="P2076" t="n">
        <v>113</v>
      </c>
    </row>
    <row r="2077">
      <c r="A2077" t="inlineStr">
        <is>
          <t>YX</t>
        </is>
      </c>
      <c r="B2077" t="n">
        <v>2025</v>
      </c>
      <c r="C2077" t="n">
        <v>9</v>
      </c>
      <c r="D2077" t="n">
        <v>28283</v>
      </c>
      <c r="E2077" t="n">
        <v>393</v>
      </c>
      <c r="F2077" t="n">
        <v>46</v>
      </c>
      <c r="G2077" t="n">
        <v>27844</v>
      </c>
      <c r="H2077" t="n">
        <v>23185</v>
      </c>
      <c r="I2077" t="n">
        <v>29875</v>
      </c>
      <c r="J2077" t="n">
        <v>633193.0999999988</v>
      </c>
      <c r="K2077" t="n">
        <v>27030</v>
      </c>
      <c r="L2077" t="n">
        <v>109532</v>
      </c>
      <c r="M2077" t="n">
        <v>68416</v>
      </c>
      <c r="N2077" t="n">
        <v>122160</v>
      </c>
      <c r="O2077" t="n">
        <v>18367</v>
      </c>
      <c r="P2077" t="n">
        <v>400</v>
      </c>
    </row>
    <row r="2078">
      <c r="A2078" t="inlineStr">
        <is>
          <t>YX</t>
        </is>
      </c>
      <c r="B2078" t="n">
        <v>2025</v>
      </c>
      <c r="C2078" t="n">
        <v>10</v>
      </c>
      <c r="D2078" t="n">
        <v>30376</v>
      </c>
      <c r="E2078" t="n">
        <v>542</v>
      </c>
      <c r="F2078" t="n">
        <v>42</v>
      </c>
      <c r="G2078" t="n">
        <v>29792</v>
      </c>
      <c r="H2078" t="n">
        <v>22706</v>
      </c>
      <c r="I2078" t="n">
        <v>225632</v>
      </c>
      <c r="J2078" t="n">
        <v>674898.3999999977</v>
      </c>
      <c r="K2078" t="n">
        <v>29061</v>
      </c>
      <c r="L2078" t="n">
        <v>173654</v>
      </c>
      <c r="M2078" t="n">
        <v>80815</v>
      </c>
      <c r="N2078" t="n">
        <v>181058</v>
      </c>
      <c r="O2078" t="n">
        <v>11159</v>
      </c>
      <c r="P2078" t="n">
        <v>231</v>
      </c>
    </row>
    <row r="2079">
      <c r="A2079" t="inlineStr">
        <is>
          <t>YX</t>
        </is>
      </c>
      <c r="B2079" t="n">
        <v>2025</v>
      </c>
      <c r="C2079" t="n">
        <v>11</v>
      </c>
      <c r="D2079" t="n">
        <v>29356</v>
      </c>
      <c r="E2079" t="n">
        <v>1568</v>
      </c>
      <c r="F2079" t="n">
        <v>46</v>
      </c>
      <c r="G2079" t="n">
        <v>27742</v>
      </c>
      <c r="H2079" t="n">
        <v>21231</v>
      </c>
      <c r="I2079" t="n">
        <v>215670</v>
      </c>
      <c r="J2079" t="n">
        <v>730981.5999999993</v>
      </c>
      <c r="K2079" t="n">
        <v>28254</v>
      </c>
      <c r="L2079" t="n">
        <v>185081</v>
      </c>
      <c r="M2079" t="n">
        <v>95861</v>
      </c>
      <c r="N2079" t="n">
        <v>181998</v>
      </c>
      <c r="O2079" t="n">
        <v>15260</v>
      </c>
      <c r="P2079" t="n">
        <v>202</v>
      </c>
    </row>
    <row r="2080">
      <c r="A2080" t="inlineStr">
        <is>
          <t>YX</t>
        </is>
      </c>
      <c r="B2080" t="n">
        <v>2025</v>
      </c>
      <c r="C2080" t="n">
        <v>12</v>
      </c>
      <c r="D2080" t="n">
        <v>30203</v>
      </c>
      <c r="E2080" t="n">
        <v>952</v>
      </c>
      <c r="F2080" t="n">
        <v>54</v>
      </c>
      <c r="G2080" t="n">
        <v>29197</v>
      </c>
      <c r="H2080" t="n">
        <v>20238</v>
      </c>
      <c r="I2080" t="n">
        <v>460210</v>
      </c>
      <c r="J2080" t="n">
        <v>741750.7999999999</v>
      </c>
      <c r="K2080" t="n">
        <v>28762</v>
      </c>
      <c r="L2080" t="n">
        <v>312140</v>
      </c>
      <c r="M2080" t="n">
        <v>143384</v>
      </c>
      <c r="N2080" t="n">
        <v>182369</v>
      </c>
      <c r="O2080" t="n">
        <v>41266</v>
      </c>
      <c r="P2080" t="n">
        <v>519</v>
      </c>
    </row>
    <row r="2081">
      <c r="A2081" t="inlineStr">
        <is>
          <t>YX</t>
        </is>
      </c>
      <c r="B2081" t="n">
        <v>2026</v>
      </c>
      <c r="C2081" t="n">
        <v>1</v>
      </c>
      <c r="D2081" t="n">
        <v>29572</v>
      </c>
      <c r="E2081" t="n">
        <v>2420</v>
      </c>
      <c r="F2081" t="n">
        <v>40</v>
      </c>
      <c r="G2081" t="n">
        <v>27112</v>
      </c>
      <c r="H2081" t="n">
        <v>21574</v>
      </c>
      <c r="I2081" t="n">
        <v>68102</v>
      </c>
      <c r="J2081" t="n">
        <v>771873.2999999964</v>
      </c>
      <c r="K2081" t="n">
        <v>28379</v>
      </c>
      <c r="L2081" t="n">
        <v>137407</v>
      </c>
      <c r="M2081" t="n">
        <v>118262</v>
      </c>
      <c r="N2081" t="n">
        <v>95150</v>
      </c>
      <c r="O2081" t="n">
        <v>21259</v>
      </c>
      <c r="P2081" t="n">
        <v>184</v>
      </c>
    </row>
    <row r="2082">
      <c r="A2082" t="inlineStr">
        <is>
          <t>YX</t>
        </is>
      </c>
      <c r="B2082" t="n">
        <v>2026</v>
      </c>
      <c r="C2082" t="n">
        <v>2</v>
      </c>
      <c r="D2082" t="n">
        <v>27458</v>
      </c>
      <c r="E2082" t="n">
        <v>1895</v>
      </c>
      <c r="F2082" t="n">
        <v>52</v>
      </c>
      <c r="G2082" t="n">
        <v>25511</v>
      </c>
      <c r="H2082" t="n">
        <v>20377</v>
      </c>
      <c r="I2082" t="n">
        <v>47047</v>
      </c>
      <c r="J2082" t="n">
        <v>669569.4999999998</v>
      </c>
      <c r="K2082" t="n">
        <v>26344</v>
      </c>
      <c r="L2082" t="n">
        <v>134326</v>
      </c>
      <c r="M2082" t="n">
        <v>68536</v>
      </c>
      <c r="N2082" t="n">
        <v>88553</v>
      </c>
      <c r="O2082" t="n">
        <v>17670</v>
      </c>
      <c r="P2082" t="n">
        <v>185</v>
      </c>
    </row>
    <row r="2083">
      <c r="A2083" t="inlineStr">
        <is>
          <t>YX</t>
        </is>
      </c>
      <c r="B2083" t="n">
        <v>2026</v>
      </c>
      <c r="C2083" t="n">
        <v>3</v>
      </c>
      <c r="D2083" t="n">
        <v>31734</v>
      </c>
      <c r="E2083" t="n">
        <v>1843</v>
      </c>
      <c r="F2083" t="n">
        <v>100</v>
      </c>
      <c r="G2083" t="n">
        <v>29791</v>
      </c>
      <c r="H2083" t="n">
        <v>21735</v>
      </c>
      <c r="I2083" t="n">
        <v>353019</v>
      </c>
      <c r="J2083" t="n">
        <v>759960.1000000025</v>
      </c>
      <c r="K2083" t="n">
        <v>30524</v>
      </c>
      <c r="L2083" t="n">
        <v>233618</v>
      </c>
      <c r="M2083" t="n">
        <v>154257</v>
      </c>
      <c r="N2083" t="n">
        <v>183929</v>
      </c>
      <c r="O2083" t="n">
        <v>24552</v>
      </c>
      <c r="P2083" t="n">
        <v>1357</v>
      </c>
    </row>
    <row r="2084">
      <c r="A2084" t="inlineStr">
        <is>
          <t>YX</t>
        </is>
      </c>
      <c r="B2084" t="n">
        <v>2026</v>
      </c>
      <c r="C2084" t="n">
        <v>4</v>
      </c>
      <c r="D2084" t="n">
        <v>31013</v>
      </c>
      <c r="E2084" t="n">
        <v>333</v>
      </c>
      <c r="F2084" t="n">
        <v>64</v>
      </c>
      <c r="G2084" t="n">
        <v>30616</v>
      </c>
      <c r="H2084" t="n">
        <v>25038</v>
      </c>
      <c r="I2084" t="n">
        <v>18280</v>
      </c>
      <c r="J2084" t="n">
        <v>775786.8000000058</v>
      </c>
      <c r="K2084" t="n">
        <v>29267</v>
      </c>
      <c r="L2084" t="n">
        <v>163104</v>
      </c>
      <c r="M2084" t="n">
        <v>78090</v>
      </c>
      <c r="N2084" t="n">
        <v>115220</v>
      </c>
      <c r="O2084" t="n">
        <v>15532</v>
      </c>
      <c r="P2084" t="n">
        <v>118</v>
      </c>
    </row>
    <row r="2085">
      <c r="A2085" t="inlineStr">
        <is>
          <t>YX</t>
        </is>
      </c>
      <c r="B2085" t="n">
        <v>2026</v>
      </c>
      <c r="C2085" t="n">
        <v>5</v>
      </c>
      <c r="D2085" t="n">
        <v>32203</v>
      </c>
      <c r="E2085" t="n">
        <v>445</v>
      </c>
      <c r="F2085" t="n">
        <v>82</v>
      </c>
      <c r="G2085" t="n">
        <v>31676</v>
      </c>
      <c r="H2085" t="n">
        <v>26737</v>
      </c>
      <c r="I2085" t="n">
        <v>-44044</v>
      </c>
      <c r="J2085" t="n">
        <v>793718.8000000069</v>
      </c>
      <c r="K2085" t="n">
        <v>29998</v>
      </c>
      <c r="L2085" t="n">
        <v>120873</v>
      </c>
      <c r="M2085" t="n">
        <v>87990</v>
      </c>
      <c r="N2085" t="n">
        <v>99630</v>
      </c>
      <c r="O2085" t="n">
        <v>20237</v>
      </c>
      <c r="P2085" t="n">
        <v>379</v>
      </c>
    </row>
    <row r="2086">
      <c r="A2086" t="inlineStr">
        <is>
          <t>YX</t>
        </is>
      </c>
      <c r="B2086" t="n">
        <v>2026</v>
      </c>
      <c r="C2086" t="n">
        <v>6</v>
      </c>
      <c r="D2086" t="n">
        <v>30928</v>
      </c>
      <c r="E2086" t="n">
        <v>1105</v>
      </c>
      <c r="F2086" t="n">
        <v>93</v>
      </c>
      <c r="G2086" t="n">
        <v>29730</v>
      </c>
      <c r="H2086" t="n">
        <v>24194</v>
      </c>
      <c r="I2086" t="n">
        <v>98929</v>
      </c>
      <c r="J2086" t="n">
        <v>783682.0999999943</v>
      </c>
      <c r="K2086" t="n">
        <v>28812</v>
      </c>
      <c r="L2086" t="n">
        <v>162126</v>
      </c>
      <c r="M2086" t="n">
        <v>100154</v>
      </c>
      <c r="N2086" t="n">
        <v>148222</v>
      </c>
      <c r="O2086" t="n">
        <v>37126</v>
      </c>
      <c r="P2086" t="n">
        <v>621</v>
      </c>
    </row>
    <row r="2087">
      <c r="A2087" t="inlineStr">
        <is>
          <t>YX</t>
        </is>
      </c>
      <c r="B2087" t="n">
        <v>2026</v>
      </c>
      <c r="C2087" t="n">
        <v>7</v>
      </c>
      <c r="D2087" t="n">
        <v>32082</v>
      </c>
      <c r="E2087" t="n">
        <v>2993</v>
      </c>
      <c r="F2087" t="n">
        <v>170</v>
      </c>
      <c r="G2087" t="n">
        <v>28919</v>
      </c>
      <c r="H2087" t="n">
        <v>21832</v>
      </c>
      <c r="I2087" t="n">
        <v>339066</v>
      </c>
      <c r="J2087" t="n">
        <v>816017.5999999949</v>
      </c>
      <c r="K2087" t="n">
        <v>29698</v>
      </c>
      <c r="L2087" t="n">
        <v>222746</v>
      </c>
      <c r="M2087" t="n">
        <v>157168</v>
      </c>
      <c r="N2087" t="n">
        <v>196545</v>
      </c>
      <c r="O2087" t="n">
        <v>56253</v>
      </c>
      <c r="P2087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0" t="inlineStr">
        <is>
          <t>carrier</t>
        </is>
      </c>
      <c r="B1" s="11" t="inlineStr">
        <is>
          <t>year</t>
        </is>
      </c>
      <c r="C1" s="11" t="inlineStr">
        <is>
          <t>month</t>
        </is>
      </c>
      <c r="D1" s="11" t="inlineStr">
        <is>
          <t>inherited_minutes_sum</t>
        </is>
      </c>
      <c r="E1" s="11" t="inlineStr">
        <is>
          <t>arr_delay_pos_sum</t>
        </is>
      </c>
      <c r="F1" s="11" t="inlineStr">
        <is>
          <t>flown</t>
        </is>
      </c>
    </row>
    <row r="2">
      <c r="A2" t="inlineStr">
        <is>
          <t>9E</t>
        </is>
      </c>
      <c r="B2" t="n">
        <v>2023</v>
      </c>
      <c r="C2" t="n">
        <v>1</v>
      </c>
      <c r="D2" t="n">
        <v>95552.13429037869</v>
      </c>
      <c r="E2" t="n">
        <v>288642</v>
      </c>
      <c r="F2" t="n">
        <v>16637</v>
      </c>
    </row>
    <row r="3">
      <c r="A3" t="inlineStr">
        <is>
          <t>9E</t>
        </is>
      </c>
      <c r="B3" t="n">
        <v>2023</v>
      </c>
      <c r="C3" t="n">
        <v>2</v>
      </c>
      <c r="D3" t="n">
        <v>42413.30775408298</v>
      </c>
      <c r="E3" t="n">
        <v>145259</v>
      </c>
      <c r="F3" t="n">
        <v>14263</v>
      </c>
    </row>
    <row r="4">
      <c r="A4" t="inlineStr">
        <is>
          <t>9E</t>
        </is>
      </c>
      <c r="B4" t="n">
        <v>2023</v>
      </c>
      <c r="C4" t="n">
        <v>3</v>
      </c>
      <c r="D4" t="n">
        <v>57524.95375440638</v>
      </c>
      <c r="E4" t="n">
        <v>182663</v>
      </c>
      <c r="F4" t="n">
        <v>16678</v>
      </c>
    </row>
    <row r="5">
      <c r="A5" t="inlineStr">
        <is>
          <t>9E</t>
        </is>
      </c>
      <c r="B5" t="n">
        <v>2023</v>
      </c>
      <c r="C5" t="n">
        <v>4</v>
      </c>
      <c r="D5" t="n">
        <v>64359.85528887163</v>
      </c>
      <c r="E5" t="n">
        <v>182734</v>
      </c>
      <c r="F5" t="n">
        <v>15422</v>
      </c>
    </row>
    <row r="6">
      <c r="A6" t="inlineStr">
        <is>
          <t>9E</t>
        </is>
      </c>
      <c r="B6" t="n">
        <v>2023</v>
      </c>
      <c r="C6" t="n">
        <v>5</v>
      </c>
      <c r="D6" t="n">
        <v>24243.59335260826</v>
      </c>
      <c r="E6" t="n">
        <v>82420</v>
      </c>
      <c r="F6" t="n">
        <v>15976</v>
      </c>
    </row>
    <row r="7">
      <c r="A7" t="inlineStr">
        <is>
          <t>9E</t>
        </is>
      </c>
      <c r="B7" t="n">
        <v>2023</v>
      </c>
      <c r="C7" t="n">
        <v>6</v>
      </c>
      <c r="D7" t="n">
        <v>69701.95442455287</v>
      </c>
      <c r="E7" t="n">
        <v>221148</v>
      </c>
      <c r="F7" t="n">
        <v>16363</v>
      </c>
    </row>
    <row r="8">
      <c r="A8" t="inlineStr">
        <is>
          <t>9E</t>
        </is>
      </c>
      <c r="B8" t="n">
        <v>2023</v>
      </c>
      <c r="C8" t="n">
        <v>7</v>
      </c>
      <c r="D8" t="n">
        <v>88563.68182516734</v>
      </c>
      <c r="E8" t="n">
        <v>300067</v>
      </c>
      <c r="F8" t="n">
        <v>16457</v>
      </c>
    </row>
    <row r="9">
      <c r="A9" t="inlineStr">
        <is>
          <t>9E</t>
        </is>
      </c>
      <c r="B9" t="n">
        <v>2023</v>
      </c>
      <c r="C9" t="n">
        <v>8</v>
      </c>
      <c r="D9" t="n">
        <v>87122.75352008018</v>
      </c>
      <c r="E9" t="n">
        <v>248886</v>
      </c>
      <c r="F9" t="n">
        <v>17751</v>
      </c>
    </row>
    <row r="10">
      <c r="A10" t="inlineStr">
        <is>
          <t>9E</t>
        </is>
      </c>
      <c r="B10" t="n">
        <v>2023</v>
      </c>
      <c r="C10" t="n">
        <v>9</v>
      </c>
      <c r="D10" t="n">
        <v>66810.25698612593</v>
      </c>
      <c r="E10" t="n">
        <v>219670</v>
      </c>
      <c r="F10" t="n">
        <v>16505</v>
      </c>
    </row>
    <row r="11">
      <c r="A11" t="inlineStr">
        <is>
          <t>9E</t>
        </is>
      </c>
      <c r="B11" t="n">
        <v>2023</v>
      </c>
      <c r="C11" t="n">
        <v>10</v>
      </c>
      <c r="D11" t="n">
        <v>32175.79227512693</v>
      </c>
      <c r="E11" t="n">
        <v>99640</v>
      </c>
      <c r="F11" t="n">
        <v>17777</v>
      </c>
    </row>
    <row r="12">
      <c r="A12" t="inlineStr">
        <is>
          <t>9E</t>
        </is>
      </c>
      <c r="B12" t="n">
        <v>2023</v>
      </c>
      <c r="C12" t="n">
        <v>11</v>
      </c>
      <c r="D12" t="n">
        <v>25003.56306484266</v>
      </c>
      <c r="E12" t="n">
        <v>83768</v>
      </c>
      <c r="F12" t="n">
        <v>16374</v>
      </c>
    </row>
    <row r="13">
      <c r="A13" t="inlineStr">
        <is>
          <t>9E</t>
        </is>
      </c>
      <c r="B13" t="n">
        <v>2023</v>
      </c>
      <c r="C13" t="n">
        <v>12</v>
      </c>
      <c r="D13" t="n">
        <v>50035.30191991202</v>
      </c>
      <c r="E13" t="n">
        <v>155036</v>
      </c>
      <c r="F13" t="n">
        <v>16702</v>
      </c>
    </row>
    <row r="14">
      <c r="A14" t="inlineStr">
        <is>
          <t>9E</t>
        </is>
      </c>
      <c r="B14" t="n">
        <v>2024</v>
      </c>
      <c r="C14" t="n">
        <v>1</v>
      </c>
      <c r="D14" t="n">
        <v>125798.489295275</v>
      </c>
      <c r="E14" t="n">
        <v>352045</v>
      </c>
      <c r="F14" t="n">
        <v>16219</v>
      </c>
    </row>
    <row r="15">
      <c r="A15" t="inlineStr">
        <is>
          <t>9E</t>
        </is>
      </c>
      <c r="B15" t="n">
        <v>2024</v>
      </c>
      <c r="C15" t="n">
        <v>2</v>
      </c>
      <c r="D15" t="n">
        <v>49605.26369483522</v>
      </c>
      <c r="E15" t="n">
        <v>126069</v>
      </c>
      <c r="F15" t="n">
        <v>15392</v>
      </c>
    </row>
    <row r="16">
      <c r="A16" t="inlineStr">
        <is>
          <t>9E</t>
        </is>
      </c>
      <c r="B16" t="n">
        <v>2024</v>
      </c>
      <c r="C16" t="n">
        <v>3</v>
      </c>
      <c r="D16" t="n">
        <v>55781.8027433524</v>
      </c>
      <c r="E16" t="n">
        <v>150962</v>
      </c>
      <c r="F16" t="n">
        <v>17028</v>
      </c>
    </row>
    <row r="17">
      <c r="A17" t="inlineStr">
        <is>
          <t>9E</t>
        </is>
      </c>
      <c r="B17" t="n">
        <v>2024</v>
      </c>
      <c r="C17" t="n">
        <v>4</v>
      </c>
      <c r="D17" t="n">
        <v>57648.7081300346</v>
      </c>
      <c r="E17" t="n">
        <v>159282</v>
      </c>
      <c r="F17" t="n">
        <v>16778</v>
      </c>
    </row>
    <row r="18">
      <c r="A18" t="inlineStr">
        <is>
          <t>9E</t>
        </is>
      </c>
      <c r="B18" t="n">
        <v>2024</v>
      </c>
      <c r="C18" t="n">
        <v>5</v>
      </c>
      <c r="D18" t="n">
        <v>91842.48641979236</v>
      </c>
      <c r="E18" t="n">
        <v>225992</v>
      </c>
      <c r="F18" t="n">
        <v>16057</v>
      </c>
    </row>
    <row r="19">
      <c r="A19" t="inlineStr">
        <is>
          <t>9E</t>
        </is>
      </c>
      <c r="B19" t="n">
        <v>2024</v>
      </c>
      <c r="C19" t="n">
        <v>6</v>
      </c>
      <c r="D19" t="n">
        <v>100843.3946724621</v>
      </c>
      <c r="E19" t="n">
        <v>258559</v>
      </c>
      <c r="F19" t="n">
        <v>16116</v>
      </c>
    </row>
    <row r="20">
      <c r="A20" t="inlineStr">
        <is>
          <t>9E</t>
        </is>
      </c>
      <c r="B20" t="n">
        <v>2024</v>
      </c>
      <c r="C20" t="n">
        <v>7</v>
      </c>
      <c r="D20" t="n">
        <v>188689.3976786261</v>
      </c>
      <c r="E20" t="n">
        <v>449039</v>
      </c>
      <c r="F20" t="n">
        <v>15796</v>
      </c>
    </row>
    <row r="21">
      <c r="A21" t="inlineStr">
        <is>
          <t>9E</t>
        </is>
      </c>
      <c r="B21" t="n">
        <v>2024</v>
      </c>
      <c r="C21" t="n">
        <v>8</v>
      </c>
      <c r="D21" t="n">
        <v>99086.68622634454</v>
      </c>
      <c r="E21" t="n">
        <v>295046</v>
      </c>
      <c r="F21" t="n">
        <v>15873</v>
      </c>
    </row>
    <row r="22">
      <c r="A22" t="inlineStr">
        <is>
          <t>9E</t>
        </is>
      </c>
      <c r="B22" t="n">
        <v>2024</v>
      </c>
      <c r="C22" t="n">
        <v>9</v>
      </c>
      <c r="D22" t="n">
        <v>41829.98315813847</v>
      </c>
      <c r="E22" t="n">
        <v>119054</v>
      </c>
      <c r="F22" t="n">
        <v>15733</v>
      </c>
    </row>
    <row r="23">
      <c r="A23" t="inlineStr">
        <is>
          <t>9E</t>
        </is>
      </c>
      <c r="B23" t="n">
        <v>2024</v>
      </c>
      <c r="C23" t="n">
        <v>10</v>
      </c>
      <c r="D23" t="n">
        <v>30655.13768633614</v>
      </c>
      <c r="E23" t="n">
        <v>94507</v>
      </c>
      <c r="F23" t="n">
        <v>16833</v>
      </c>
    </row>
    <row r="24">
      <c r="A24" t="inlineStr">
        <is>
          <t>9E</t>
        </is>
      </c>
      <c r="B24" t="n">
        <v>2024</v>
      </c>
      <c r="C24" t="n">
        <v>11</v>
      </c>
      <c r="D24" t="n">
        <v>37235.83754398628</v>
      </c>
      <c r="E24" t="n">
        <v>104803</v>
      </c>
      <c r="F24" t="n">
        <v>15997</v>
      </c>
    </row>
    <row r="25">
      <c r="A25" t="inlineStr">
        <is>
          <t>9E</t>
        </is>
      </c>
      <c r="B25" t="n">
        <v>2024</v>
      </c>
      <c r="C25" t="n">
        <v>12</v>
      </c>
      <c r="D25" t="n">
        <v>109847.2088607742</v>
      </c>
      <c r="E25" t="n">
        <v>261573</v>
      </c>
      <c r="F25" t="n">
        <v>17250</v>
      </c>
    </row>
    <row r="26">
      <c r="A26" t="inlineStr">
        <is>
          <t>AA</t>
        </is>
      </c>
      <c r="B26" t="n">
        <v>2023</v>
      </c>
      <c r="C26" t="n">
        <v>1</v>
      </c>
      <c r="D26" t="n">
        <v>334261.7709416383</v>
      </c>
      <c r="E26" t="n">
        <v>1393185</v>
      </c>
      <c r="F26" t="n">
        <v>73454</v>
      </c>
    </row>
    <row r="27">
      <c r="A27" t="inlineStr">
        <is>
          <t>AA</t>
        </is>
      </c>
      <c r="B27" t="n">
        <v>2023</v>
      </c>
      <c r="C27" t="n">
        <v>2</v>
      </c>
      <c r="D27" t="n">
        <v>293876.1162316612</v>
      </c>
      <c r="E27" t="n">
        <v>1249837</v>
      </c>
      <c r="F27" t="n">
        <v>69732</v>
      </c>
    </row>
    <row r="28">
      <c r="A28" t="inlineStr">
        <is>
          <t>AA</t>
        </is>
      </c>
      <c r="B28" t="n">
        <v>2023</v>
      </c>
      <c r="C28" t="n">
        <v>3</v>
      </c>
      <c r="D28" t="n">
        <v>432603.7443586687</v>
      </c>
      <c r="E28" t="n">
        <v>1750928</v>
      </c>
      <c r="F28" t="n">
        <v>77630</v>
      </c>
    </row>
    <row r="29">
      <c r="A29" t="inlineStr">
        <is>
          <t>AA</t>
        </is>
      </c>
      <c r="B29" t="n">
        <v>2023</v>
      </c>
      <c r="C29" t="n">
        <v>4</v>
      </c>
      <c r="D29" t="n">
        <v>421682.6496336598</v>
      </c>
      <c r="E29" t="n">
        <v>1719192</v>
      </c>
      <c r="F29" t="n">
        <v>75563</v>
      </c>
    </row>
    <row r="30">
      <c r="A30" t="inlineStr">
        <is>
          <t>AA</t>
        </is>
      </c>
      <c r="B30" t="n">
        <v>2023</v>
      </c>
      <c r="C30" t="n">
        <v>5</v>
      </c>
      <c r="D30" t="n">
        <v>344891.6769057662</v>
      </c>
      <c r="E30" t="n">
        <v>1508641</v>
      </c>
      <c r="F30" t="n">
        <v>79158</v>
      </c>
    </row>
    <row r="31">
      <c r="A31" t="inlineStr">
        <is>
          <t>AA</t>
        </is>
      </c>
      <c r="B31" t="n">
        <v>2023</v>
      </c>
      <c r="C31" t="n">
        <v>6</v>
      </c>
      <c r="D31" t="n">
        <v>564390.2579506224</v>
      </c>
      <c r="E31" t="n">
        <v>2364463</v>
      </c>
      <c r="F31" t="n">
        <v>79036</v>
      </c>
    </row>
    <row r="32">
      <c r="A32" t="inlineStr">
        <is>
          <t>AA</t>
        </is>
      </c>
      <c r="B32" t="n">
        <v>2023</v>
      </c>
      <c r="C32" t="n">
        <v>7</v>
      </c>
      <c r="D32" t="n">
        <v>649852.0271409331</v>
      </c>
      <c r="E32" t="n">
        <v>2610842</v>
      </c>
      <c r="F32" t="n">
        <v>81377</v>
      </c>
    </row>
    <row r="33">
      <c r="A33" t="inlineStr">
        <is>
          <t>AA</t>
        </is>
      </c>
      <c r="B33" t="n">
        <v>2023</v>
      </c>
      <c r="C33" t="n">
        <v>8</v>
      </c>
      <c r="D33" t="n">
        <v>555476.380933967</v>
      </c>
      <c r="E33" t="n">
        <v>2254447</v>
      </c>
      <c r="F33" t="n">
        <v>83693</v>
      </c>
    </row>
    <row r="34">
      <c r="A34" t="inlineStr">
        <is>
          <t>AA</t>
        </is>
      </c>
      <c r="B34" t="n">
        <v>2023</v>
      </c>
      <c r="C34" t="n">
        <v>9</v>
      </c>
      <c r="D34" t="n">
        <v>300373.4366498107</v>
      </c>
      <c r="E34" t="n">
        <v>1376362</v>
      </c>
      <c r="F34" t="n">
        <v>76073</v>
      </c>
    </row>
    <row r="35">
      <c r="A35" t="inlineStr">
        <is>
          <t>AA</t>
        </is>
      </c>
      <c r="B35" t="n">
        <v>2023</v>
      </c>
      <c r="C35" t="n">
        <v>10</v>
      </c>
      <c r="D35" t="n">
        <v>257261.0323931567</v>
      </c>
      <c r="E35" t="n">
        <v>1135897</v>
      </c>
      <c r="F35" t="n">
        <v>80771</v>
      </c>
    </row>
    <row r="36">
      <c r="A36" t="inlineStr">
        <is>
          <t>AA</t>
        </is>
      </c>
      <c r="B36" t="n">
        <v>2023</v>
      </c>
      <c r="C36" t="n">
        <v>11</v>
      </c>
      <c r="D36" t="n">
        <v>177107.1455879175</v>
      </c>
      <c r="E36" t="n">
        <v>887860</v>
      </c>
      <c r="F36" t="n">
        <v>76323</v>
      </c>
    </row>
    <row r="37">
      <c r="A37" t="inlineStr">
        <is>
          <t>AA</t>
        </is>
      </c>
      <c r="B37" t="n">
        <v>2023</v>
      </c>
      <c r="C37" t="n">
        <v>12</v>
      </c>
      <c r="D37" t="n">
        <v>220872.2554247016</v>
      </c>
      <c r="E37" t="n">
        <v>1007108</v>
      </c>
      <c r="F37" t="n">
        <v>75248</v>
      </c>
    </row>
    <row r="38">
      <c r="A38" t="inlineStr">
        <is>
          <t>AA</t>
        </is>
      </c>
      <c r="B38" t="n">
        <v>2024</v>
      </c>
      <c r="C38" t="n">
        <v>1</v>
      </c>
      <c r="D38" t="n">
        <v>534960.4092492737</v>
      </c>
      <c r="E38" t="n">
        <v>2023221</v>
      </c>
      <c r="F38" t="n">
        <v>75888</v>
      </c>
    </row>
    <row r="39">
      <c r="A39" t="inlineStr">
        <is>
          <t>AA</t>
        </is>
      </c>
      <c r="B39" t="n">
        <v>2024</v>
      </c>
      <c r="C39" t="n">
        <v>2</v>
      </c>
      <c r="D39" t="n">
        <v>236336.3427708547</v>
      </c>
      <c r="E39" t="n">
        <v>1061670</v>
      </c>
      <c r="F39" t="n">
        <v>74634</v>
      </c>
    </row>
    <row r="40">
      <c r="A40" t="inlineStr">
        <is>
          <t>AA</t>
        </is>
      </c>
      <c r="B40" t="n">
        <v>2024</v>
      </c>
      <c r="C40" t="n">
        <v>3</v>
      </c>
      <c r="D40" t="n">
        <v>508233.5811682932</v>
      </c>
      <c r="E40" t="n">
        <v>1993229</v>
      </c>
      <c r="F40" t="n">
        <v>81117</v>
      </c>
    </row>
    <row r="41">
      <c r="A41" t="inlineStr">
        <is>
          <t>AA</t>
        </is>
      </c>
      <c r="B41" t="n">
        <v>2024</v>
      </c>
      <c r="C41" t="n">
        <v>4</v>
      </c>
      <c r="D41" t="n">
        <v>443440.9368980561</v>
      </c>
      <c r="E41" t="n">
        <v>1663810</v>
      </c>
      <c r="F41" t="n">
        <v>80211</v>
      </c>
    </row>
    <row r="42">
      <c r="A42" t="inlineStr">
        <is>
          <t>AA</t>
        </is>
      </c>
      <c r="B42" t="n">
        <v>2024</v>
      </c>
      <c r="C42" t="n">
        <v>5</v>
      </c>
      <c r="D42" t="n">
        <v>831413.7327423042</v>
      </c>
      <c r="E42" t="n">
        <v>3007431</v>
      </c>
      <c r="F42" t="n">
        <v>83278</v>
      </c>
    </row>
    <row r="43">
      <c r="A43" t="inlineStr">
        <is>
          <t>AA</t>
        </is>
      </c>
      <c r="B43" t="n">
        <v>2024</v>
      </c>
      <c r="C43" t="n">
        <v>6</v>
      </c>
      <c r="D43" t="n">
        <v>693459.3120050966</v>
      </c>
      <c r="E43" t="n">
        <v>2521782</v>
      </c>
      <c r="F43" t="n">
        <v>83287</v>
      </c>
    </row>
    <row r="44">
      <c r="A44" t="inlineStr">
        <is>
          <t>AA</t>
        </is>
      </c>
      <c r="B44" t="n">
        <v>2024</v>
      </c>
      <c r="C44" t="n">
        <v>7</v>
      </c>
      <c r="D44" t="n">
        <v>964284.0625687393</v>
      </c>
      <c r="E44" t="n">
        <v>3267158</v>
      </c>
      <c r="F44" t="n">
        <v>85707</v>
      </c>
    </row>
    <row r="45">
      <c r="A45" t="inlineStr">
        <is>
          <t>AA</t>
        </is>
      </c>
      <c r="B45" t="n">
        <v>2024</v>
      </c>
      <c r="C45" t="n">
        <v>8</v>
      </c>
      <c r="D45" t="n">
        <v>627299.2510375212</v>
      </c>
      <c r="E45" t="n">
        <v>2391214</v>
      </c>
      <c r="F45" t="n">
        <v>83189</v>
      </c>
    </row>
    <row r="46">
      <c r="A46" t="inlineStr">
        <is>
          <t>AA</t>
        </is>
      </c>
      <c r="B46" t="n">
        <v>2024</v>
      </c>
      <c r="C46" t="n">
        <v>9</v>
      </c>
      <c r="D46" t="n">
        <v>271875.8905480158</v>
      </c>
      <c r="E46" t="n">
        <v>1177086</v>
      </c>
      <c r="F46" t="n">
        <v>80051</v>
      </c>
    </row>
    <row r="47">
      <c r="A47" t="inlineStr">
        <is>
          <t>AA</t>
        </is>
      </c>
      <c r="B47" t="n">
        <v>2024</v>
      </c>
      <c r="C47" t="n">
        <v>10</v>
      </c>
      <c r="D47" t="n">
        <v>231797.9742273535</v>
      </c>
      <c r="E47" t="n">
        <v>1033395</v>
      </c>
      <c r="F47" t="n">
        <v>85955</v>
      </c>
    </row>
    <row r="48">
      <c r="A48" t="inlineStr">
        <is>
          <t>AA</t>
        </is>
      </c>
      <c r="B48" t="n">
        <v>2024</v>
      </c>
      <c r="C48" t="n">
        <v>11</v>
      </c>
      <c r="D48" t="n">
        <v>220743.5948900488</v>
      </c>
      <c r="E48" t="n">
        <v>969860</v>
      </c>
      <c r="F48" t="n">
        <v>76109</v>
      </c>
    </row>
    <row r="49">
      <c r="A49" t="inlineStr">
        <is>
          <t>AA</t>
        </is>
      </c>
      <c r="B49" t="n">
        <v>2024</v>
      </c>
      <c r="C49" t="n">
        <v>12</v>
      </c>
      <c r="D49" t="n">
        <v>369604.8336772806</v>
      </c>
      <c r="E49" t="n">
        <v>1531800</v>
      </c>
      <c r="F49" t="n">
        <v>76683</v>
      </c>
    </row>
    <row r="50">
      <c r="A50" t="inlineStr">
        <is>
          <t>AA</t>
        </is>
      </c>
      <c r="B50" t="n">
        <v>2025</v>
      </c>
      <c r="C50" t="n">
        <v>1</v>
      </c>
      <c r="D50" t="n">
        <v>250352.6921744574</v>
      </c>
      <c r="E50" t="n">
        <v>1176720</v>
      </c>
      <c r="F50" t="n">
        <v>72082</v>
      </c>
    </row>
    <row r="51">
      <c r="A51" t="inlineStr">
        <is>
          <t>AA</t>
        </is>
      </c>
      <c r="B51" t="n">
        <v>2025</v>
      </c>
      <c r="C51" t="n">
        <v>2</v>
      </c>
      <c r="D51" t="n">
        <v>261020.3634934186</v>
      </c>
      <c r="E51" t="n">
        <v>1180559</v>
      </c>
      <c r="F51" t="n">
        <v>68808</v>
      </c>
    </row>
    <row r="52">
      <c r="A52" t="inlineStr">
        <is>
          <t>AA</t>
        </is>
      </c>
      <c r="B52" t="n">
        <v>2025</v>
      </c>
      <c r="C52" t="n">
        <v>3</v>
      </c>
      <c r="D52" t="n">
        <v>379548.3565161022</v>
      </c>
      <c r="E52" t="n">
        <v>1595164</v>
      </c>
      <c r="F52" t="n">
        <v>81043</v>
      </c>
    </row>
    <row r="53">
      <c r="A53" t="inlineStr">
        <is>
          <t>AA</t>
        </is>
      </c>
      <c r="B53" t="n">
        <v>2025</v>
      </c>
      <c r="C53" t="n">
        <v>4</v>
      </c>
      <c r="D53" t="n">
        <v>423706.2967224086</v>
      </c>
      <c r="E53" t="n">
        <v>1613437</v>
      </c>
      <c r="F53" t="n">
        <v>80857</v>
      </c>
    </row>
    <row r="54">
      <c r="A54" t="inlineStr">
        <is>
          <t>AA</t>
        </is>
      </c>
      <c r="B54" t="n">
        <v>2025</v>
      </c>
      <c r="C54" t="n">
        <v>5</v>
      </c>
      <c r="D54" t="n">
        <v>463348.3690327478</v>
      </c>
      <c r="E54" t="n">
        <v>1885546</v>
      </c>
      <c r="F54" t="n">
        <v>84496</v>
      </c>
    </row>
    <row r="55">
      <c r="A55" t="inlineStr">
        <is>
          <t>AA</t>
        </is>
      </c>
      <c r="B55" t="n">
        <v>2025</v>
      </c>
      <c r="C55" t="n">
        <v>6</v>
      </c>
      <c r="D55" t="n">
        <v>673408.7077564888</v>
      </c>
      <c r="E55" t="n">
        <v>2497597</v>
      </c>
      <c r="F55" t="n">
        <v>82983</v>
      </c>
    </row>
    <row r="56">
      <c r="A56" t="inlineStr">
        <is>
          <t>AA</t>
        </is>
      </c>
      <c r="B56" t="n">
        <v>2025</v>
      </c>
      <c r="C56" t="n">
        <v>7</v>
      </c>
      <c r="D56" t="n">
        <v>754729.6339037155</v>
      </c>
      <c r="E56" t="n">
        <v>2871090</v>
      </c>
      <c r="F56" t="n">
        <v>84378</v>
      </c>
    </row>
    <row r="57">
      <c r="A57" t="inlineStr">
        <is>
          <t>AA</t>
        </is>
      </c>
      <c r="B57" t="n">
        <v>2025</v>
      </c>
      <c r="C57" t="n">
        <v>8</v>
      </c>
      <c r="D57" t="n">
        <v>597790.105748947</v>
      </c>
      <c r="E57" t="n">
        <v>2256516</v>
      </c>
      <c r="F57" t="n">
        <v>80997</v>
      </c>
    </row>
    <row r="58">
      <c r="A58" t="inlineStr">
        <is>
          <t>AA</t>
        </is>
      </c>
      <c r="B58" t="n">
        <v>2025</v>
      </c>
      <c r="C58" t="n">
        <v>9</v>
      </c>
      <c r="D58" t="n">
        <v>338119.3843561591</v>
      </c>
      <c r="E58" t="n">
        <v>1414926</v>
      </c>
      <c r="F58" t="n">
        <v>76122</v>
      </c>
    </row>
    <row r="59">
      <c r="A59" t="inlineStr">
        <is>
          <t>AA</t>
        </is>
      </c>
      <c r="B59" t="n">
        <v>2025</v>
      </c>
      <c r="C59" t="n">
        <v>10</v>
      </c>
      <c r="D59" t="n">
        <v>418243.7054824357</v>
      </c>
      <c r="E59" t="n">
        <v>1627822</v>
      </c>
      <c r="F59" t="n">
        <v>84760</v>
      </c>
    </row>
    <row r="60">
      <c r="A60" t="inlineStr">
        <is>
          <t>AA</t>
        </is>
      </c>
      <c r="B60" t="n">
        <v>2025</v>
      </c>
      <c r="C60" t="n">
        <v>11</v>
      </c>
      <c r="D60" t="n">
        <v>388740.0633343292</v>
      </c>
      <c r="E60" t="n">
        <v>1522034</v>
      </c>
      <c r="F60" t="n">
        <v>77000</v>
      </c>
    </row>
    <row r="61">
      <c r="A61" t="inlineStr">
        <is>
          <t>AA</t>
        </is>
      </c>
      <c r="B61" t="n">
        <v>2025</v>
      </c>
      <c r="C61" t="n">
        <v>12</v>
      </c>
      <c r="D61" t="n">
        <v>453409.6590419454</v>
      </c>
      <c r="E61" t="n">
        <v>1712581</v>
      </c>
      <c r="F61" t="n">
        <v>79315</v>
      </c>
    </row>
    <row r="62">
      <c r="A62" t="inlineStr">
        <is>
          <t>AA</t>
        </is>
      </c>
      <c r="B62" t="n">
        <v>2026</v>
      </c>
      <c r="C62" t="n">
        <v>1</v>
      </c>
      <c r="D62" t="n">
        <v>330768.7605208886</v>
      </c>
      <c r="E62" t="n">
        <v>1644317</v>
      </c>
      <c r="F62" t="n">
        <v>69740</v>
      </c>
    </row>
    <row r="63">
      <c r="A63" t="inlineStr">
        <is>
          <t>AA</t>
        </is>
      </c>
      <c r="B63" t="n">
        <v>2026</v>
      </c>
      <c r="C63" t="n">
        <v>2</v>
      </c>
      <c r="D63" t="n">
        <v>306129.8725060378</v>
      </c>
      <c r="E63" t="n">
        <v>1230728</v>
      </c>
      <c r="F63" t="n">
        <v>71063</v>
      </c>
    </row>
    <row r="64">
      <c r="A64" t="inlineStr">
        <is>
          <t>AA</t>
        </is>
      </c>
      <c r="B64" t="n">
        <v>2026</v>
      </c>
      <c r="C64" t="n">
        <v>3</v>
      </c>
      <c r="D64" t="n">
        <v>491791.6783315156</v>
      </c>
      <c r="E64" t="n">
        <v>1907043</v>
      </c>
      <c r="F64" t="n">
        <v>82550</v>
      </c>
    </row>
    <row r="65">
      <c r="A65" t="inlineStr">
        <is>
          <t>AA</t>
        </is>
      </c>
      <c r="B65" t="n">
        <v>2026</v>
      </c>
      <c r="C65" t="n">
        <v>4</v>
      </c>
      <c r="D65" t="n">
        <v>396628.9712519257</v>
      </c>
      <c r="E65" t="n">
        <v>1494192</v>
      </c>
      <c r="F65" t="n">
        <v>83534</v>
      </c>
    </row>
    <row r="66">
      <c r="A66" t="inlineStr">
        <is>
          <t>AA</t>
        </is>
      </c>
      <c r="B66" t="n">
        <v>2026</v>
      </c>
      <c r="C66" t="n">
        <v>5</v>
      </c>
      <c r="D66" t="n">
        <v>444341.4996563111</v>
      </c>
      <c r="E66" t="n">
        <v>1770798</v>
      </c>
      <c r="F66" t="n">
        <v>87049</v>
      </c>
    </row>
    <row r="67">
      <c r="A67" t="inlineStr">
        <is>
          <t>AA</t>
        </is>
      </c>
      <c r="B67" t="n">
        <v>2026</v>
      </c>
      <c r="C67" t="n">
        <v>6</v>
      </c>
      <c r="D67" t="n">
        <v>654762.1202570418</v>
      </c>
      <c r="E67" t="n">
        <v>2396661</v>
      </c>
      <c r="F67" t="n">
        <v>83677</v>
      </c>
    </row>
    <row r="68">
      <c r="A68" t="inlineStr">
        <is>
          <t>AA</t>
        </is>
      </c>
      <c r="B68" t="n">
        <v>2026</v>
      </c>
      <c r="C68" t="n">
        <v>7</v>
      </c>
      <c r="D68" t="n">
        <v>768042.7975883312</v>
      </c>
      <c r="E68" t="n">
        <v>2798552</v>
      </c>
      <c r="F68" t="n">
        <v>86614</v>
      </c>
    </row>
    <row r="69">
      <c r="A69" t="inlineStr">
        <is>
          <t>AS</t>
        </is>
      </c>
      <c r="B69" t="n">
        <v>2023</v>
      </c>
      <c r="C69" t="n">
        <v>1</v>
      </c>
      <c r="D69" t="n">
        <v>66905.17242275472</v>
      </c>
      <c r="E69" t="n">
        <v>235013</v>
      </c>
      <c r="F69" t="n">
        <v>19421</v>
      </c>
    </row>
    <row r="70">
      <c r="A70" t="inlineStr">
        <is>
          <t>AS</t>
        </is>
      </c>
      <c r="B70" t="n">
        <v>2023</v>
      </c>
      <c r="C70" t="n">
        <v>2</v>
      </c>
      <c r="D70" t="n">
        <v>63516.44998177287</v>
      </c>
      <c r="E70" t="n">
        <v>234201</v>
      </c>
      <c r="F70" t="n">
        <v>17251</v>
      </c>
    </row>
    <row r="71">
      <c r="A71" t="inlineStr">
        <is>
          <t>AS</t>
        </is>
      </c>
      <c r="B71" t="n">
        <v>2023</v>
      </c>
      <c r="C71" t="n">
        <v>3</v>
      </c>
      <c r="D71" t="n">
        <v>70621.44646462917</v>
      </c>
      <c r="E71" t="n">
        <v>243118</v>
      </c>
      <c r="F71" t="n">
        <v>19695</v>
      </c>
    </row>
    <row r="72">
      <c r="A72" t="inlineStr">
        <is>
          <t>AS</t>
        </is>
      </c>
      <c r="B72" t="n">
        <v>2023</v>
      </c>
      <c r="C72" t="n">
        <v>4</v>
      </c>
      <c r="D72" t="n">
        <v>60552.03892370877</v>
      </c>
      <c r="E72" t="n">
        <v>224811</v>
      </c>
      <c r="F72" t="n">
        <v>19306</v>
      </c>
    </row>
    <row r="73">
      <c r="A73" t="inlineStr">
        <is>
          <t>AS</t>
        </is>
      </c>
      <c r="B73" t="n">
        <v>2023</v>
      </c>
      <c r="C73" t="n">
        <v>5</v>
      </c>
      <c r="D73" t="n">
        <v>42323.43080389377</v>
      </c>
      <c r="E73" t="n">
        <v>176592</v>
      </c>
      <c r="F73" t="n">
        <v>20532</v>
      </c>
    </row>
    <row r="74">
      <c r="A74" t="inlineStr">
        <is>
          <t>AS</t>
        </is>
      </c>
      <c r="B74" t="n">
        <v>2023</v>
      </c>
      <c r="C74" t="n">
        <v>6</v>
      </c>
      <c r="D74" t="n">
        <v>71688.61785367869</v>
      </c>
      <c r="E74" t="n">
        <v>271127</v>
      </c>
      <c r="F74" t="n">
        <v>21196</v>
      </c>
    </row>
    <row r="75">
      <c r="A75" t="inlineStr">
        <is>
          <t>AS</t>
        </is>
      </c>
      <c r="B75" t="n">
        <v>2023</v>
      </c>
      <c r="C75" t="n">
        <v>7</v>
      </c>
      <c r="D75" t="n">
        <v>94479.36134280257</v>
      </c>
      <c r="E75" t="n">
        <v>313719</v>
      </c>
      <c r="F75" t="n">
        <v>22571</v>
      </c>
    </row>
    <row r="76">
      <c r="A76" t="inlineStr">
        <is>
          <t>AS</t>
        </is>
      </c>
      <c r="B76" t="n">
        <v>2023</v>
      </c>
      <c r="C76" t="n">
        <v>8</v>
      </c>
      <c r="D76" t="n">
        <v>72072.58866383359</v>
      </c>
      <c r="E76" t="n">
        <v>261726</v>
      </c>
      <c r="F76" t="n">
        <v>22842</v>
      </c>
    </row>
    <row r="77">
      <c r="A77" t="inlineStr">
        <is>
          <t>AS</t>
        </is>
      </c>
      <c r="B77" t="n">
        <v>2023</v>
      </c>
      <c r="C77" t="n">
        <v>9</v>
      </c>
      <c r="D77" t="n">
        <v>56849.46715870764</v>
      </c>
      <c r="E77" t="n">
        <v>213518</v>
      </c>
      <c r="F77" t="n">
        <v>21297</v>
      </c>
    </row>
    <row r="78">
      <c r="A78" t="inlineStr">
        <is>
          <t>AS</t>
        </is>
      </c>
      <c r="B78" t="n">
        <v>2023</v>
      </c>
      <c r="C78" t="n">
        <v>10</v>
      </c>
      <c r="D78" t="n">
        <v>39764.71453215612</v>
      </c>
      <c r="E78" t="n">
        <v>157321</v>
      </c>
      <c r="F78" t="n">
        <v>20210</v>
      </c>
    </row>
    <row r="79">
      <c r="A79" t="inlineStr">
        <is>
          <t>AS</t>
        </is>
      </c>
      <c r="B79" t="n">
        <v>2023</v>
      </c>
      <c r="C79" t="n">
        <v>11</v>
      </c>
      <c r="D79" t="n">
        <v>48066.30259955367</v>
      </c>
      <c r="E79" t="n">
        <v>166725</v>
      </c>
      <c r="F79" t="n">
        <v>19111</v>
      </c>
    </row>
    <row r="80">
      <c r="A80" t="inlineStr">
        <is>
          <t>AS</t>
        </is>
      </c>
      <c r="B80" t="n">
        <v>2023</v>
      </c>
      <c r="C80" t="n">
        <v>12</v>
      </c>
      <c r="D80" t="n">
        <v>55671.36527822512</v>
      </c>
      <c r="E80" t="n">
        <v>189347</v>
      </c>
      <c r="F80" t="n">
        <v>19211</v>
      </c>
    </row>
    <row r="81">
      <c r="A81" t="inlineStr">
        <is>
          <t>AS</t>
        </is>
      </c>
      <c r="B81" t="n">
        <v>2024</v>
      </c>
      <c r="C81" t="n">
        <v>1</v>
      </c>
      <c r="D81" t="n">
        <v>94583.18906971956</v>
      </c>
      <c r="E81" t="n">
        <v>274751</v>
      </c>
      <c r="F81" t="n">
        <v>14495</v>
      </c>
    </row>
    <row r="82">
      <c r="A82" t="inlineStr">
        <is>
          <t>AS</t>
        </is>
      </c>
      <c r="B82" t="n">
        <v>2024</v>
      </c>
      <c r="C82" t="n">
        <v>2</v>
      </c>
      <c r="D82" t="n">
        <v>44869.93647527568</v>
      </c>
      <c r="E82" t="n">
        <v>159895</v>
      </c>
      <c r="F82" t="n">
        <v>16670</v>
      </c>
    </row>
    <row r="83">
      <c r="A83" t="inlineStr">
        <is>
          <t>AS</t>
        </is>
      </c>
      <c r="B83" t="n">
        <v>2024</v>
      </c>
      <c r="C83" t="n">
        <v>3</v>
      </c>
      <c r="D83" t="n">
        <v>76824.72182780631</v>
      </c>
      <c r="E83" t="n">
        <v>252952</v>
      </c>
      <c r="F83" t="n">
        <v>19444</v>
      </c>
    </row>
    <row r="84">
      <c r="A84" t="inlineStr">
        <is>
          <t>AS</t>
        </is>
      </c>
      <c r="B84" t="n">
        <v>2024</v>
      </c>
      <c r="C84" t="n">
        <v>4</v>
      </c>
      <c r="D84" t="n">
        <v>71848.19764869178</v>
      </c>
      <c r="E84" t="n">
        <v>235991</v>
      </c>
      <c r="F84" t="n">
        <v>19287</v>
      </c>
    </row>
    <row r="85">
      <c r="A85" t="inlineStr">
        <is>
          <t>AS</t>
        </is>
      </c>
      <c r="B85" t="n">
        <v>2024</v>
      </c>
      <c r="C85" t="n">
        <v>5</v>
      </c>
      <c r="D85" t="n">
        <v>76492.5997927104</v>
      </c>
      <c r="E85" t="n">
        <v>273323</v>
      </c>
      <c r="F85" t="n">
        <v>21098</v>
      </c>
    </row>
    <row r="86">
      <c r="A86" t="inlineStr">
        <is>
          <t>AS</t>
        </is>
      </c>
      <c r="B86" t="n">
        <v>2024</v>
      </c>
      <c r="C86" t="n">
        <v>6</v>
      </c>
      <c r="D86" t="n">
        <v>85646.34823197174</v>
      </c>
      <c r="E86" t="n">
        <v>305582</v>
      </c>
      <c r="F86" t="n">
        <v>21973</v>
      </c>
    </row>
    <row r="87">
      <c r="A87" t="inlineStr">
        <is>
          <t>AS</t>
        </is>
      </c>
      <c r="B87" t="n">
        <v>2024</v>
      </c>
      <c r="C87" t="n">
        <v>7</v>
      </c>
      <c r="D87" t="n">
        <v>94817.42313744052</v>
      </c>
      <c r="E87" t="n">
        <v>324894</v>
      </c>
      <c r="F87" t="n">
        <v>23625</v>
      </c>
    </row>
    <row r="88">
      <c r="A88" t="inlineStr">
        <is>
          <t>AS</t>
        </is>
      </c>
      <c r="B88" t="n">
        <v>2024</v>
      </c>
      <c r="C88" t="n">
        <v>8</v>
      </c>
      <c r="D88" t="n">
        <v>98156.19062389956</v>
      </c>
      <c r="E88" t="n">
        <v>326605</v>
      </c>
      <c r="F88" t="n">
        <v>22932</v>
      </c>
    </row>
    <row r="89">
      <c r="A89" t="inlineStr">
        <is>
          <t>AS</t>
        </is>
      </c>
      <c r="B89" t="n">
        <v>2024</v>
      </c>
      <c r="C89" t="n">
        <v>9</v>
      </c>
      <c r="D89" t="n">
        <v>59942.00510930432</v>
      </c>
      <c r="E89" t="n">
        <v>222512</v>
      </c>
      <c r="F89" t="n">
        <v>21360</v>
      </c>
    </row>
    <row r="90">
      <c r="A90" t="inlineStr">
        <is>
          <t>AS</t>
        </is>
      </c>
      <c r="B90" t="n">
        <v>2024</v>
      </c>
      <c r="C90" t="n">
        <v>10</v>
      </c>
      <c r="D90" t="n">
        <v>44154.3430204715</v>
      </c>
      <c r="E90" t="n">
        <v>181978</v>
      </c>
      <c r="F90" t="n">
        <v>20287</v>
      </c>
    </row>
    <row r="91">
      <c r="A91" t="inlineStr">
        <is>
          <t>AS</t>
        </is>
      </c>
      <c r="B91" t="n">
        <v>2024</v>
      </c>
      <c r="C91" t="n">
        <v>11</v>
      </c>
      <c r="D91" t="n">
        <v>42032.54700481871</v>
      </c>
      <c r="E91" t="n">
        <v>175488</v>
      </c>
      <c r="F91" t="n">
        <v>19311</v>
      </c>
    </row>
    <row r="92">
      <c r="A92" t="inlineStr">
        <is>
          <t>AS</t>
        </is>
      </c>
      <c r="B92" t="n">
        <v>2024</v>
      </c>
      <c r="C92" t="n">
        <v>12</v>
      </c>
      <c r="D92" t="n">
        <v>81691.25394423203</v>
      </c>
      <c r="E92" t="n">
        <v>255729</v>
      </c>
      <c r="F92" t="n">
        <v>19841</v>
      </c>
    </row>
    <row r="93">
      <c r="A93" t="inlineStr">
        <is>
          <t>AS</t>
        </is>
      </c>
      <c r="B93" t="n">
        <v>2025</v>
      </c>
      <c r="C93" t="n">
        <v>1</v>
      </c>
      <c r="D93" t="n">
        <v>46502.70154251154</v>
      </c>
      <c r="E93" t="n">
        <v>179166</v>
      </c>
      <c r="F93" t="n">
        <v>17847</v>
      </c>
    </row>
    <row r="94">
      <c r="A94" t="inlineStr">
        <is>
          <t>AS</t>
        </is>
      </c>
      <c r="B94" t="n">
        <v>2025</v>
      </c>
      <c r="C94" t="n">
        <v>2</v>
      </c>
      <c r="D94" t="n">
        <v>51370.22517266579</v>
      </c>
      <c r="E94" t="n">
        <v>197199</v>
      </c>
      <c r="F94" t="n">
        <v>15917</v>
      </c>
    </row>
    <row r="95">
      <c r="A95" t="inlineStr">
        <is>
          <t>AS</t>
        </is>
      </c>
      <c r="B95" t="n">
        <v>2025</v>
      </c>
      <c r="C95" t="n">
        <v>3</v>
      </c>
      <c r="D95" t="n">
        <v>57239.35227908538</v>
      </c>
      <c r="E95" t="n">
        <v>202547</v>
      </c>
      <c r="F95" t="n">
        <v>18756</v>
      </c>
    </row>
    <row r="96">
      <c r="A96" t="inlineStr">
        <is>
          <t>AS</t>
        </is>
      </c>
      <c r="B96" t="n">
        <v>2025</v>
      </c>
      <c r="C96" t="n">
        <v>4</v>
      </c>
      <c r="D96" t="n">
        <v>54814.96148732574</v>
      </c>
      <c r="E96" t="n">
        <v>196991</v>
      </c>
      <c r="F96" t="n">
        <v>18911</v>
      </c>
    </row>
    <row r="97">
      <c r="A97" t="inlineStr">
        <is>
          <t>AS</t>
        </is>
      </c>
      <c r="B97" t="n">
        <v>2025</v>
      </c>
      <c r="C97" t="n">
        <v>5</v>
      </c>
      <c r="D97" t="n">
        <v>91841.88661034244</v>
      </c>
      <c r="E97" t="n">
        <v>305173</v>
      </c>
      <c r="F97" t="n">
        <v>21600</v>
      </c>
    </row>
    <row r="98">
      <c r="A98" t="inlineStr">
        <is>
          <t>AS</t>
        </is>
      </c>
      <c r="B98" t="n">
        <v>2025</v>
      </c>
      <c r="C98" t="n">
        <v>6</v>
      </c>
      <c r="D98" t="n">
        <v>113718.9824617573</v>
      </c>
      <c r="E98" t="n">
        <v>373951</v>
      </c>
      <c r="F98" t="n">
        <v>22353</v>
      </c>
    </row>
    <row r="99">
      <c r="A99" t="inlineStr">
        <is>
          <t>AS</t>
        </is>
      </c>
      <c r="B99" t="n">
        <v>2025</v>
      </c>
      <c r="C99" t="n">
        <v>7</v>
      </c>
      <c r="D99" t="n">
        <v>137118.06454169</v>
      </c>
      <c r="E99" t="n">
        <v>414421</v>
      </c>
      <c r="F99" t="n">
        <v>23012</v>
      </c>
    </row>
    <row r="100">
      <c r="A100" t="inlineStr">
        <is>
          <t>AS</t>
        </is>
      </c>
      <c r="B100" t="n">
        <v>2025</v>
      </c>
      <c r="C100" t="n">
        <v>8</v>
      </c>
      <c r="D100" t="n">
        <v>108123.7801242909</v>
      </c>
      <c r="E100" t="n">
        <v>336299</v>
      </c>
      <c r="F100" t="n">
        <v>22690</v>
      </c>
    </row>
    <row r="101">
      <c r="A101" t="inlineStr">
        <is>
          <t>AS</t>
        </is>
      </c>
      <c r="B101" t="n">
        <v>2025</v>
      </c>
      <c r="C101" t="n">
        <v>9</v>
      </c>
      <c r="D101" t="n">
        <v>51835.92205263734</v>
      </c>
      <c r="E101" t="n">
        <v>186172</v>
      </c>
      <c r="F101" t="n">
        <v>20567</v>
      </c>
    </row>
    <row r="102">
      <c r="A102" t="inlineStr">
        <is>
          <t>AS</t>
        </is>
      </c>
      <c r="B102" t="n">
        <v>2025</v>
      </c>
      <c r="C102" t="n">
        <v>10</v>
      </c>
      <c r="D102" t="n">
        <v>66104.72270234465</v>
      </c>
      <c r="E102" t="n">
        <v>248309</v>
      </c>
      <c r="F102" t="n">
        <v>20157</v>
      </c>
    </row>
    <row r="103">
      <c r="A103" t="inlineStr">
        <is>
          <t>AS</t>
        </is>
      </c>
      <c r="B103" t="n">
        <v>2025</v>
      </c>
      <c r="C103" t="n">
        <v>11</v>
      </c>
      <c r="D103" t="n">
        <v>55023.06546145336</v>
      </c>
      <c r="E103" t="n">
        <v>203779</v>
      </c>
      <c r="F103" t="n">
        <v>19422</v>
      </c>
    </row>
    <row r="104">
      <c r="A104" t="inlineStr">
        <is>
          <t>AS</t>
        </is>
      </c>
      <c r="B104" t="n">
        <v>2025</v>
      </c>
      <c r="C104" t="n">
        <v>12</v>
      </c>
      <c r="D104" t="n">
        <v>108101.9671455903</v>
      </c>
      <c r="E104" t="n">
        <v>336278</v>
      </c>
      <c r="F104" t="n">
        <v>20695</v>
      </c>
    </row>
    <row r="105">
      <c r="A105" t="inlineStr">
        <is>
          <t>AS</t>
        </is>
      </c>
      <c r="B105" t="n">
        <v>2026</v>
      </c>
      <c r="C105" t="n">
        <v>1</v>
      </c>
      <c r="D105" t="n">
        <v>107944.761597568</v>
      </c>
      <c r="E105" t="n">
        <v>333218</v>
      </c>
      <c r="F105" t="n">
        <v>25799</v>
      </c>
    </row>
    <row r="106">
      <c r="A106" t="inlineStr">
        <is>
          <t>AS</t>
        </is>
      </c>
      <c r="B106" t="n">
        <v>2026</v>
      </c>
      <c r="C106" t="n">
        <v>2</v>
      </c>
      <c r="D106" t="n">
        <v>63622.24223790949</v>
      </c>
      <c r="E106" t="n">
        <v>227153</v>
      </c>
      <c r="F106" t="n">
        <v>23678</v>
      </c>
    </row>
    <row r="107">
      <c r="A107" t="inlineStr">
        <is>
          <t>AS</t>
        </is>
      </c>
      <c r="B107" t="n">
        <v>2026</v>
      </c>
      <c r="C107" t="n">
        <v>3</v>
      </c>
      <c r="D107" t="n">
        <v>110633.7563123572</v>
      </c>
      <c r="E107" t="n">
        <v>379393</v>
      </c>
      <c r="F107" t="n">
        <v>27160</v>
      </c>
    </row>
    <row r="108">
      <c r="A108" t="inlineStr">
        <is>
          <t>AS</t>
        </is>
      </c>
      <c r="B108" t="n">
        <v>2026</v>
      </c>
      <c r="C108" t="n">
        <v>4</v>
      </c>
      <c r="D108" t="n">
        <v>68362.61034414149</v>
      </c>
      <c r="E108" t="n">
        <v>234412</v>
      </c>
      <c r="F108" t="n">
        <v>27061</v>
      </c>
    </row>
    <row r="109">
      <c r="A109" t="inlineStr">
        <is>
          <t>AS</t>
        </is>
      </c>
      <c r="B109" t="n">
        <v>2026</v>
      </c>
      <c r="C109" t="n">
        <v>5</v>
      </c>
      <c r="D109" t="n">
        <v>87784.72688963484</v>
      </c>
      <c r="E109" t="n">
        <v>265892</v>
      </c>
      <c r="F109" t="n">
        <v>28916</v>
      </c>
    </row>
    <row r="110">
      <c r="A110" t="inlineStr">
        <is>
          <t>AS</t>
        </is>
      </c>
      <c r="B110" t="n">
        <v>2026</v>
      </c>
      <c r="C110" t="n">
        <v>6</v>
      </c>
      <c r="D110" t="n">
        <v>92215.30813663201</v>
      </c>
      <c r="E110" t="n">
        <v>321366</v>
      </c>
      <c r="F110" t="n">
        <v>29653</v>
      </c>
    </row>
    <row r="111">
      <c r="A111" t="inlineStr">
        <is>
          <t>AS</t>
        </is>
      </c>
      <c r="B111" t="n">
        <v>2026</v>
      </c>
      <c r="C111" t="n">
        <v>7</v>
      </c>
      <c r="D111" t="n">
        <v>123428.1520827398</v>
      </c>
      <c r="E111" t="n">
        <v>421020</v>
      </c>
      <c r="F111" t="n">
        <v>31318</v>
      </c>
    </row>
    <row r="112">
      <c r="A112" t="inlineStr">
        <is>
          <t>B6</t>
        </is>
      </c>
      <c r="B112" t="n">
        <v>2023</v>
      </c>
      <c r="C112" t="n">
        <v>1</v>
      </c>
      <c r="D112" t="n">
        <v>172101.7195582548</v>
      </c>
      <c r="E112" t="n">
        <v>483246</v>
      </c>
      <c r="F112" t="n">
        <v>22978</v>
      </c>
    </row>
    <row r="113">
      <c r="A113" t="inlineStr">
        <is>
          <t>B6</t>
        </is>
      </c>
      <c r="B113" t="n">
        <v>2023</v>
      </c>
      <c r="C113" t="n">
        <v>2</v>
      </c>
      <c r="D113" t="n">
        <v>174623.9183690824</v>
      </c>
      <c r="E113" t="n">
        <v>453196</v>
      </c>
      <c r="F113" t="n">
        <v>21727</v>
      </c>
    </row>
    <row r="114">
      <c r="A114" t="inlineStr">
        <is>
          <t>B6</t>
        </is>
      </c>
      <c r="B114" t="n">
        <v>2023</v>
      </c>
      <c r="C114" t="n">
        <v>3</v>
      </c>
      <c r="D114" t="n">
        <v>267955.4713577438</v>
      </c>
      <c r="E114" t="n">
        <v>650768</v>
      </c>
      <c r="F114" t="n">
        <v>25318</v>
      </c>
    </row>
    <row r="115">
      <c r="A115" t="inlineStr">
        <is>
          <t>B6</t>
        </is>
      </c>
      <c r="B115" t="n">
        <v>2023</v>
      </c>
      <c r="C115" t="n">
        <v>4</v>
      </c>
      <c r="D115" t="n">
        <v>241972.6480225089</v>
      </c>
      <c r="E115" t="n">
        <v>645092</v>
      </c>
      <c r="F115" t="n">
        <v>23473</v>
      </c>
    </row>
    <row r="116">
      <c r="A116" t="inlineStr">
        <is>
          <t>B6</t>
        </is>
      </c>
      <c r="B116" t="n">
        <v>2023</v>
      </c>
      <c r="C116" t="n">
        <v>5</v>
      </c>
      <c r="D116" t="n">
        <v>178478.9517462177</v>
      </c>
      <c r="E116" t="n">
        <v>472671</v>
      </c>
      <c r="F116" t="n">
        <v>24385</v>
      </c>
    </row>
    <row r="117">
      <c r="A117" t="inlineStr">
        <is>
          <t>B6</t>
        </is>
      </c>
      <c r="B117" t="n">
        <v>2023</v>
      </c>
      <c r="C117" t="n">
        <v>6</v>
      </c>
      <c r="D117" t="n">
        <v>293943.0107603245</v>
      </c>
      <c r="E117" t="n">
        <v>794204</v>
      </c>
      <c r="F117" t="n">
        <v>21831</v>
      </c>
    </row>
    <row r="118">
      <c r="A118" t="inlineStr">
        <is>
          <t>B6</t>
        </is>
      </c>
      <c r="B118" t="n">
        <v>2023</v>
      </c>
      <c r="C118" t="n">
        <v>7</v>
      </c>
      <c r="D118" t="n">
        <v>403636.8539815657</v>
      </c>
      <c r="E118" t="n">
        <v>1085438</v>
      </c>
      <c r="F118" t="n">
        <v>21108</v>
      </c>
    </row>
    <row r="119">
      <c r="A119" t="inlineStr">
        <is>
          <t>B6</t>
        </is>
      </c>
      <c r="B119" t="n">
        <v>2023</v>
      </c>
      <c r="C119" t="n">
        <v>8</v>
      </c>
      <c r="D119" t="n">
        <v>278267.1249603052</v>
      </c>
      <c r="E119" t="n">
        <v>709013</v>
      </c>
      <c r="F119" t="n">
        <v>22121</v>
      </c>
    </row>
    <row r="120">
      <c r="A120" t="inlineStr">
        <is>
          <t>B6</t>
        </is>
      </c>
      <c r="B120" t="n">
        <v>2023</v>
      </c>
      <c r="C120" t="n">
        <v>9</v>
      </c>
      <c r="D120" t="n">
        <v>282091.1990839363</v>
      </c>
      <c r="E120" t="n">
        <v>760862</v>
      </c>
      <c r="F120" t="n">
        <v>20557</v>
      </c>
    </row>
    <row r="121">
      <c r="A121" t="inlineStr">
        <is>
          <t>B6</t>
        </is>
      </c>
      <c r="B121" t="n">
        <v>2023</v>
      </c>
      <c r="C121" t="n">
        <v>10</v>
      </c>
      <c r="D121" t="n">
        <v>168707.3007862617</v>
      </c>
      <c r="E121" t="n">
        <v>450396</v>
      </c>
      <c r="F121" t="n">
        <v>21972</v>
      </c>
    </row>
    <row r="122">
      <c r="A122" t="inlineStr">
        <is>
          <t>B6</t>
        </is>
      </c>
      <c r="B122" t="n">
        <v>2023</v>
      </c>
      <c r="C122" t="n">
        <v>11</v>
      </c>
      <c r="D122" t="n">
        <v>129253.6540041007</v>
      </c>
      <c r="E122" t="n">
        <v>366066</v>
      </c>
      <c r="F122" t="n">
        <v>21213</v>
      </c>
    </row>
    <row r="123">
      <c r="A123" t="inlineStr">
        <is>
          <t>B6</t>
        </is>
      </c>
      <c r="B123" t="n">
        <v>2023</v>
      </c>
      <c r="C123" t="n">
        <v>12</v>
      </c>
      <c r="D123" t="n">
        <v>182114.90560282</v>
      </c>
      <c r="E123" t="n">
        <v>458348</v>
      </c>
      <c r="F123" t="n">
        <v>21232</v>
      </c>
    </row>
    <row r="124">
      <c r="A124" t="inlineStr">
        <is>
          <t>B6</t>
        </is>
      </c>
      <c r="B124" t="n">
        <v>2024</v>
      </c>
      <c r="C124" t="n">
        <v>1</v>
      </c>
      <c r="D124" t="n">
        <v>164362.4905618576</v>
      </c>
      <c r="E124" t="n">
        <v>452908</v>
      </c>
      <c r="F124" t="n">
        <v>19172</v>
      </c>
    </row>
    <row r="125">
      <c r="A125" t="inlineStr">
        <is>
          <t>B6</t>
        </is>
      </c>
      <c r="B125" t="n">
        <v>2024</v>
      </c>
      <c r="C125" t="n">
        <v>2</v>
      </c>
      <c r="D125" t="n">
        <v>137076.4671966883</v>
      </c>
      <c r="E125" t="n">
        <v>350091</v>
      </c>
      <c r="F125" t="n">
        <v>18923</v>
      </c>
    </row>
    <row r="126">
      <c r="A126" t="inlineStr">
        <is>
          <t>B6</t>
        </is>
      </c>
      <c r="B126" t="n">
        <v>2024</v>
      </c>
      <c r="C126" t="n">
        <v>3</v>
      </c>
      <c r="D126" t="n">
        <v>217394.9719388117</v>
      </c>
      <c r="E126" t="n">
        <v>571600</v>
      </c>
      <c r="F126" t="n">
        <v>21190</v>
      </c>
    </row>
    <row r="127">
      <c r="A127" t="inlineStr">
        <is>
          <t>B6</t>
        </is>
      </c>
      <c r="B127" t="n">
        <v>2024</v>
      </c>
      <c r="C127" t="n">
        <v>4</v>
      </c>
      <c r="D127" t="n">
        <v>142020.3020980692</v>
      </c>
      <c r="E127" t="n">
        <v>367857</v>
      </c>
      <c r="F127" t="n">
        <v>19762</v>
      </c>
    </row>
    <row r="128">
      <c r="A128" t="inlineStr">
        <is>
          <t>B6</t>
        </is>
      </c>
      <c r="B128" t="n">
        <v>2024</v>
      </c>
      <c r="C128" t="n">
        <v>5</v>
      </c>
      <c r="D128" t="n">
        <v>157347.8097609003</v>
      </c>
      <c r="E128" t="n">
        <v>422598</v>
      </c>
      <c r="F128" t="n">
        <v>21057</v>
      </c>
    </row>
    <row r="129">
      <c r="A129" t="inlineStr">
        <is>
          <t>B6</t>
        </is>
      </c>
      <c r="B129" t="n">
        <v>2024</v>
      </c>
      <c r="C129" t="n">
        <v>6</v>
      </c>
      <c r="D129" t="n">
        <v>167674.0481276025</v>
      </c>
      <c r="E129" t="n">
        <v>486199</v>
      </c>
      <c r="F129" t="n">
        <v>19288</v>
      </c>
    </row>
    <row r="130">
      <c r="A130" t="inlineStr">
        <is>
          <t>B6</t>
        </is>
      </c>
      <c r="B130" t="n">
        <v>2024</v>
      </c>
      <c r="C130" t="n">
        <v>7</v>
      </c>
      <c r="D130" t="n">
        <v>193260.66692953</v>
      </c>
      <c r="E130" t="n">
        <v>534194</v>
      </c>
      <c r="F130" t="n">
        <v>19852</v>
      </c>
    </row>
    <row r="131">
      <c r="A131" t="inlineStr">
        <is>
          <t>B6</t>
        </is>
      </c>
      <c r="B131" t="n">
        <v>2024</v>
      </c>
      <c r="C131" t="n">
        <v>8</v>
      </c>
      <c r="D131" t="n">
        <v>229156.42772627</v>
      </c>
      <c r="E131" t="n">
        <v>653740</v>
      </c>
      <c r="F131" t="n">
        <v>19462</v>
      </c>
    </row>
    <row r="132">
      <c r="A132" t="inlineStr">
        <is>
          <t>B6</t>
        </is>
      </c>
      <c r="B132" t="n">
        <v>2024</v>
      </c>
      <c r="C132" t="n">
        <v>9</v>
      </c>
      <c r="D132" t="n">
        <v>68017.20358505867</v>
      </c>
      <c r="E132" t="n">
        <v>246123</v>
      </c>
      <c r="F132" t="n">
        <v>18213</v>
      </c>
    </row>
    <row r="133">
      <c r="A133" t="inlineStr">
        <is>
          <t>B6</t>
        </is>
      </c>
      <c r="B133" t="n">
        <v>2024</v>
      </c>
      <c r="C133" t="n">
        <v>10</v>
      </c>
      <c r="D133" t="n">
        <v>55568.01996921183</v>
      </c>
      <c r="E133" t="n">
        <v>174431</v>
      </c>
      <c r="F133" t="n">
        <v>19172</v>
      </c>
    </row>
    <row r="134">
      <c r="A134" t="inlineStr">
        <is>
          <t>B6</t>
        </is>
      </c>
      <c r="B134" t="n">
        <v>2024</v>
      </c>
      <c r="C134" t="n">
        <v>11</v>
      </c>
      <c r="D134" t="n">
        <v>63702.67643776071</v>
      </c>
      <c r="E134" t="n">
        <v>196169</v>
      </c>
      <c r="F134" t="n">
        <v>19109</v>
      </c>
    </row>
    <row r="135">
      <c r="A135" t="inlineStr">
        <is>
          <t>B6</t>
        </is>
      </c>
      <c r="B135" t="n">
        <v>2024</v>
      </c>
      <c r="C135" t="n">
        <v>12</v>
      </c>
      <c r="D135" t="n">
        <v>185841.5523944761</v>
      </c>
      <c r="E135" t="n">
        <v>485685</v>
      </c>
      <c r="F135" t="n">
        <v>20483</v>
      </c>
    </row>
    <row r="136">
      <c r="A136" t="inlineStr">
        <is>
          <t>B6</t>
        </is>
      </c>
      <c r="B136" t="n">
        <v>2025</v>
      </c>
      <c r="C136" t="n">
        <v>1</v>
      </c>
      <c r="D136" t="n">
        <v>92061.23301727623</v>
      </c>
      <c r="E136" t="n">
        <v>281421</v>
      </c>
      <c r="F136" t="n">
        <v>17558</v>
      </c>
    </row>
    <row r="137">
      <c r="A137" t="inlineStr">
        <is>
          <t>B6</t>
        </is>
      </c>
      <c r="B137" t="n">
        <v>2025</v>
      </c>
      <c r="C137" t="n">
        <v>2</v>
      </c>
      <c r="D137" t="n">
        <v>143886.6306674169</v>
      </c>
      <c r="E137" t="n">
        <v>396506</v>
      </c>
      <c r="F137" t="n">
        <v>17181</v>
      </c>
    </row>
    <row r="138">
      <c r="A138" t="inlineStr">
        <is>
          <t>B6</t>
        </is>
      </c>
      <c r="B138" t="n">
        <v>2025</v>
      </c>
      <c r="C138" t="n">
        <v>3</v>
      </c>
      <c r="D138" t="n">
        <v>123617.2714752304</v>
      </c>
      <c r="E138" t="n">
        <v>392805</v>
      </c>
      <c r="F138" t="n">
        <v>21033</v>
      </c>
    </row>
    <row r="139">
      <c r="A139" t="inlineStr">
        <is>
          <t>B6</t>
        </is>
      </c>
      <c r="B139" t="n">
        <v>2025</v>
      </c>
      <c r="C139" t="n">
        <v>4</v>
      </c>
      <c r="D139" t="n">
        <v>70249.46154791885</v>
      </c>
      <c r="E139" t="n">
        <v>233523</v>
      </c>
      <c r="F139" t="n">
        <v>19908</v>
      </c>
    </row>
    <row r="140">
      <c r="A140" t="inlineStr">
        <is>
          <t>B6</t>
        </is>
      </c>
      <c r="B140" t="n">
        <v>2025</v>
      </c>
      <c r="C140" t="n">
        <v>5</v>
      </c>
      <c r="D140" t="n">
        <v>108206.8501628278</v>
      </c>
      <c r="E140" t="n">
        <v>383437</v>
      </c>
      <c r="F140" t="n">
        <v>19461</v>
      </c>
    </row>
    <row r="141">
      <c r="A141" t="inlineStr">
        <is>
          <t>B6</t>
        </is>
      </c>
      <c r="B141" t="n">
        <v>2025</v>
      </c>
      <c r="C141" t="n">
        <v>6</v>
      </c>
      <c r="D141" t="n">
        <v>126124.2714752304</v>
      </c>
      <c r="E141" t="n">
        <v>435179</v>
      </c>
      <c r="F141" t="n">
        <v>18730</v>
      </c>
    </row>
    <row r="142">
      <c r="A142" t="inlineStr">
        <is>
          <t>B6</t>
        </is>
      </c>
      <c r="B142" t="n">
        <v>2025</v>
      </c>
      <c r="C142" t="n">
        <v>7</v>
      </c>
      <c r="D142" t="n">
        <v>189462.5213343681</v>
      </c>
      <c r="E142" t="n">
        <v>636216</v>
      </c>
      <c r="F142" t="n">
        <v>19512</v>
      </c>
    </row>
    <row r="143">
      <c r="A143" t="inlineStr">
        <is>
          <t>B6</t>
        </is>
      </c>
      <c r="B143" t="n">
        <v>2025</v>
      </c>
      <c r="C143" t="n">
        <v>8</v>
      </c>
      <c r="D143" t="n">
        <v>120706.3939570906</v>
      </c>
      <c r="E143" t="n">
        <v>407570</v>
      </c>
      <c r="F143" t="n">
        <v>19973</v>
      </c>
    </row>
    <row r="144">
      <c r="A144" t="inlineStr">
        <is>
          <t>B6</t>
        </is>
      </c>
      <c r="B144" t="n">
        <v>2025</v>
      </c>
      <c r="C144" t="n">
        <v>9</v>
      </c>
      <c r="D144" t="n">
        <v>63113.29698876489</v>
      </c>
      <c r="E144" t="n">
        <v>244944</v>
      </c>
      <c r="F144" t="n">
        <v>16079</v>
      </c>
    </row>
    <row r="145">
      <c r="A145" t="inlineStr">
        <is>
          <t>B6</t>
        </is>
      </c>
      <c r="B145" t="n">
        <v>2025</v>
      </c>
      <c r="C145" t="n">
        <v>10</v>
      </c>
      <c r="D145" t="n">
        <v>96118.2279554477</v>
      </c>
      <c r="E145" t="n">
        <v>345682</v>
      </c>
      <c r="F145" t="n">
        <v>18144</v>
      </c>
    </row>
    <row r="146">
      <c r="A146" t="inlineStr">
        <is>
          <t>B6</t>
        </is>
      </c>
      <c r="B146" t="n">
        <v>2025</v>
      </c>
      <c r="C146" t="n">
        <v>11</v>
      </c>
      <c r="D146" t="n">
        <v>122229.6860599333</v>
      </c>
      <c r="E146" t="n">
        <v>390504</v>
      </c>
      <c r="F146" t="n">
        <v>19177</v>
      </c>
    </row>
    <row r="147">
      <c r="A147" t="inlineStr">
        <is>
          <t>B6</t>
        </is>
      </c>
      <c r="B147" t="n">
        <v>2025</v>
      </c>
      <c r="C147" t="n">
        <v>12</v>
      </c>
      <c r="D147" t="n">
        <v>193739.1043399372</v>
      </c>
      <c r="E147" t="n">
        <v>572330</v>
      </c>
      <c r="F147" t="n">
        <v>19947</v>
      </c>
    </row>
    <row r="148">
      <c r="A148" t="inlineStr">
        <is>
          <t>B6</t>
        </is>
      </c>
      <c r="B148" t="n">
        <v>2026</v>
      </c>
      <c r="C148" t="n">
        <v>1</v>
      </c>
      <c r="D148" t="n">
        <v>129811.7499577115</v>
      </c>
      <c r="E148" t="n">
        <v>421465</v>
      </c>
      <c r="F148" t="n">
        <v>16875</v>
      </c>
    </row>
    <row r="149">
      <c r="A149" t="inlineStr">
        <is>
          <t>B6</t>
        </is>
      </c>
      <c r="B149" t="n">
        <v>2026</v>
      </c>
      <c r="C149" t="n">
        <v>2</v>
      </c>
      <c r="D149" t="n">
        <v>122534.2903180362</v>
      </c>
      <c r="E149" t="n">
        <v>406693</v>
      </c>
      <c r="F149" t="n">
        <v>16457</v>
      </c>
    </row>
    <row r="150">
      <c r="A150" t="inlineStr">
        <is>
          <t>B6</t>
        </is>
      </c>
      <c r="B150" t="n">
        <v>2026</v>
      </c>
      <c r="C150" t="n">
        <v>3</v>
      </c>
      <c r="D150" t="n">
        <v>138583.0462478444</v>
      </c>
      <c r="E150" t="n">
        <v>487184</v>
      </c>
      <c r="F150" t="n">
        <v>20825</v>
      </c>
    </row>
    <row r="151">
      <c r="A151" t="inlineStr">
        <is>
          <t>B6</t>
        </is>
      </c>
      <c r="B151" t="n">
        <v>2026</v>
      </c>
      <c r="C151" t="n">
        <v>4</v>
      </c>
      <c r="D151" t="n">
        <v>90523.96106904688</v>
      </c>
      <c r="E151" t="n">
        <v>323057</v>
      </c>
      <c r="F151" t="n">
        <v>20572</v>
      </c>
    </row>
    <row r="152">
      <c r="A152" t="inlineStr">
        <is>
          <t>B6</t>
        </is>
      </c>
      <c r="B152" t="n">
        <v>2026</v>
      </c>
      <c r="C152" t="n">
        <v>5</v>
      </c>
      <c r="D152" t="n">
        <v>63036.45471802331</v>
      </c>
      <c r="E152" t="n">
        <v>251459</v>
      </c>
      <c r="F152" t="n">
        <v>19715</v>
      </c>
    </row>
    <row r="153">
      <c r="A153" t="inlineStr">
        <is>
          <t>B6</t>
        </is>
      </c>
      <c r="B153" t="n">
        <v>2026</v>
      </c>
      <c r="C153" t="n">
        <v>6</v>
      </c>
      <c r="D153" t="n">
        <v>132601.3325070211</v>
      </c>
      <c r="E153" t="n">
        <v>421880</v>
      </c>
      <c r="F153" t="n">
        <v>20399</v>
      </c>
    </row>
    <row r="154">
      <c r="A154" t="inlineStr">
        <is>
          <t>B6</t>
        </is>
      </c>
      <c r="B154" t="n">
        <v>2026</v>
      </c>
      <c r="C154" t="n">
        <v>7</v>
      </c>
      <c r="D154" t="n">
        <v>222232.7218300571</v>
      </c>
      <c r="E154" t="n">
        <v>730281</v>
      </c>
      <c r="F154" t="n">
        <v>20882</v>
      </c>
    </row>
    <row r="155">
      <c r="A155" t="inlineStr">
        <is>
          <t>DL</t>
        </is>
      </c>
      <c r="B155" t="n">
        <v>2023</v>
      </c>
      <c r="C155" t="n">
        <v>1</v>
      </c>
      <c r="D155" t="n">
        <v>266114.7290140162</v>
      </c>
      <c r="E155" t="n">
        <v>1177870</v>
      </c>
      <c r="F155" t="n">
        <v>74419</v>
      </c>
    </row>
    <row r="156">
      <c r="A156" t="inlineStr">
        <is>
          <t>DL</t>
        </is>
      </c>
      <c r="B156" t="n">
        <v>2023</v>
      </c>
      <c r="C156" t="n">
        <v>2</v>
      </c>
      <c r="D156" t="n">
        <v>184271.4773773163</v>
      </c>
      <c r="E156" t="n">
        <v>869804</v>
      </c>
      <c r="F156" t="n">
        <v>68063</v>
      </c>
    </row>
    <row r="157">
      <c r="A157" t="inlineStr">
        <is>
          <t>DL</t>
        </is>
      </c>
      <c r="B157" t="n">
        <v>2023</v>
      </c>
      <c r="C157" t="n">
        <v>3</v>
      </c>
      <c r="D157" t="n">
        <v>304931.4352927782</v>
      </c>
      <c r="E157" t="n">
        <v>1240088</v>
      </c>
      <c r="F157" t="n">
        <v>81025</v>
      </c>
    </row>
    <row r="158">
      <c r="A158" t="inlineStr">
        <is>
          <t>DL</t>
        </is>
      </c>
      <c r="B158" t="n">
        <v>2023</v>
      </c>
      <c r="C158" t="n">
        <v>4</v>
      </c>
      <c r="D158" t="n">
        <v>230606.3760932698</v>
      </c>
      <c r="E158" t="n">
        <v>1054303</v>
      </c>
      <c r="F158" t="n">
        <v>78238</v>
      </c>
    </row>
    <row r="159">
      <c r="A159" t="inlineStr">
        <is>
          <t>DL</t>
        </is>
      </c>
      <c r="B159" t="n">
        <v>2023</v>
      </c>
      <c r="C159" t="n">
        <v>5</v>
      </c>
      <c r="D159" t="n">
        <v>157508.8617669544</v>
      </c>
      <c r="E159" t="n">
        <v>757298</v>
      </c>
      <c r="F159" t="n">
        <v>83947</v>
      </c>
    </row>
    <row r="160">
      <c r="A160" t="inlineStr">
        <is>
          <t>DL</t>
        </is>
      </c>
      <c r="B160" t="n">
        <v>2023</v>
      </c>
      <c r="C160" t="n">
        <v>6</v>
      </c>
      <c r="D160" t="n">
        <v>386417.6129270332</v>
      </c>
      <c r="E160" t="n">
        <v>1548031</v>
      </c>
      <c r="F160" t="n">
        <v>84411</v>
      </c>
    </row>
    <row r="161">
      <c r="A161" t="inlineStr">
        <is>
          <t>DL</t>
        </is>
      </c>
      <c r="B161" t="n">
        <v>2023</v>
      </c>
      <c r="C161" t="n">
        <v>7</v>
      </c>
      <c r="D161" t="n">
        <v>439424.8972422364</v>
      </c>
      <c r="E161" t="n">
        <v>1698453</v>
      </c>
      <c r="F161" t="n">
        <v>88066</v>
      </c>
    </row>
    <row r="162">
      <c r="A162" t="inlineStr">
        <is>
          <t>DL</t>
        </is>
      </c>
      <c r="B162" t="n">
        <v>2023</v>
      </c>
      <c r="C162" t="n">
        <v>8</v>
      </c>
      <c r="D162" t="n">
        <v>355048.6245573944</v>
      </c>
      <c r="E162" t="n">
        <v>1360393</v>
      </c>
      <c r="F162" t="n">
        <v>87252</v>
      </c>
    </row>
    <row r="163">
      <c r="A163" t="inlineStr">
        <is>
          <t>DL</t>
        </is>
      </c>
      <c r="B163" t="n">
        <v>2023</v>
      </c>
      <c r="C163" t="n">
        <v>9</v>
      </c>
      <c r="D163" t="n">
        <v>203975.8050721256</v>
      </c>
      <c r="E163" t="n">
        <v>905200</v>
      </c>
      <c r="F163" t="n">
        <v>81096</v>
      </c>
    </row>
    <row r="164">
      <c r="A164" t="inlineStr">
        <is>
          <t>DL</t>
        </is>
      </c>
      <c r="B164" t="n">
        <v>2023</v>
      </c>
      <c r="C164" t="n">
        <v>10</v>
      </c>
      <c r="D164" t="n">
        <v>107073.7306586462</v>
      </c>
      <c r="E164" t="n">
        <v>549232</v>
      </c>
      <c r="F164" t="n">
        <v>85231</v>
      </c>
    </row>
    <row r="165">
      <c r="A165" t="inlineStr">
        <is>
          <t>DL</t>
        </is>
      </c>
      <c r="B165" t="n">
        <v>2023</v>
      </c>
      <c r="C165" t="n">
        <v>11</v>
      </c>
      <c r="D165" t="n">
        <v>84706.92482592408</v>
      </c>
      <c r="E165" t="n">
        <v>471086</v>
      </c>
      <c r="F165" t="n">
        <v>80278</v>
      </c>
    </row>
    <row r="166">
      <c r="A166" t="inlineStr">
        <is>
          <t>DL</t>
        </is>
      </c>
      <c r="B166" t="n">
        <v>2023</v>
      </c>
      <c r="C166" t="n">
        <v>12</v>
      </c>
      <c r="D166" t="n">
        <v>113694.8865176417</v>
      </c>
      <c r="E166" t="n">
        <v>583350</v>
      </c>
      <c r="F166" t="n">
        <v>80905</v>
      </c>
    </row>
    <row r="167">
      <c r="A167" t="inlineStr">
        <is>
          <t>DL</t>
        </is>
      </c>
      <c r="B167" t="n">
        <v>2024</v>
      </c>
      <c r="C167" t="n">
        <v>1</v>
      </c>
      <c r="D167" t="n">
        <v>260959.1450127226</v>
      </c>
      <c r="E167" t="n">
        <v>1107295</v>
      </c>
      <c r="F167" t="n">
        <v>73722</v>
      </c>
    </row>
    <row r="168">
      <c r="A168" t="inlineStr">
        <is>
          <t>DL</t>
        </is>
      </c>
      <c r="B168" t="n">
        <v>2024</v>
      </c>
      <c r="C168" t="n">
        <v>2</v>
      </c>
      <c r="D168" t="n">
        <v>95872.17695461331</v>
      </c>
      <c r="E168" t="n">
        <v>550326</v>
      </c>
      <c r="F168" t="n">
        <v>71020</v>
      </c>
    </row>
    <row r="169">
      <c r="A169" t="inlineStr">
        <is>
          <t>DL</t>
        </is>
      </c>
      <c r="B169" t="n">
        <v>2024</v>
      </c>
      <c r="C169" t="n">
        <v>3</v>
      </c>
      <c r="D169" t="n">
        <v>238607.814573112</v>
      </c>
      <c r="E169" t="n">
        <v>974333</v>
      </c>
      <c r="F169" t="n">
        <v>82427</v>
      </c>
    </row>
    <row r="170">
      <c r="A170" t="inlineStr">
        <is>
          <t>DL</t>
        </is>
      </c>
      <c r="B170" t="n">
        <v>2024</v>
      </c>
      <c r="C170" t="n">
        <v>4</v>
      </c>
      <c r="D170" t="n">
        <v>240811.1179165226</v>
      </c>
      <c r="E170" t="n">
        <v>940917</v>
      </c>
      <c r="F170" t="n">
        <v>82569</v>
      </c>
    </row>
    <row r="171">
      <c r="A171" t="inlineStr">
        <is>
          <t>DL</t>
        </is>
      </c>
      <c r="B171" t="n">
        <v>2024</v>
      </c>
      <c r="C171" t="n">
        <v>5</v>
      </c>
      <c r="D171" t="n">
        <v>411792.2139745802</v>
      </c>
      <c r="E171" t="n">
        <v>1406567</v>
      </c>
      <c r="F171" t="n">
        <v>87954</v>
      </c>
    </row>
    <row r="172">
      <c r="A172" t="inlineStr">
        <is>
          <t>DL</t>
        </is>
      </c>
      <c r="B172" t="n">
        <v>2024</v>
      </c>
      <c r="C172" t="n">
        <v>6</v>
      </c>
      <c r="D172" t="n">
        <v>331959.4609749747</v>
      </c>
      <c r="E172" t="n">
        <v>1331782</v>
      </c>
      <c r="F172" t="n">
        <v>88585</v>
      </c>
    </row>
    <row r="173">
      <c r="A173" t="inlineStr">
        <is>
          <t>DL</t>
        </is>
      </c>
      <c r="B173" t="n">
        <v>2024</v>
      </c>
      <c r="C173" t="n">
        <v>7</v>
      </c>
      <c r="D173" t="n">
        <v>747589.9397707961</v>
      </c>
      <c r="E173" t="n">
        <v>2571721</v>
      </c>
      <c r="F173" t="n">
        <v>85878</v>
      </c>
    </row>
    <row r="174">
      <c r="A174" t="inlineStr">
        <is>
          <t>DL</t>
        </is>
      </c>
      <c r="B174" t="n">
        <v>2024</v>
      </c>
      <c r="C174" t="n">
        <v>8</v>
      </c>
      <c r="D174" t="n">
        <v>334630.5865462046</v>
      </c>
      <c r="E174" t="n">
        <v>1351883</v>
      </c>
      <c r="F174" t="n">
        <v>89420</v>
      </c>
    </row>
    <row r="175">
      <c r="A175" t="inlineStr">
        <is>
          <t>DL</t>
        </is>
      </c>
      <c r="B175" t="n">
        <v>2024</v>
      </c>
      <c r="C175" t="n">
        <v>9</v>
      </c>
      <c r="D175" t="n">
        <v>171284.1236937226</v>
      </c>
      <c r="E175" t="n">
        <v>744538</v>
      </c>
      <c r="F175" t="n">
        <v>84072</v>
      </c>
    </row>
    <row r="176">
      <c r="A176" t="inlineStr">
        <is>
          <t>DL</t>
        </is>
      </c>
      <c r="B176" t="n">
        <v>2024</v>
      </c>
      <c r="C176" t="n">
        <v>10</v>
      </c>
      <c r="D176" t="n">
        <v>123340.7370512725</v>
      </c>
      <c r="E176" t="n">
        <v>571042</v>
      </c>
      <c r="F176" t="n">
        <v>87416</v>
      </c>
    </row>
    <row r="177">
      <c r="A177" t="inlineStr">
        <is>
          <t>DL</t>
        </is>
      </c>
      <c r="B177" t="n">
        <v>2024</v>
      </c>
      <c r="C177" t="n">
        <v>11</v>
      </c>
      <c r="D177" t="n">
        <v>129018.6103916173</v>
      </c>
      <c r="E177" t="n">
        <v>607592</v>
      </c>
      <c r="F177" t="n">
        <v>81706</v>
      </c>
    </row>
    <row r="178">
      <c r="A178" t="inlineStr">
        <is>
          <t>DL</t>
        </is>
      </c>
      <c r="B178" t="n">
        <v>2024</v>
      </c>
      <c r="C178" t="n">
        <v>12</v>
      </c>
      <c r="D178" t="n">
        <v>299568.5551225379</v>
      </c>
      <c r="E178" t="n">
        <v>1148451</v>
      </c>
      <c r="F178" t="n">
        <v>83057</v>
      </c>
    </row>
    <row r="179">
      <c r="A179" t="inlineStr">
        <is>
          <t>DL</t>
        </is>
      </c>
      <c r="B179" t="n">
        <v>2025</v>
      </c>
      <c r="C179" t="n">
        <v>1</v>
      </c>
      <c r="D179" t="n">
        <v>296783.1606924483</v>
      </c>
      <c r="E179" t="n">
        <v>1197800</v>
      </c>
      <c r="F179" t="n">
        <v>74025</v>
      </c>
    </row>
    <row r="180">
      <c r="A180" t="inlineStr">
        <is>
          <t>DL</t>
        </is>
      </c>
      <c r="B180" t="n">
        <v>2025</v>
      </c>
      <c r="C180" t="n">
        <v>2</v>
      </c>
      <c r="D180" t="n">
        <v>275195.1570351281</v>
      </c>
      <c r="E180" t="n">
        <v>1054866</v>
      </c>
      <c r="F180" t="n">
        <v>71061</v>
      </c>
    </row>
    <row r="181">
      <c r="A181" t="inlineStr">
        <is>
          <t>DL</t>
        </is>
      </c>
      <c r="B181" t="n">
        <v>2025</v>
      </c>
      <c r="C181" t="n">
        <v>3</v>
      </c>
      <c r="D181" t="n">
        <v>336012.9415226155</v>
      </c>
      <c r="E181" t="n">
        <v>1189932</v>
      </c>
      <c r="F181" t="n">
        <v>83857</v>
      </c>
    </row>
    <row r="182">
      <c r="A182" t="inlineStr">
        <is>
          <t>DL</t>
        </is>
      </c>
      <c r="B182" t="n">
        <v>2025</v>
      </c>
      <c r="C182" t="n">
        <v>4</v>
      </c>
      <c r="D182" t="n">
        <v>275896.8020397269</v>
      </c>
      <c r="E182" t="n">
        <v>1093042</v>
      </c>
      <c r="F182" t="n">
        <v>83560</v>
      </c>
    </row>
    <row r="183">
      <c r="A183" t="inlineStr">
        <is>
          <t>DL</t>
        </is>
      </c>
      <c r="B183" t="n">
        <v>2025</v>
      </c>
      <c r="C183" t="n">
        <v>5</v>
      </c>
      <c r="D183" t="n">
        <v>407676.439304162</v>
      </c>
      <c r="E183" t="n">
        <v>1476249</v>
      </c>
      <c r="F183" t="n">
        <v>89472</v>
      </c>
    </row>
    <row r="184">
      <c r="A184" t="inlineStr">
        <is>
          <t>DL</t>
        </is>
      </c>
      <c r="B184" t="n">
        <v>2025</v>
      </c>
      <c r="C184" t="n">
        <v>6</v>
      </c>
      <c r="D184" t="n">
        <v>543310.0329845991</v>
      </c>
      <c r="E184" t="n">
        <v>1893873</v>
      </c>
      <c r="F184" t="n">
        <v>89155</v>
      </c>
    </row>
    <row r="185">
      <c r="A185" t="inlineStr">
        <is>
          <t>DL</t>
        </is>
      </c>
      <c r="B185" t="n">
        <v>2025</v>
      </c>
      <c r="C185" t="n">
        <v>7</v>
      </c>
      <c r="D185" t="n">
        <v>527938.1142542089</v>
      </c>
      <c r="E185" t="n">
        <v>1891379</v>
      </c>
      <c r="F185" t="n">
        <v>92245</v>
      </c>
    </row>
    <row r="186">
      <c r="A186" t="inlineStr">
        <is>
          <t>DL</t>
        </is>
      </c>
      <c r="B186" t="n">
        <v>2025</v>
      </c>
      <c r="C186" t="n">
        <v>8</v>
      </c>
      <c r="D186" t="n">
        <v>289436.8337604863</v>
      </c>
      <c r="E186" t="n">
        <v>1161482</v>
      </c>
      <c r="F186" t="n">
        <v>89322</v>
      </c>
    </row>
    <row r="187">
      <c r="A187" t="inlineStr">
        <is>
          <t>DL</t>
        </is>
      </c>
      <c r="B187" t="n">
        <v>2025</v>
      </c>
      <c r="C187" t="n">
        <v>9</v>
      </c>
      <c r="D187" t="n">
        <v>193007.2655673489</v>
      </c>
      <c r="E187" t="n">
        <v>771851</v>
      </c>
      <c r="F187" t="n">
        <v>84630</v>
      </c>
    </row>
    <row r="188">
      <c r="A188" t="inlineStr">
        <is>
          <t>DL</t>
        </is>
      </c>
      <c r="B188" t="n">
        <v>2025</v>
      </c>
      <c r="C188" t="n">
        <v>10</v>
      </c>
      <c r="D188" t="n">
        <v>279786.5724848742</v>
      </c>
      <c r="E188" t="n">
        <v>1037279</v>
      </c>
      <c r="F188" t="n">
        <v>89610</v>
      </c>
    </row>
    <row r="189">
      <c r="A189" t="inlineStr">
        <is>
          <t>DL</t>
        </is>
      </c>
      <c r="B189" t="n">
        <v>2025</v>
      </c>
      <c r="C189" t="n">
        <v>11</v>
      </c>
      <c r="D189" t="n">
        <v>305614.825395401</v>
      </c>
      <c r="E189" t="n">
        <v>1147898</v>
      </c>
      <c r="F189" t="n">
        <v>82872</v>
      </c>
    </row>
    <row r="190">
      <c r="A190" t="inlineStr">
        <is>
          <t>DL</t>
        </is>
      </c>
      <c r="B190" t="n">
        <v>2025</v>
      </c>
      <c r="C190" t="n">
        <v>12</v>
      </c>
      <c r="D190" t="n">
        <v>494138.7672793245</v>
      </c>
      <c r="E190" t="n">
        <v>1673702</v>
      </c>
      <c r="F190" t="n">
        <v>82618</v>
      </c>
    </row>
    <row r="191">
      <c r="A191" t="inlineStr">
        <is>
          <t>DL</t>
        </is>
      </c>
      <c r="B191" t="n">
        <v>2026</v>
      </c>
      <c r="C191" t="n">
        <v>1</v>
      </c>
      <c r="D191" t="n">
        <v>278394.664902351</v>
      </c>
      <c r="E191" t="n">
        <v>1110959</v>
      </c>
      <c r="F191" t="n">
        <v>75939</v>
      </c>
    </row>
    <row r="192">
      <c r="A192" t="inlineStr">
        <is>
          <t>DL</t>
        </is>
      </c>
      <c r="B192" t="n">
        <v>2026</v>
      </c>
      <c r="C192" t="n">
        <v>2</v>
      </c>
      <c r="D192" t="n">
        <v>200964.6002037449</v>
      </c>
      <c r="E192" t="n">
        <v>860545</v>
      </c>
      <c r="F192" t="n">
        <v>72527</v>
      </c>
    </row>
    <row r="193">
      <c r="A193" t="inlineStr">
        <is>
          <t>DL</t>
        </is>
      </c>
      <c r="B193" t="n">
        <v>2026</v>
      </c>
      <c r="C193" t="n">
        <v>3</v>
      </c>
      <c r="D193" t="n">
        <v>323811.1393472137</v>
      </c>
      <c r="E193" t="n">
        <v>1333265</v>
      </c>
      <c r="F193" t="n">
        <v>83519</v>
      </c>
    </row>
    <row r="194">
      <c r="A194" t="inlineStr">
        <is>
          <t>DL</t>
        </is>
      </c>
      <c r="B194" t="n">
        <v>2026</v>
      </c>
      <c r="C194" t="n">
        <v>4</v>
      </c>
      <c r="D194" t="n">
        <v>225227.6543961449</v>
      </c>
      <c r="E194" t="n">
        <v>894596</v>
      </c>
      <c r="F194" t="n">
        <v>86220</v>
      </c>
    </row>
    <row r="195">
      <c r="A195" t="inlineStr">
        <is>
          <t>DL</t>
        </is>
      </c>
      <c r="B195" t="n">
        <v>2026</v>
      </c>
      <c r="C195" t="n">
        <v>5</v>
      </c>
      <c r="D195" t="n">
        <v>268958.6042151288</v>
      </c>
      <c r="E195" t="n">
        <v>1121085</v>
      </c>
      <c r="F195" t="n">
        <v>90575</v>
      </c>
    </row>
    <row r="196">
      <c r="A196" t="inlineStr">
        <is>
          <t>DL</t>
        </is>
      </c>
      <c r="B196" t="n">
        <v>2026</v>
      </c>
      <c r="C196" t="n">
        <v>6</v>
      </c>
      <c r="D196" t="n">
        <v>317922.5192239835</v>
      </c>
      <c r="E196" t="n">
        <v>1219046</v>
      </c>
      <c r="F196" t="n">
        <v>88966</v>
      </c>
    </row>
    <row r="197">
      <c r="A197" t="inlineStr">
        <is>
          <t>DL</t>
        </is>
      </c>
      <c r="B197" t="n">
        <v>2026</v>
      </c>
      <c r="C197" t="n">
        <v>7</v>
      </c>
      <c r="D197" t="n">
        <v>533669.0514923318</v>
      </c>
      <c r="E197" t="n">
        <v>1917893</v>
      </c>
      <c r="F197" t="n">
        <v>91298</v>
      </c>
    </row>
    <row r="198">
      <c r="A198" t="inlineStr">
        <is>
          <t>F9</t>
        </is>
      </c>
      <c r="B198" t="n">
        <v>2023</v>
      </c>
      <c r="C198" t="n">
        <v>1</v>
      </c>
      <c r="D198" t="n">
        <v>150713.1186034086</v>
      </c>
      <c r="E198" t="n">
        <v>361149</v>
      </c>
      <c r="F198" t="n">
        <v>12828</v>
      </c>
    </row>
    <row r="199">
      <c r="A199" t="inlineStr">
        <is>
          <t>F9</t>
        </is>
      </c>
      <c r="B199" t="n">
        <v>2023</v>
      </c>
      <c r="C199" t="n">
        <v>2</v>
      </c>
      <c r="D199" t="n">
        <v>119668.8767100675</v>
      </c>
      <c r="E199" t="n">
        <v>269356</v>
      </c>
      <c r="F199" t="n">
        <v>12329</v>
      </c>
    </row>
    <row r="200">
      <c r="A200" t="inlineStr">
        <is>
          <t>F9</t>
        </is>
      </c>
      <c r="B200" t="n">
        <v>2023</v>
      </c>
      <c r="C200" t="n">
        <v>3</v>
      </c>
      <c r="D200" t="n">
        <v>158578.7709963584</v>
      </c>
      <c r="E200" t="n">
        <v>374359</v>
      </c>
      <c r="F200" t="n">
        <v>14229</v>
      </c>
    </row>
    <row r="201">
      <c r="A201" t="inlineStr">
        <is>
          <t>F9</t>
        </is>
      </c>
      <c r="B201" t="n">
        <v>2023</v>
      </c>
      <c r="C201" t="n">
        <v>4</v>
      </c>
      <c r="D201" t="n">
        <v>139543.8147110377</v>
      </c>
      <c r="E201" t="n">
        <v>347924</v>
      </c>
      <c r="F201" t="n">
        <v>13525</v>
      </c>
    </row>
    <row r="202">
      <c r="A202" t="inlineStr">
        <is>
          <t>F9</t>
        </is>
      </c>
      <c r="B202" t="n">
        <v>2023</v>
      </c>
      <c r="C202" t="n">
        <v>5</v>
      </c>
      <c r="D202" t="n">
        <v>148886.886536632</v>
      </c>
      <c r="E202" t="n">
        <v>367891</v>
      </c>
      <c r="F202" t="n">
        <v>13920</v>
      </c>
    </row>
    <row r="203">
      <c r="A203" t="inlineStr">
        <is>
          <t>F9</t>
        </is>
      </c>
      <c r="B203" t="n">
        <v>2023</v>
      </c>
      <c r="C203" t="n">
        <v>6</v>
      </c>
      <c r="D203" t="n">
        <v>215967.1899180232</v>
      </c>
      <c r="E203" t="n">
        <v>512843</v>
      </c>
      <c r="F203" t="n">
        <v>13344</v>
      </c>
    </row>
    <row r="204">
      <c r="A204" t="inlineStr">
        <is>
          <t>F9</t>
        </is>
      </c>
      <c r="B204" t="n">
        <v>2023</v>
      </c>
      <c r="C204" t="n">
        <v>7</v>
      </c>
      <c r="D204" t="n">
        <v>225816.2009447041</v>
      </c>
      <c r="E204" t="n">
        <v>547863</v>
      </c>
      <c r="F204" t="n">
        <v>14102</v>
      </c>
    </row>
    <row r="205">
      <c r="A205" t="inlineStr">
        <is>
          <t>F9</t>
        </is>
      </c>
      <c r="B205" t="n">
        <v>2023</v>
      </c>
      <c r="C205" t="n">
        <v>8</v>
      </c>
      <c r="D205" t="n">
        <v>179169.2819624461</v>
      </c>
      <c r="E205" t="n">
        <v>450562</v>
      </c>
      <c r="F205" t="n">
        <v>14595</v>
      </c>
    </row>
    <row r="206">
      <c r="A206" t="inlineStr">
        <is>
          <t>F9</t>
        </is>
      </c>
      <c r="B206" t="n">
        <v>2023</v>
      </c>
      <c r="C206" t="n">
        <v>9</v>
      </c>
      <c r="D206" t="n">
        <v>140124.6808864137</v>
      </c>
      <c r="E206" t="n">
        <v>353915</v>
      </c>
      <c r="F206" t="n">
        <v>15994</v>
      </c>
    </row>
    <row r="207">
      <c r="A207" t="inlineStr">
        <is>
          <t>F9</t>
        </is>
      </c>
      <c r="B207" t="n">
        <v>2023</v>
      </c>
      <c r="C207" t="n">
        <v>10</v>
      </c>
      <c r="D207" t="n">
        <v>139044.3400997639</v>
      </c>
      <c r="E207" t="n">
        <v>336186</v>
      </c>
      <c r="F207" t="n">
        <v>17122</v>
      </c>
    </row>
    <row r="208">
      <c r="A208" t="inlineStr">
        <is>
          <t>F9</t>
        </is>
      </c>
      <c r="B208" t="n">
        <v>2023</v>
      </c>
      <c r="C208" t="n">
        <v>11</v>
      </c>
      <c r="D208" t="n">
        <v>88992.63051774519</v>
      </c>
      <c r="E208" t="n">
        <v>248321</v>
      </c>
      <c r="F208" t="n">
        <v>15871</v>
      </c>
    </row>
    <row r="209">
      <c r="A209" t="inlineStr">
        <is>
          <t>F9</t>
        </is>
      </c>
      <c r="B209" t="n">
        <v>2023</v>
      </c>
      <c r="C209" t="n">
        <v>12</v>
      </c>
      <c r="D209" t="n">
        <v>102158.9263801041</v>
      </c>
      <c r="E209" t="n">
        <v>268356</v>
      </c>
      <c r="F209" t="n">
        <v>15600</v>
      </c>
    </row>
    <row r="210">
      <c r="A210" t="inlineStr">
        <is>
          <t>F9</t>
        </is>
      </c>
      <c r="B210" t="n">
        <v>2024</v>
      </c>
      <c r="C210" t="n">
        <v>1</v>
      </c>
      <c r="D210" t="n">
        <v>124059.1146205103</v>
      </c>
      <c r="E210" t="n">
        <v>342054</v>
      </c>
      <c r="F210" t="n">
        <v>14045</v>
      </c>
    </row>
    <row r="211">
      <c r="A211" t="inlineStr">
        <is>
          <t>F9</t>
        </is>
      </c>
      <c r="B211" t="n">
        <v>2024</v>
      </c>
      <c r="C211" t="n">
        <v>2</v>
      </c>
      <c r="D211" t="n">
        <v>81421.13893392836</v>
      </c>
      <c r="E211" t="n">
        <v>214579</v>
      </c>
      <c r="F211" t="n">
        <v>14112</v>
      </c>
    </row>
    <row r="212">
      <c r="A212" t="inlineStr">
        <is>
          <t>F9</t>
        </is>
      </c>
      <c r="B212" t="n">
        <v>2024</v>
      </c>
      <c r="C212" t="n">
        <v>3</v>
      </c>
      <c r="D212" t="n">
        <v>209856.2768079168</v>
      </c>
      <c r="E212" t="n">
        <v>508628</v>
      </c>
      <c r="F212" t="n">
        <v>16833</v>
      </c>
    </row>
    <row r="213">
      <c r="A213" t="inlineStr">
        <is>
          <t>F9</t>
        </is>
      </c>
      <c r="B213" t="n">
        <v>2024</v>
      </c>
      <c r="C213" t="n">
        <v>4</v>
      </c>
      <c r="D213" t="n">
        <v>180069.7771750978</v>
      </c>
      <c r="E213" t="n">
        <v>453614</v>
      </c>
      <c r="F213" t="n">
        <v>16778</v>
      </c>
    </row>
    <row r="214">
      <c r="A214" t="inlineStr">
        <is>
          <t>F9</t>
        </is>
      </c>
      <c r="B214" t="n">
        <v>2024</v>
      </c>
      <c r="C214" t="n">
        <v>5</v>
      </c>
      <c r="D214" t="n">
        <v>218352.6008643963</v>
      </c>
      <c r="E214" t="n">
        <v>511478</v>
      </c>
      <c r="F214" t="n">
        <v>18117</v>
      </c>
    </row>
    <row r="215">
      <c r="A215" t="inlineStr">
        <is>
          <t>F9</t>
        </is>
      </c>
      <c r="B215" t="n">
        <v>2024</v>
      </c>
      <c r="C215" t="n">
        <v>6</v>
      </c>
      <c r="D215" t="n">
        <v>219145.3103062384</v>
      </c>
      <c r="E215" t="n">
        <v>561516</v>
      </c>
      <c r="F215" t="n">
        <v>17952</v>
      </c>
    </row>
    <row r="216">
      <c r="A216" t="inlineStr">
        <is>
          <t>F9</t>
        </is>
      </c>
      <c r="B216" t="n">
        <v>2024</v>
      </c>
      <c r="C216" t="n">
        <v>7</v>
      </c>
      <c r="D216" t="n">
        <v>212427.2965347562</v>
      </c>
      <c r="E216" t="n">
        <v>539154</v>
      </c>
      <c r="F216" t="n">
        <v>18516</v>
      </c>
    </row>
    <row r="217">
      <c r="A217" t="inlineStr">
        <is>
          <t>F9</t>
        </is>
      </c>
      <c r="B217" t="n">
        <v>2024</v>
      </c>
      <c r="C217" t="n">
        <v>8</v>
      </c>
      <c r="D217" t="n">
        <v>191458.2922167846</v>
      </c>
      <c r="E217" t="n">
        <v>482110</v>
      </c>
      <c r="F217" t="n">
        <v>18158</v>
      </c>
    </row>
    <row r="218">
      <c r="A218" t="inlineStr">
        <is>
          <t>F9</t>
        </is>
      </c>
      <c r="B218" t="n">
        <v>2024</v>
      </c>
      <c r="C218" t="n">
        <v>9</v>
      </c>
      <c r="D218" t="n">
        <v>116906.4150884382</v>
      </c>
      <c r="E218" t="n">
        <v>296891</v>
      </c>
      <c r="F218" t="n">
        <v>17186</v>
      </c>
    </row>
    <row r="219">
      <c r="A219" t="inlineStr">
        <is>
          <t>F9</t>
        </is>
      </c>
      <c r="B219" t="n">
        <v>2024</v>
      </c>
      <c r="C219" t="n">
        <v>10</v>
      </c>
      <c r="D219" t="n">
        <v>128143.2102295527</v>
      </c>
      <c r="E219" t="n">
        <v>319635</v>
      </c>
      <c r="F219" t="n">
        <v>17241</v>
      </c>
    </row>
    <row r="220">
      <c r="A220" t="inlineStr">
        <is>
          <t>F9</t>
        </is>
      </c>
      <c r="B220" t="n">
        <v>2024</v>
      </c>
      <c r="C220" t="n">
        <v>11</v>
      </c>
      <c r="D220" t="n">
        <v>129083.5374681025</v>
      </c>
      <c r="E220" t="n">
        <v>301652</v>
      </c>
      <c r="F220" t="n">
        <v>17389</v>
      </c>
    </row>
    <row r="221">
      <c r="A221" t="inlineStr">
        <is>
          <t>F9</t>
        </is>
      </c>
      <c r="B221" t="n">
        <v>2024</v>
      </c>
      <c r="C221" t="n">
        <v>12</v>
      </c>
      <c r="D221" t="n">
        <v>126132.5915583066</v>
      </c>
      <c r="E221" t="n">
        <v>317848</v>
      </c>
      <c r="F221" t="n">
        <v>17155</v>
      </c>
    </row>
    <row r="222">
      <c r="A222" t="inlineStr">
        <is>
          <t>F9</t>
        </is>
      </c>
      <c r="B222" t="n">
        <v>2025</v>
      </c>
      <c r="C222" t="n">
        <v>1</v>
      </c>
      <c r="D222" t="n">
        <v>115920.1763034571</v>
      </c>
      <c r="E222" t="n">
        <v>317628</v>
      </c>
      <c r="F222" t="n">
        <v>15110</v>
      </c>
    </row>
    <row r="223">
      <c r="A223" t="inlineStr">
        <is>
          <t>F9</t>
        </is>
      </c>
      <c r="B223" t="n">
        <v>2025</v>
      </c>
      <c r="C223" t="n">
        <v>2</v>
      </c>
      <c r="D223" t="n">
        <v>121824.3600214999</v>
      </c>
      <c r="E223" t="n">
        <v>325112</v>
      </c>
      <c r="F223" t="n">
        <v>15213</v>
      </c>
    </row>
    <row r="224">
      <c r="A224" t="inlineStr">
        <is>
          <t>F9</t>
        </is>
      </c>
      <c r="B224" t="n">
        <v>2025</v>
      </c>
      <c r="C224" t="n">
        <v>3</v>
      </c>
      <c r="D224" t="n">
        <v>139524.5385850134</v>
      </c>
      <c r="E224" t="n">
        <v>392693</v>
      </c>
      <c r="F224" t="n">
        <v>18429</v>
      </c>
    </row>
    <row r="225">
      <c r="A225" t="inlineStr">
        <is>
          <t>F9</t>
        </is>
      </c>
      <c r="B225" t="n">
        <v>2025</v>
      </c>
      <c r="C225" t="n">
        <v>4</v>
      </c>
      <c r="D225" t="n">
        <v>145441.8679172083</v>
      </c>
      <c r="E225" t="n">
        <v>393105</v>
      </c>
      <c r="F225" t="n">
        <v>17213</v>
      </c>
    </row>
    <row r="226">
      <c r="A226" t="inlineStr">
        <is>
          <t>F9</t>
        </is>
      </c>
      <c r="B226" t="n">
        <v>2025</v>
      </c>
      <c r="C226" t="n">
        <v>5</v>
      </c>
      <c r="D226" t="n">
        <v>154798.0173930726</v>
      </c>
      <c r="E226" t="n">
        <v>447404</v>
      </c>
      <c r="F226" t="n">
        <v>15836</v>
      </c>
    </row>
    <row r="227">
      <c r="A227" t="inlineStr">
        <is>
          <t>F9</t>
        </is>
      </c>
      <c r="B227" t="n">
        <v>2025</v>
      </c>
      <c r="C227" t="n">
        <v>6</v>
      </c>
      <c r="D227" t="n">
        <v>199070.7442732123</v>
      </c>
      <c r="E227" t="n">
        <v>532832</v>
      </c>
      <c r="F227" t="n">
        <v>15522</v>
      </c>
    </row>
    <row r="228">
      <c r="A228" t="inlineStr">
        <is>
          <t>F9</t>
        </is>
      </c>
      <c r="B228" t="n">
        <v>2025</v>
      </c>
      <c r="C228" t="n">
        <v>7</v>
      </c>
      <c r="D228" t="n">
        <v>194389.3905896186</v>
      </c>
      <c r="E228" t="n">
        <v>538923</v>
      </c>
      <c r="F228" t="n">
        <v>15893</v>
      </c>
    </row>
    <row r="229">
      <c r="A229" t="inlineStr">
        <is>
          <t>F9</t>
        </is>
      </c>
      <c r="B229" t="n">
        <v>2025</v>
      </c>
      <c r="C229" t="n">
        <v>8</v>
      </c>
      <c r="D229" t="n">
        <v>159035.8113150803</v>
      </c>
      <c r="E229" t="n">
        <v>404692</v>
      </c>
      <c r="F229" t="n">
        <v>16396</v>
      </c>
    </row>
    <row r="230">
      <c r="A230" t="inlineStr">
        <is>
          <t>F9</t>
        </is>
      </c>
      <c r="B230" t="n">
        <v>2025</v>
      </c>
      <c r="C230" t="n">
        <v>9</v>
      </c>
      <c r="D230" t="n">
        <v>85292.95609991912</v>
      </c>
      <c r="E230" t="n">
        <v>249179</v>
      </c>
      <c r="F230" t="n">
        <v>14820</v>
      </c>
    </row>
    <row r="231">
      <c r="A231" t="inlineStr">
        <is>
          <t>F9</t>
        </is>
      </c>
      <c r="B231" t="n">
        <v>2025</v>
      </c>
      <c r="C231" t="n">
        <v>10</v>
      </c>
      <c r="D231" t="n">
        <v>114081.6153322596</v>
      </c>
      <c r="E231" t="n">
        <v>329199</v>
      </c>
      <c r="F231" t="n">
        <v>16838</v>
      </c>
    </row>
    <row r="232">
      <c r="A232" t="inlineStr">
        <is>
          <t>F9</t>
        </is>
      </c>
      <c r="B232" t="n">
        <v>2025</v>
      </c>
      <c r="C232" t="n">
        <v>11</v>
      </c>
      <c r="D232" t="n">
        <v>135692.3907560298</v>
      </c>
      <c r="E232" t="n">
        <v>362175</v>
      </c>
      <c r="F232" t="n">
        <v>16691</v>
      </c>
    </row>
    <row r="233">
      <c r="A233" t="inlineStr">
        <is>
          <t>F9</t>
        </is>
      </c>
      <c r="B233" t="n">
        <v>2025</v>
      </c>
      <c r="C233" t="n">
        <v>12</v>
      </c>
      <c r="D233" t="n">
        <v>168951.2700802172</v>
      </c>
      <c r="E233" t="n">
        <v>455644</v>
      </c>
      <c r="F233" t="n">
        <v>16231</v>
      </c>
    </row>
    <row r="234">
      <c r="A234" t="inlineStr">
        <is>
          <t>F9</t>
        </is>
      </c>
      <c r="B234" t="n">
        <v>2026</v>
      </c>
      <c r="C234" t="n">
        <v>1</v>
      </c>
      <c r="D234" t="n">
        <v>123308.7867308042</v>
      </c>
      <c r="E234" t="n">
        <v>354803</v>
      </c>
      <c r="F234" t="n">
        <v>14817</v>
      </c>
    </row>
    <row r="235">
      <c r="A235" t="inlineStr">
        <is>
          <t>F9</t>
        </is>
      </c>
      <c r="B235" t="n">
        <v>2026</v>
      </c>
      <c r="C235" t="n">
        <v>2</v>
      </c>
      <c r="D235" t="n">
        <v>89742.13233691014</v>
      </c>
      <c r="E235" t="n">
        <v>267326</v>
      </c>
      <c r="F235" t="n">
        <v>14826</v>
      </c>
    </row>
    <row r="236">
      <c r="A236" t="inlineStr">
        <is>
          <t>F9</t>
        </is>
      </c>
      <c r="B236" t="n">
        <v>2026</v>
      </c>
      <c r="C236" t="n">
        <v>3</v>
      </c>
      <c r="D236" t="n">
        <v>189786.8265385465</v>
      </c>
      <c r="E236" t="n">
        <v>530078</v>
      </c>
      <c r="F236" t="n">
        <v>19428</v>
      </c>
    </row>
    <row r="237">
      <c r="A237" t="inlineStr">
        <is>
          <t>F9</t>
        </is>
      </c>
      <c r="B237" t="n">
        <v>2026</v>
      </c>
      <c r="C237" t="n">
        <v>4</v>
      </c>
      <c r="D237" t="n">
        <v>145187.8153716891</v>
      </c>
      <c r="E237" t="n">
        <v>388656</v>
      </c>
      <c r="F237" t="n">
        <v>18268</v>
      </c>
    </row>
    <row r="238">
      <c r="A238" t="inlineStr">
        <is>
          <t>F9</t>
        </is>
      </c>
      <c r="B238" t="n">
        <v>2026</v>
      </c>
      <c r="C238" t="n">
        <v>5</v>
      </c>
      <c r="D238" t="n">
        <v>125979.1646351152</v>
      </c>
      <c r="E238" t="n">
        <v>345494</v>
      </c>
      <c r="F238" t="n">
        <v>18289</v>
      </c>
    </row>
    <row r="239">
      <c r="A239" t="inlineStr">
        <is>
          <t>F9</t>
        </is>
      </c>
      <c r="B239" t="n">
        <v>2026</v>
      </c>
      <c r="C239" t="n">
        <v>6</v>
      </c>
      <c r="D239" t="n">
        <v>165758.628694958</v>
      </c>
      <c r="E239" t="n">
        <v>466022</v>
      </c>
      <c r="F239" t="n">
        <v>18662</v>
      </c>
    </row>
    <row r="240">
      <c r="A240" t="inlineStr">
        <is>
          <t>F9</t>
        </is>
      </c>
      <c r="B240" t="n">
        <v>2026</v>
      </c>
      <c r="C240" t="n">
        <v>7</v>
      </c>
      <c r="D240" t="n">
        <v>231508.493484816</v>
      </c>
      <c r="E240" t="n">
        <v>615902</v>
      </c>
      <c r="F240" t="n">
        <v>19714</v>
      </c>
    </row>
    <row r="241">
      <c r="A241" t="inlineStr">
        <is>
          <t>G4</t>
        </is>
      </c>
      <c r="B241" t="n">
        <v>2023</v>
      </c>
      <c r="C241" t="n">
        <v>1</v>
      </c>
      <c r="D241" t="n">
        <v>77093.57488285628</v>
      </c>
      <c r="E241" t="n">
        <v>204471</v>
      </c>
      <c r="F241" t="n">
        <v>8478</v>
      </c>
    </row>
    <row r="242">
      <c r="A242" t="inlineStr">
        <is>
          <t>G4</t>
        </is>
      </c>
      <c r="B242" t="n">
        <v>2023</v>
      </c>
      <c r="C242" t="n">
        <v>2</v>
      </c>
      <c r="D242" t="n">
        <v>60053.5023966107</v>
      </c>
      <c r="E242" t="n">
        <v>161399</v>
      </c>
      <c r="F242" t="n">
        <v>8428</v>
      </c>
    </row>
    <row r="243">
      <c r="A243" t="inlineStr">
        <is>
          <t>G4</t>
        </is>
      </c>
      <c r="B243" t="n">
        <v>2023</v>
      </c>
      <c r="C243" t="n">
        <v>3</v>
      </c>
      <c r="D243" t="n">
        <v>138384.0960010866</v>
      </c>
      <c r="E243" t="n">
        <v>312301</v>
      </c>
      <c r="F243" t="n">
        <v>10945</v>
      </c>
    </row>
    <row r="244">
      <c r="A244" t="inlineStr">
        <is>
          <t>G4</t>
        </is>
      </c>
      <c r="B244" t="n">
        <v>2023</v>
      </c>
      <c r="C244" t="n">
        <v>4</v>
      </c>
      <c r="D244" t="n">
        <v>94853.5786328773</v>
      </c>
      <c r="E244" t="n">
        <v>266068</v>
      </c>
      <c r="F244" t="n">
        <v>10314</v>
      </c>
    </row>
    <row r="245">
      <c r="A245" t="inlineStr">
        <is>
          <t>G4</t>
        </is>
      </c>
      <c r="B245" t="n">
        <v>2023</v>
      </c>
      <c r="C245" t="n">
        <v>5</v>
      </c>
      <c r="D245" t="n">
        <v>54390.90398217391</v>
      </c>
      <c r="E245" t="n">
        <v>158185</v>
      </c>
      <c r="F245" t="n">
        <v>9382</v>
      </c>
    </row>
    <row r="246">
      <c r="A246" t="inlineStr">
        <is>
          <t>G4</t>
        </is>
      </c>
      <c r="B246" t="n">
        <v>2023</v>
      </c>
      <c r="C246" t="n">
        <v>6</v>
      </c>
      <c r="D246" t="n">
        <v>109276.3271838297</v>
      </c>
      <c r="E246" t="n">
        <v>287825</v>
      </c>
      <c r="F246" t="n">
        <v>11383</v>
      </c>
    </row>
    <row r="247">
      <c r="A247" t="inlineStr">
        <is>
          <t>G4</t>
        </is>
      </c>
      <c r="B247" t="n">
        <v>2023</v>
      </c>
      <c r="C247" t="n">
        <v>7</v>
      </c>
      <c r="D247" t="n">
        <v>140978.4072723133</v>
      </c>
      <c r="E247" t="n">
        <v>378813</v>
      </c>
      <c r="F247" t="n">
        <v>12025</v>
      </c>
    </row>
    <row r="248">
      <c r="A248" t="inlineStr">
        <is>
          <t>G4</t>
        </is>
      </c>
      <c r="B248" t="n">
        <v>2023</v>
      </c>
      <c r="C248" t="n">
        <v>8</v>
      </c>
      <c r="D248" t="n">
        <v>70275.87612312665</v>
      </c>
      <c r="E248" t="n">
        <v>190534</v>
      </c>
      <c r="F248" t="n">
        <v>8706</v>
      </c>
    </row>
    <row r="249">
      <c r="A249" t="inlineStr">
        <is>
          <t>G4</t>
        </is>
      </c>
      <c r="B249" t="n">
        <v>2023</v>
      </c>
      <c r="C249" t="n">
        <v>9</v>
      </c>
      <c r="D249" t="n">
        <v>42239.25643716566</v>
      </c>
      <c r="E249" t="n">
        <v>116555</v>
      </c>
      <c r="F249" t="n">
        <v>6855</v>
      </c>
    </row>
    <row r="250">
      <c r="A250" t="inlineStr">
        <is>
          <t>G4</t>
        </is>
      </c>
      <c r="B250" t="n">
        <v>2023</v>
      </c>
      <c r="C250" t="n">
        <v>10</v>
      </c>
      <c r="D250" t="n">
        <v>56005.70594368874</v>
      </c>
      <c r="E250" t="n">
        <v>150481</v>
      </c>
      <c r="F250" t="n">
        <v>9600</v>
      </c>
    </row>
    <row r="251">
      <c r="A251" t="inlineStr">
        <is>
          <t>G4</t>
        </is>
      </c>
      <c r="B251" t="n">
        <v>2023</v>
      </c>
      <c r="C251" t="n">
        <v>11</v>
      </c>
      <c r="D251" t="n">
        <v>51499.82291695609</v>
      </c>
      <c r="E251" t="n">
        <v>123808</v>
      </c>
      <c r="F251" t="n">
        <v>8926</v>
      </c>
    </row>
    <row r="252">
      <c r="A252" t="inlineStr">
        <is>
          <t>G4</t>
        </is>
      </c>
      <c r="B252" t="n">
        <v>2023</v>
      </c>
      <c r="C252" t="n">
        <v>12</v>
      </c>
      <c r="D252" t="n">
        <v>62347.02745975871</v>
      </c>
      <c r="E252" t="n">
        <v>158886</v>
      </c>
      <c r="F252" t="n">
        <v>9383</v>
      </c>
    </row>
    <row r="253">
      <c r="A253" t="inlineStr">
        <is>
          <t>G4</t>
        </is>
      </c>
      <c r="B253" t="n">
        <v>2024</v>
      </c>
      <c r="C253" t="n">
        <v>1</v>
      </c>
      <c r="D253" t="n">
        <v>64959.652086362</v>
      </c>
      <c r="E253" t="n">
        <v>188394</v>
      </c>
      <c r="F253" t="n">
        <v>8366</v>
      </c>
    </row>
    <row r="254">
      <c r="A254" t="inlineStr">
        <is>
          <t>G4</t>
        </is>
      </c>
      <c r="B254" t="n">
        <v>2024</v>
      </c>
      <c r="C254" t="n">
        <v>2</v>
      </c>
      <c r="D254" t="n">
        <v>50201.08792359883</v>
      </c>
      <c r="E254" t="n">
        <v>142071</v>
      </c>
      <c r="F254" t="n">
        <v>8460</v>
      </c>
    </row>
    <row r="255">
      <c r="A255" t="inlineStr">
        <is>
          <t>G4</t>
        </is>
      </c>
      <c r="B255" t="n">
        <v>2024</v>
      </c>
      <c r="C255" t="n">
        <v>3</v>
      </c>
      <c r="D255" t="n">
        <v>89696.57587858086</v>
      </c>
      <c r="E255" t="n">
        <v>235723</v>
      </c>
      <c r="F255" t="n">
        <v>10941</v>
      </c>
    </row>
    <row r="256">
      <c r="A256" t="inlineStr">
        <is>
          <t>G4</t>
        </is>
      </c>
      <c r="B256" t="n">
        <v>2024</v>
      </c>
      <c r="C256" t="n">
        <v>4</v>
      </c>
      <c r="D256" t="n">
        <v>48946.18892004785</v>
      </c>
      <c r="E256" t="n">
        <v>132905</v>
      </c>
      <c r="F256" t="n">
        <v>9215</v>
      </c>
    </row>
    <row r="257">
      <c r="A257" t="inlineStr">
        <is>
          <t>G4</t>
        </is>
      </c>
      <c r="B257" t="n">
        <v>2024</v>
      </c>
      <c r="C257" t="n">
        <v>5</v>
      </c>
      <c r="D257" t="n">
        <v>68140.78514813878</v>
      </c>
      <c r="E257" t="n">
        <v>169579</v>
      </c>
      <c r="F257" t="n">
        <v>9513</v>
      </c>
    </row>
    <row r="258">
      <c r="A258" t="inlineStr">
        <is>
          <t>G4</t>
        </is>
      </c>
      <c r="B258" t="n">
        <v>2024</v>
      </c>
      <c r="C258" t="n">
        <v>6</v>
      </c>
      <c r="D258" t="n">
        <v>112727.4791906083</v>
      </c>
      <c r="E258" t="n">
        <v>267330</v>
      </c>
      <c r="F258" t="n">
        <v>12043</v>
      </c>
    </row>
    <row r="259">
      <c r="A259" t="inlineStr">
        <is>
          <t>G4</t>
        </is>
      </c>
      <c r="B259" t="n">
        <v>2024</v>
      </c>
      <c r="C259" t="n">
        <v>7</v>
      </c>
      <c r="D259" t="n">
        <v>133750.8571044144</v>
      </c>
      <c r="E259" t="n">
        <v>338258</v>
      </c>
      <c r="F259" t="n">
        <v>12419</v>
      </c>
    </row>
    <row r="260">
      <c r="A260" t="inlineStr">
        <is>
          <t>G4</t>
        </is>
      </c>
      <c r="B260" t="n">
        <v>2024</v>
      </c>
      <c r="C260" t="n">
        <v>8</v>
      </c>
      <c r="D260" t="n">
        <v>82505.33499045952</v>
      </c>
      <c r="E260" t="n">
        <v>207057</v>
      </c>
      <c r="F260" t="n">
        <v>9016</v>
      </c>
    </row>
    <row r="261">
      <c r="A261" t="inlineStr">
        <is>
          <t>G4</t>
        </is>
      </c>
      <c r="B261" t="n">
        <v>2024</v>
      </c>
      <c r="C261" t="n">
        <v>9</v>
      </c>
      <c r="D261" t="n">
        <v>33747.35754530576</v>
      </c>
      <c r="E261" t="n">
        <v>94503</v>
      </c>
      <c r="F261" t="n">
        <v>6721</v>
      </c>
    </row>
    <row r="262">
      <c r="A262" t="inlineStr">
        <is>
          <t>G4</t>
        </is>
      </c>
      <c r="B262" t="n">
        <v>2024</v>
      </c>
      <c r="C262" t="n">
        <v>10</v>
      </c>
      <c r="D262" t="n">
        <v>40380.97028018497</v>
      </c>
      <c r="E262" t="n">
        <v>119621</v>
      </c>
      <c r="F262" t="n">
        <v>8588</v>
      </c>
    </row>
    <row r="263">
      <c r="A263" t="inlineStr">
        <is>
          <t>G4</t>
        </is>
      </c>
      <c r="B263" t="n">
        <v>2024</v>
      </c>
      <c r="C263" t="n">
        <v>11</v>
      </c>
      <c r="D263" t="n">
        <v>41637.04694422559</v>
      </c>
      <c r="E263" t="n">
        <v>108617</v>
      </c>
      <c r="F263" t="n">
        <v>8742</v>
      </c>
    </row>
    <row r="264">
      <c r="A264" t="inlineStr">
        <is>
          <t>G4</t>
        </is>
      </c>
      <c r="B264" t="n">
        <v>2024</v>
      </c>
      <c r="C264" t="n">
        <v>12</v>
      </c>
      <c r="D264" t="n">
        <v>115144.1410465638</v>
      </c>
      <c r="E264" t="n">
        <v>304083</v>
      </c>
      <c r="F264" t="n">
        <v>10858</v>
      </c>
    </row>
    <row r="265">
      <c r="A265" t="inlineStr">
        <is>
          <t>G4</t>
        </is>
      </c>
      <c r="B265" t="n">
        <v>2025</v>
      </c>
      <c r="C265" t="n">
        <v>1</v>
      </c>
      <c r="D265" t="n">
        <v>77088.06722952035</v>
      </c>
      <c r="E265" t="n">
        <v>201568</v>
      </c>
      <c r="F265" t="n">
        <v>9206</v>
      </c>
    </row>
    <row r="266">
      <c r="A266" t="inlineStr">
        <is>
          <t>G4</t>
        </is>
      </c>
      <c r="B266" t="n">
        <v>2025</v>
      </c>
      <c r="C266" t="n">
        <v>2</v>
      </c>
      <c r="D266" t="n">
        <v>90379.84628212538</v>
      </c>
      <c r="E266" t="n">
        <v>225995</v>
      </c>
      <c r="F266" t="n">
        <v>9249</v>
      </c>
    </row>
    <row r="267">
      <c r="A267" t="inlineStr">
        <is>
          <t>G4</t>
        </is>
      </c>
      <c r="B267" t="n">
        <v>2025</v>
      </c>
      <c r="C267" t="n">
        <v>3</v>
      </c>
      <c r="D267" t="n">
        <v>114303.7466164742</v>
      </c>
      <c r="E267" t="n">
        <v>265598</v>
      </c>
      <c r="F267" t="n">
        <v>13247</v>
      </c>
    </row>
    <row r="268">
      <c r="A268" t="inlineStr">
        <is>
          <t>G4</t>
        </is>
      </c>
      <c r="B268" t="n">
        <v>2025</v>
      </c>
      <c r="C268" t="n">
        <v>4</v>
      </c>
      <c r="D268" t="n">
        <v>77110.78624605929</v>
      </c>
      <c r="E268" t="n">
        <v>182112</v>
      </c>
      <c r="F268" t="n">
        <v>10894</v>
      </c>
    </row>
    <row r="269">
      <c r="A269" t="inlineStr">
        <is>
          <t>G4</t>
        </is>
      </c>
      <c r="B269" t="n">
        <v>2025</v>
      </c>
      <c r="C269" t="n">
        <v>5</v>
      </c>
      <c r="D269" t="n">
        <v>94849.02427768827</v>
      </c>
      <c r="E269" t="n">
        <v>234268</v>
      </c>
      <c r="F269" t="n">
        <v>11040</v>
      </c>
    </row>
    <row r="270">
      <c r="A270" t="inlineStr">
        <is>
          <t>G4</t>
        </is>
      </c>
      <c r="B270" t="n">
        <v>2025</v>
      </c>
      <c r="C270" t="n">
        <v>6</v>
      </c>
      <c r="D270" t="n">
        <v>161677.5960711749</v>
      </c>
      <c r="E270" t="n">
        <v>362118</v>
      </c>
      <c r="F270" t="n">
        <v>13676</v>
      </c>
    </row>
    <row r="271">
      <c r="A271" t="inlineStr">
        <is>
          <t>G4</t>
        </is>
      </c>
      <c r="B271" t="n">
        <v>2025</v>
      </c>
      <c r="C271" t="n">
        <v>7</v>
      </c>
      <c r="D271" t="n">
        <v>158722.9809170725</v>
      </c>
      <c r="E271" t="n">
        <v>395767</v>
      </c>
      <c r="F271" t="n">
        <v>13855</v>
      </c>
    </row>
    <row r="272">
      <c r="A272" t="inlineStr">
        <is>
          <t>G4</t>
        </is>
      </c>
      <c r="B272" t="n">
        <v>2025</v>
      </c>
      <c r="C272" t="n">
        <v>8</v>
      </c>
      <c r="D272" t="n">
        <v>91312.13353702659</v>
      </c>
      <c r="E272" t="n">
        <v>260875</v>
      </c>
      <c r="F272" t="n">
        <v>10461</v>
      </c>
    </row>
    <row r="273">
      <c r="A273" t="inlineStr">
        <is>
          <t>G4</t>
        </is>
      </c>
      <c r="B273" t="n">
        <v>2025</v>
      </c>
      <c r="C273" t="n">
        <v>9</v>
      </c>
      <c r="D273" t="n">
        <v>36610.81596587431</v>
      </c>
      <c r="E273" t="n">
        <v>97218</v>
      </c>
      <c r="F273" t="n">
        <v>6914</v>
      </c>
    </row>
    <row r="274">
      <c r="A274" t="inlineStr">
        <is>
          <t>G4</t>
        </is>
      </c>
      <c r="B274" t="n">
        <v>2025</v>
      </c>
      <c r="C274" t="n">
        <v>10</v>
      </c>
      <c r="D274" t="n">
        <v>73345.66806318033</v>
      </c>
      <c r="E274" t="n">
        <v>186277</v>
      </c>
      <c r="F274" t="n">
        <v>10438</v>
      </c>
    </row>
    <row r="275">
      <c r="A275" t="inlineStr">
        <is>
          <t>G4</t>
        </is>
      </c>
      <c r="B275" t="n">
        <v>2025</v>
      </c>
      <c r="C275" t="n">
        <v>11</v>
      </c>
      <c r="D275" t="n">
        <v>71884.55042926164</v>
      </c>
      <c r="E275" t="n">
        <v>181116</v>
      </c>
      <c r="F275" t="n">
        <v>9540</v>
      </c>
    </row>
    <row r="276">
      <c r="A276" t="inlineStr">
        <is>
          <t>G4</t>
        </is>
      </c>
      <c r="B276" t="n">
        <v>2025</v>
      </c>
      <c r="C276" t="n">
        <v>12</v>
      </c>
      <c r="D276" t="n">
        <v>123675.8877272533</v>
      </c>
      <c r="E276" t="n">
        <v>298412</v>
      </c>
      <c r="F276" t="n">
        <v>11372</v>
      </c>
    </row>
    <row r="277">
      <c r="A277" t="inlineStr">
        <is>
          <t>G4</t>
        </is>
      </c>
      <c r="B277" t="n">
        <v>2026</v>
      </c>
      <c r="C277" t="n">
        <v>1</v>
      </c>
      <c r="D277" t="n">
        <v>76402.26934360464</v>
      </c>
      <c r="E277" t="n">
        <v>189490</v>
      </c>
      <c r="F277" t="n">
        <v>8716</v>
      </c>
    </row>
    <row r="278">
      <c r="A278" t="inlineStr">
        <is>
          <t>G4</t>
        </is>
      </c>
      <c r="B278" t="n">
        <v>2026</v>
      </c>
      <c r="C278" t="n">
        <v>2</v>
      </c>
      <c r="D278" t="n">
        <v>65281.36284950678</v>
      </c>
      <c r="E278" t="n">
        <v>180277</v>
      </c>
      <c r="F278" t="n">
        <v>9000</v>
      </c>
    </row>
    <row r="279">
      <c r="A279" t="inlineStr">
        <is>
          <t>G4</t>
        </is>
      </c>
      <c r="B279" t="n">
        <v>2026</v>
      </c>
      <c r="C279" t="n">
        <v>3</v>
      </c>
      <c r="D279" t="n">
        <v>129751.4413100999</v>
      </c>
      <c r="E279" t="n">
        <v>339052</v>
      </c>
      <c r="F279" t="n">
        <v>12269</v>
      </c>
    </row>
    <row r="280">
      <c r="A280" t="inlineStr">
        <is>
          <t>G4</t>
        </is>
      </c>
      <c r="B280" t="n">
        <v>2026</v>
      </c>
      <c r="C280" t="n">
        <v>4</v>
      </c>
      <c r="D280" t="n">
        <v>73343.04211527438</v>
      </c>
      <c r="E280" t="n">
        <v>192483</v>
      </c>
      <c r="F280" t="n">
        <v>10288</v>
      </c>
    </row>
    <row r="281">
      <c r="A281" t="inlineStr">
        <is>
          <t>G4</t>
        </is>
      </c>
      <c r="B281" t="n">
        <v>2026</v>
      </c>
      <c r="C281" t="n">
        <v>5</v>
      </c>
      <c r="D281" t="n">
        <v>94082.19060490924</v>
      </c>
      <c r="E281" t="n">
        <v>261834</v>
      </c>
      <c r="F281" t="n">
        <v>10533</v>
      </c>
    </row>
    <row r="282">
      <c r="A282" t="inlineStr">
        <is>
          <t>G4</t>
        </is>
      </c>
      <c r="B282" t="n">
        <v>2026</v>
      </c>
      <c r="C282" t="n">
        <v>6</v>
      </c>
      <c r="D282" t="n">
        <v>163332.9533836033</v>
      </c>
      <c r="E282" t="n">
        <v>397210</v>
      </c>
      <c r="F282" t="n">
        <v>12551</v>
      </c>
    </row>
    <row r="283">
      <c r="A283" t="inlineStr">
        <is>
          <t>G4</t>
        </is>
      </c>
      <c r="B283" t="n">
        <v>2026</v>
      </c>
      <c r="C283" t="n">
        <v>7</v>
      </c>
      <c r="D283" t="n">
        <v>164745.2388799327</v>
      </c>
      <c r="E283" t="n">
        <v>399333</v>
      </c>
      <c r="F283" t="n">
        <v>13184</v>
      </c>
    </row>
    <row r="284">
      <c r="A284" t="inlineStr">
        <is>
          <t>HA</t>
        </is>
      </c>
      <c r="B284" t="n">
        <v>2023</v>
      </c>
      <c r="C284" t="n">
        <v>1</v>
      </c>
      <c r="D284" t="n">
        <v>28171.89911524206</v>
      </c>
      <c r="E284" t="n">
        <v>85243</v>
      </c>
      <c r="F284" t="n">
        <v>6616</v>
      </c>
    </row>
    <row r="285">
      <c r="A285" t="inlineStr">
        <is>
          <t>HA</t>
        </is>
      </c>
      <c r="B285" t="n">
        <v>2023</v>
      </c>
      <c r="C285" t="n">
        <v>2</v>
      </c>
      <c r="D285" t="n">
        <v>35032.69766180912</v>
      </c>
      <c r="E285" t="n">
        <v>88779</v>
      </c>
      <c r="F285" t="n">
        <v>5944</v>
      </c>
    </row>
    <row r="286">
      <c r="A286" t="inlineStr">
        <is>
          <t>HA</t>
        </is>
      </c>
      <c r="B286" t="n">
        <v>2023</v>
      </c>
      <c r="C286" t="n">
        <v>3</v>
      </c>
      <c r="D286" t="n">
        <v>61285.66814638594</v>
      </c>
      <c r="E286" t="n">
        <v>130509</v>
      </c>
      <c r="F286" t="n">
        <v>6762</v>
      </c>
    </row>
    <row r="287">
      <c r="A287" t="inlineStr">
        <is>
          <t>HA</t>
        </is>
      </c>
      <c r="B287" t="n">
        <v>2023</v>
      </c>
      <c r="C287" t="n">
        <v>4</v>
      </c>
      <c r="D287" t="n">
        <v>69291.96653016396</v>
      </c>
      <c r="E287" t="n">
        <v>140500</v>
      </c>
      <c r="F287" t="n">
        <v>6550</v>
      </c>
    </row>
    <row r="288">
      <c r="A288" t="inlineStr">
        <is>
          <t>HA</t>
        </is>
      </c>
      <c r="B288" t="n">
        <v>2023</v>
      </c>
      <c r="C288" t="n">
        <v>5</v>
      </c>
      <c r="D288" t="n">
        <v>83874.3974267585</v>
      </c>
      <c r="E288" t="n">
        <v>161952</v>
      </c>
      <c r="F288" t="n">
        <v>6712</v>
      </c>
    </row>
    <row r="289">
      <c r="A289" t="inlineStr">
        <is>
          <t>HA</t>
        </is>
      </c>
      <c r="B289" t="n">
        <v>2023</v>
      </c>
      <c r="C289" t="n">
        <v>6</v>
      </c>
      <c r="D289" t="n">
        <v>30301.84911013227</v>
      </c>
      <c r="E289" t="n">
        <v>69656</v>
      </c>
      <c r="F289" t="n">
        <v>6742</v>
      </c>
    </row>
    <row r="290">
      <c r="A290" t="inlineStr">
        <is>
          <t>HA</t>
        </is>
      </c>
      <c r="B290" t="n">
        <v>2023</v>
      </c>
      <c r="C290" t="n">
        <v>7</v>
      </c>
      <c r="D290" t="n">
        <v>23652.44201597619</v>
      </c>
      <c r="E290" t="n">
        <v>78424</v>
      </c>
      <c r="F290" t="n">
        <v>7022</v>
      </c>
    </row>
    <row r="291">
      <c r="A291" t="inlineStr">
        <is>
          <t>HA</t>
        </is>
      </c>
      <c r="B291" t="n">
        <v>2023</v>
      </c>
      <c r="C291" t="n">
        <v>8</v>
      </c>
      <c r="D291" t="n">
        <v>22006.12623188124</v>
      </c>
      <c r="E291" t="n">
        <v>68126</v>
      </c>
      <c r="F291" t="n">
        <v>6905</v>
      </c>
    </row>
    <row r="292">
      <c r="A292" t="inlineStr">
        <is>
          <t>HA</t>
        </is>
      </c>
      <c r="B292" t="n">
        <v>2023</v>
      </c>
      <c r="C292" t="n">
        <v>9</v>
      </c>
      <c r="D292" t="n">
        <v>13707.76561619611</v>
      </c>
      <c r="E292" t="n">
        <v>43811</v>
      </c>
      <c r="F292" t="n">
        <v>6646</v>
      </c>
    </row>
    <row r="293">
      <c r="A293" t="inlineStr">
        <is>
          <t>HA</t>
        </is>
      </c>
      <c r="B293" t="n">
        <v>2023</v>
      </c>
      <c r="C293" t="n">
        <v>10</v>
      </c>
      <c r="D293" t="n">
        <v>32726.98557736166</v>
      </c>
      <c r="E293" t="n">
        <v>80886</v>
      </c>
      <c r="F293" t="n">
        <v>6796</v>
      </c>
    </row>
    <row r="294">
      <c r="A294" t="inlineStr">
        <is>
          <t>HA</t>
        </is>
      </c>
      <c r="B294" t="n">
        <v>2023</v>
      </c>
      <c r="C294" t="n">
        <v>11</v>
      </c>
      <c r="D294" t="n">
        <v>18927.49653395427</v>
      </c>
      <c r="E294" t="n">
        <v>52173</v>
      </c>
      <c r="F294" t="n">
        <v>6550</v>
      </c>
    </row>
    <row r="295">
      <c r="A295" t="inlineStr">
        <is>
          <t>HA</t>
        </is>
      </c>
      <c r="B295" t="n">
        <v>2023</v>
      </c>
      <c r="C295" t="n">
        <v>12</v>
      </c>
      <c r="D295" t="n">
        <v>20156.77520038808</v>
      </c>
      <c r="E295" t="n">
        <v>55481</v>
      </c>
      <c r="F295" t="n">
        <v>6597</v>
      </c>
    </row>
    <row r="296">
      <c r="A296" t="inlineStr">
        <is>
          <t>HA</t>
        </is>
      </c>
      <c r="B296" t="n">
        <v>2024</v>
      </c>
      <c r="C296" t="n">
        <v>1</v>
      </c>
      <c r="D296" t="n">
        <v>37441.50953309401</v>
      </c>
      <c r="E296" t="n">
        <v>90983</v>
      </c>
      <c r="F296" t="n">
        <v>6475</v>
      </c>
    </row>
    <row r="297">
      <c r="A297" t="inlineStr">
        <is>
          <t>HA</t>
        </is>
      </c>
      <c r="B297" t="n">
        <v>2024</v>
      </c>
      <c r="C297" t="n">
        <v>2</v>
      </c>
      <c r="D297" t="n">
        <v>26313.96718132013</v>
      </c>
      <c r="E297" t="n">
        <v>72475</v>
      </c>
      <c r="F297" t="n">
        <v>5992</v>
      </c>
    </row>
    <row r="298">
      <c r="A298" t="inlineStr">
        <is>
          <t>HA</t>
        </is>
      </c>
      <c r="B298" t="n">
        <v>2024</v>
      </c>
      <c r="C298" t="n">
        <v>3</v>
      </c>
      <c r="D298" t="n">
        <v>16372.88457141748</v>
      </c>
      <c r="E298" t="n">
        <v>41996</v>
      </c>
      <c r="F298" t="n">
        <v>6414</v>
      </c>
    </row>
    <row r="299">
      <c r="A299" t="inlineStr">
        <is>
          <t>HA</t>
        </is>
      </c>
      <c r="B299" t="n">
        <v>2024</v>
      </c>
      <c r="C299" t="n">
        <v>4</v>
      </c>
      <c r="D299" t="n">
        <v>25347.32691297176</v>
      </c>
      <c r="E299" t="n">
        <v>57265</v>
      </c>
      <c r="F299" t="n">
        <v>6285</v>
      </c>
    </row>
    <row r="300">
      <c r="A300" t="inlineStr">
        <is>
          <t>HA</t>
        </is>
      </c>
      <c r="B300" t="n">
        <v>2024</v>
      </c>
      <c r="C300" t="n">
        <v>5</v>
      </c>
      <c r="D300" t="n">
        <v>34706.0091469228</v>
      </c>
      <c r="E300" t="n">
        <v>72863</v>
      </c>
      <c r="F300" t="n">
        <v>6478</v>
      </c>
    </row>
    <row r="301">
      <c r="A301" t="inlineStr">
        <is>
          <t>HA</t>
        </is>
      </c>
      <c r="B301" t="n">
        <v>2024</v>
      </c>
      <c r="C301" t="n">
        <v>6</v>
      </c>
      <c r="D301" t="n">
        <v>21029.73180179166</v>
      </c>
      <c r="E301" t="n">
        <v>53777</v>
      </c>
      <c r="F301" t="n">
        <v>6547</v>
      </c>
    </row>
    <row r="302">
      <c r="A302" t="inlineStr">
        <is>
          <t>HA</t>
        </is>
      </c>
      <c r="B302" t="n">
        <v>2024</v>
      </c>
      <c r="C302" t="n">
        <v>7</v>
      </c>
      <c r="D302" t="n">
        <v>21088.10376024061</v>
      </c>
      <c r="E302" t="n">
        <v>62973</v>
      </c>
      <c r="F302" t="n">
        <v>6756</v>
      </c>
    </row>
    <row r="303">
      <c r="A303" t="inlineStr">
        <is>
          <t>HA</t>
        </is>
      </c>
      <c r="B303" t="n">
        <v>2024</v>
      </c>
      <c r="C303" t="n">
        <v>8</v>
      </c>
      <c r="D303" t="n">
        <v>15620.45534069402</v>
      </c>
      <c r="E303" t="n">
        <v>49937</v>
      </c>
      <c r="F303" t="n">
        <v>6720</v>
      </c>
    </row>
    <row r="304">
      <c r="A304" t="inlineStr">
        <is>
          <t>HA</t>
        </is>
      </c>
      <c r="B304" t="n">
        <v>2024</v>
      </c>
      <c r="C304" t="n">
        <v>9</v>
      </c>
      <c r="D304" t="n">
        <v>10288.99405413796</v>
      </c>
      <c r="E304" t="n">
        <v>36620</v>
      </c>
      <c r="F304" t="n">
        <v>6417</v>
      </c>
    </row>
    <row r="305">
      <c r="A305" t="inlineStr">
        <is>
          <t>HA</t>
        </is>
      </c>
      <c r="B305" t="n">
        <v>2024</v>
      </c>
      <c r="C305" t="n">
        <v>10</v>
      </c>
      <c r="D305" t="n">
        <v>16885.55193596585</v>
      </c>
      <c r="E305" t="n">
        <v>45242</v>
      </c>
      <c r="F305" t="n">
        <v>6503</v>
      </c>
    </row>
    <row r="306">
      <c r="A306" t="inlineStr">
        <is>
          <t>HA</t>
        </is>
      </c>
      <c r="B306" t="n">
        <v>2024</v>
      </c>
      <c r="C306" t="n">
        <v>11</v>
      </c>
      <c r="D306" t="n">
        <v>13166.0873461531</v>
      </c>
      <c r="E306" t="n">
        <v>36513</v>
      </c>
      <c r="F306" t="n">
        <v>6393</v>
      </c>
    </row>
    <row r="307">
      <c r="A307" t="inlineStr">
        <is>
          <t>HA</t>
        </is>
      </c>
      <c r="B307" t="n">
        <v>2024</v>
      </c>
      <c r="C307" t="n">
        <v>12</v>
      </c>
      <c r="D307" t="n">
        <v>19809.44322558778</v>
      </c>
      <c r="E307" t="n">
        <v>60635</v>
      </c>
      <c r="F307" t="n">
        <v>6653</v>
      </c>
    </row>
    <row r="308">
      <c r="A308" t="inlineStr">
        <is>
          <t>HA</t>
        </is>
      </c>
      <c r="B308" t="n">
        <v>2025</v>
      </c>
      <c r="C308" t="n">
        <v>1</v>
      </c>
      <c r="D308" t="n">
        <v>30806.11070182723</v>
      </c>
      <c r="E308" t="n">
        <v>74277</v>
      </c>
      <c r="F308" t="n">
        <v>6540</v>
      </c>
    </row>
    <row r="309">
      <c r="A309" t="inlineStr">
        <is>
          <t>HA</t>
        </is>
      </c>
      <c r="B309" t="n">
        <v>2025</v>
      </c>
      <c r="C309" t="n">
        <v>2</v>
      </c>
      <c r="D309" t="n">
        <v>23675.13966829015</v>
      </c>
      <c r="E309" t="n">
        <v>59690</v>
      </c>
      <c r="F309" t="n">
        <v>5983</v>
      </c>
    </row>
    <row r="310">
      <c r="A310" t="inlineStr">
        <is>
          <t>HA</t>
        </is>
      </c>
      <c r="B310" t="n">
        <v>2025</v>
      </c>
      <c r="C310" t="n">
        <v>3</v>
      </c>
      <c r="D310" t="n">
        <v>28760.7104375667</v>
      </c>
      <c r="E310" t="n">
        <v>68214</v>
      </c>
      <c r="F310" t="n">
        <v>6689</v>
      </c>
    </row>
    <row r="311">
      <c r="A311" t="inlineStr">
        <is>
          <t>HA</t>
        </is>
      </c>
      <c r="B311" t="n">
        <v>2025</v>
      </c>
      <c r="C311" t="n">
        <v>4</v>
      </c>
      <c r="D311" t="n">
        <v>19459.03547078037</v>
      </c>
      <c r="E311" t="n">
        <v>59850</v>
      </c>
      <c r="F311" t="n">
        <v>6495</v>
      </c>
    </row>
    <row r="312">
      <c r="A312" t="inlineStr">
        <is>
          <t>HA</t>
        </is>
      </c>
      <c r="B312" t="n">
        <v>2025</v>
      </c>
      <c r="C312" t="n">
        <v>5</v>
      </c>
      <c r="D312" t="n">
        <v>13686.00165637592</v>
      </c>
      <c r="E312" t="n">
        <v>54103</v>
      </c>
      <c r="F312" t="n">
        <v>6958</v>
      </c>
    </row>
    <row r="313">
      <c r="A313" t="inlineStr">
        <is>
          <t>HA</t>
        </is>
      </c>
      <c r="B313" t="n">
        <v>2025</v>
      </c>
      <c r="C313" t="n">
        <v>6</v>
      </c>
      <c r="D313" t="n">
        <v>21916.6116369587</v>
      </c>
      <c r="E313" t="n">
        <v>75731</v>
      </c>
      <c r="F313" t="n">
        <v>6821</v>
      </c>
    </row>
    <row r="314">
      <c r="A314" t="inlineStr">
        <is>
          <t>HA</t>
        </is>
      </c>
      <c r="B314" t="n">
        <v>2025</v>
      </c>
      <c r="C314" t="n">
        <v>7</v>
      </c>
      <c r="D314" t="n">
        <v>26277.21478764593</v>
      </c>
      <c r="E314" t="n">
        <v>87151</v>
      </c>
      <c r="F314" t="n">
        <v>7010</v>
      </c>
    </row>
    <row r="315">
      <c r="A315" t="inlineStr">
        <is>
          <t>HA</t>
        </is>
      </c>
      <c r="B315" t="n">
        <v>2025</v>
      </c>
      <c r="C315" t="n">
        <v>8</v>
      </c>
      <c r="D315" t="n">
        <v>14495.73114114032</v>
      </c>
      <c r="E315" t="n">
        <v>61007</v>
      </c>
      <c r="F315" t="n">
        <v>6924</v>
      </c>
    </row>
    <row r="316">
      <c r="A316" t="inlineStr">
        <is>
          <t>HA</t>
        </is>
      </c>
      <c r="B316" t="n">
        <v>2025</v>
      </c>
      <c r="C316" t="n">
        <v>9</v>
      </c>
      <c r="D316" t="n">
        <v>11959.40996014359</v>
      </c>
      <c r="E316" t="n">
        <v>48200</v>
      </c>
      <c r="F316" t="n">
        <v>6412</v>
      </c>
    </row>
    <row r="317">
      <c r="A317" t="inlineStr">
        <is>
          <t>HA</t>
        </is>
      </c>
      <c r="B317" t="n">
        <v>2025</v>
      </c>
      <c r="C317" t="n">
        <v>10</v>
      </c>
      <c r="D317" t="n">
        <v>23184.88645117557</v>
      </c>
      <c r="E317" t="n">
        <v>84424</v>
      </c>
      <c r="F317" t="n">
        <v>6562</v>
      </c>
    </row>
    <row r="318">
      <c r="A318" t="inlineStr">
        <is>
          <t>HA</t>
        </is>
      </c>
      <c r="B318" t="n">
        <v>2025</v>
      </c>
      <c r="C318" t="n">
        <v>11</v>
      </c>
      <c r="D318" t="n">
        <v>19160.85835925099</v>
      </c>
      <c r="E318" t="n">
        <v>69505</v>
      </c>
      <c r="F318" t="n">
        <v>6294</v>
      </c>
    </row>
    <row r="319">
      <c r="A319" t="inlineStr">
        <is>
          <t>HA</t>
        </is>
      </c>
      <c r="B319" t="n">
        <v>2025</v>
      </c>
      <c r="C319" t="n">
        <v>12</v>
      </c>
      <c r="D319" t="n">
        <v>41899.69314894084</v>
      </c>
      <c r="E319" t="n">
        <v>122593</v>
      </c>
      <c r="F319" t="n">
        <v>6647</v>
      </c>
    </row>
    <row r="320">
      <c r="A320" t="inlineStr">
        <is>
          <t>MQ</t>
        </is>
      </c>
      <c r="B320" t="n">
        <v>2023</v>
      </c>
      <c r="C320" t="n">
        <v>1</v>
      </c>
      <c r="D320" t="n">
        <v>97787.04121225057</v>
      </c>
      <c r="E320" t="n">
        <v>265903</v>
      </c>
      <c r="F320" t="n">
        <v>18325</v>
      </c>
    </row>
    <row r="321">
      <c r="A321" t="inlineStr">
        <is>
          <t>MQ</t>
        </is>
      </c>
      <c r="B321" t="n">
        <v>2023</v>
      </c>
      <c r="C321" t="n">
        <v>2</v>
      </c>
      <c r="D321" t="n">
        <v>64410.31128072183</v>
      </c>
      <c r="E321" t="n">
        <v>176557</v>
      </c>
      <c r="F321" t="n">
        <v>16770</v>
      </c>
    </row>
    <row r="322">
      <c r="A322" t="inlineStr">
        <is>
          <t>MQ</t>
        </is>
      </c>
      <c r="B322" t="n">
        <v>2023</v>
      </c>
      <c r="C322" t="n">
        <v>3</v>
      </c>
      <c r="D322" t="n">
        <v>117860.0032200511</v>
      </c>
      <c r="E322" t="n">
        <v>278189</v>
      </c>
      <c r="F322" t="n">
        <v>19041</v>
      </c>
    </row>
    <row r="323">
      <c r="A323" t="inlineStr">
        <is>
          <t>MQ</t>
        </is>
      </c>
      <c r="B323" t="n">
        <v>2023</v>
      </c>
      <c r="C323" t="n">
        <v>4</v>
      </c>
      <c r="D323" t="n">
        <v>100227.235621901</v>
      </c>
      <c r="E323" t="n">
        <v>245036</v>
      </c>
      <c r="F323" t="n">
        <v>17733</v>
      </c>
    </row>
    <row r="324">
      <c r="A324" t="inlineStr">
        <is>
          <t>MQ</t>
        </is>
      </c>
      <c r="B324" t="n">
        <v>2023</v>
      </c>
      <c r="C324" t="n">
        <v>5</v>
      </c>
      <c r="D324" t="n">
        <v>61775.28627816693</v>
      </c>
      <c r="E324" t="n">
        <v>167493</v>
      </c>
      <c r="F324" t="n">
        <v>17562</v>
      </c>
    </row>
    <row r="325">
      <c r="A325" t="inlineStr">
        <is>
          <t>MQ</t>
        </is>
      </c>
      <c r="B325" t="n">
        <v>2023</v>
      </c>
      <c r="C325" t="n">
        <v>6</v>
      </c>
      <c r="D325" t="n">
        <v>107264.1761442903</v>
      </c>
      <c r="E325" t="n">
        <v>256091</v>
      </c>
      <c r="F325" t="n">
        <v>17027</v>
      </c>
    </row>
    <row r="326">
      <c r="A326" t="inlineStr">
        <is>
          <t>MQ</t>
        </is>
      </c>
      <c r="B326" t="n">
        <v>2023</v>
      </c>
      <c r="C326" t="n">
        <v>7</v>
      </c>
      <c r="D326" t="n">
        <v>126991.1913487662</v>
      </c>
      <c r="E326" t="n">
        <v>276887</v>
      </c>
      <c r="F326" t="n">
        <v>19348</v>
      </c>
    </row>
    <row r="327">
      <c r="A327" t="inlineStr">
        <is>
          <t>MQ</t>
        </is>
      </c>
      <c r="B327" t="n">
        <v>2023</v>
      </c>
      <c r="C327" t="n">
        <v>8</v>
      </c>
      <c r="D327" t="n">
        <v>87981.99935833897</v>
      </c>
      <c r="E327" t="n">
        <v>214517</v>
      </c>
      <c r="F327" t="n">
        <v>20179</v>
      </c>
    </row>
    <row r="328">
      <c r="A328" t="inlineStr">
        <is>
          <t>MQ</t>
        </is>
      </c>
      <c r="B328" t="n">
        <v>2023</v>
      </c>
      <c r="C328" t="n">
        <v>9</v>
      </c>
      <c r="D328" t="n">
        <v>77588.14584702952</v>
      </c>
      <c r="E328" t="n">
        <v>201393</v>
      </c>
      <c r="F328" t="n">
        <v>18665</v>
      </c>
    </row>
    <row r="329">
      <c r="A329" t="inlineStr">
        <is>
          <t>MQ</t>
        </is>
      </c>
      <c r="B329" t="n">
        <v>2023</v>
      </c>
      <c r="C329" t="n">
        <v>10</v>
      </c>
      <c r="D329" t="n">
        <v>77170.89152249927</v>
      </c>
      <c r="E329" t="n">
        <v>200061</v>
      </c>
      <c r="F329" t="n">
        <v>20035</v>
      </c>
    </row>
    <row r="330">
      <c r="A330" t="inlineStr">
        <is>
          <t>MQ</t>
        </is>
      </c>
      <c r="B330" t="n">
        <v>2023</v>
      </c>
      <c r="C330" t="n">
        <v>11</v>
      </c>
      <c r="D330" t="n">
        <v>68809.01983853044</v>
      </c>
      <c r="E330" t="n">
        <v>176178</v>
      </c>
      <c r="F330" t="n">
        <v>19673</v>
      </c>
    </row>
    <row r="331">
      <c r="A331" t="inlineStr">
        <is>
          <t>MQ</t>
        </is>
      </c>
      <c r="B331" t="n">
        <v>2023</v>
      </c>
      <c r="C331" t="n">
        <v>12</v>
      </c>
      <c r="D331" t="n">
        <v>66324.83655775686</v>
      </c>
      <c r="E331" t="n">
        <v>171910</v>
      </c>
      <c r="F331" t="n">
        <v>20337</v>
      </c>
    </row>
    <row r="332">
      <c r="A332" t="inlineStr">
        <is>
          <t>MQ</t>
        </is>
      </c>
      <c r="B332" t="n">
        <v>2024</v>
      </c>
      <c r="C332" t="n">
        <v>1</v>
      </c>
      <c r="D332" t="n">
        <v>167005.4429284952</v>
      </c>
      <c r="E332" t="n">
        <v>399158</v>
      </c>
      <c r="F332" t="n">
        <v>19740</v>
      </c>
    </row>
    <row r="333">
      <c r="A333" t="inlineStr">
        <is>
          <t>MQ</t>
        </is>
      </c>
      <c r="B333" t="n">
        <v>2024</v>
      </c>
      <c r="C333" t="n">
        <v>2</v>
      </c>
      <c r="D333" t="n">
        <v>51771.75647876847</v>
      </c>
      <c r="E333" t="n">
        <v>155267</v>
      </c>
      <c r="F333" t="n">
        <v>20045</v>
      </c>
    </row>
    <row r="334">
      <c r="A334" t="inlineStr">
        <is>
          <t>MQ</t>
        </is>
      </c>
      <c r="B334" t="n">
        <v>2024</v>
      </c>
      <c r="C334" t="n">
        <v>3</v>
      </c>
      <c r="D334" t="n">
        <v>119393.3492919116</v>
      </c>
      <c r="E334" t="n">
        <v>288548</v>
      </c>
      <c r="F334" t="n">
        <v>22386</v>
      </c>
    </row>
    <row r="335">
      <c r="A335" t="inlineStr">
        <is>
          <t>MQ</t>
        </is>
      </c>
      <c r="B335" t="n">
        <v>2024</v>
      </c>
      <c r="C335" t="n">
        <v>4</v>
      </c>
      <c r="D335" t="n">
        <v>126245.2825471362</v>
      </c>
      <c r="E335" t="n">
        <v>302324</v>
      </c>
      <c r="F335" t="n">
        <v>22752</v>
      </c>
    </row>
    <row r="336">
      <c r="A336" t="inlineStr">
        <is>
          <t>MQ</t>
        </is>
      </c>
      <c r="B336" t="n">
        <v>2024</v>
      </c>
      <c r="C336" t="n">
        <v>5</v>
      </c>
      <c r="D336" t="n">
        <v>267481.2192647844</v>
      </c>
      <c r="E336" t="n">
        <v>634477</v>
      </c>
      <c r="F336" t="n">
        <v>23574</v>
      </c>
    </row>
    <row r="337">
      <c r="A337" t="inlineStr">
        <is>
          <t>MQ</t>
        </is>
      </c>
      <c r="B337" t="n">
        <v>2024</v>
      </c>
      <c r="C337" t="n">
        <v>6</v>
      </c>
      <c r="D337" t="n">
        <v>235953.4013074609</v>
      </c>
      <c r="E337" t="n">
        <v>491375</v>
      </c>
      <c r="F337" t="n">
        <v>24645</v>
      </c>
    </row>
    <row r="338">
      <c r="A338" t="inlineStr">
        <is>
          <t>MQ</t>
        </is>
      </c>
      <c r="B338" t="n">
        <v>2024</v>
      </c>
      <c r="C338" t="n">
        <v>7</v>
      </c>
      <c r="D338" t="n">
        <v>230270.5871191488</v>
      </c>
      <c r="E338" t="n">
        <v>507101</v>
      </c>
      <c r="F338" t="n">
        <v>25769</v>
      </c>
    </row>
    <row r="339">
      <c r="A339" t="inlineStr">
        <is>
          <t>MQ</t>
        </is>
      </c>
      <c r="B339" t="n">
        <v>2024</v>
      </c>
      <c r="C339" t="n">
        <v>8</v>
      </c>
      <c r="D339" t="n">
        <v>140452.576631933</v>
      </c>
      <c r="E339" t="n">
        <v>331259</v>
      </c>
      <c r="F339" t="n">
        <v>25679</v>
      </c>
    </row>
    <row r="340">
      <c r="A340" t="inlineStr">
        <is>
          <t>MQ</t>
        </is>
      </c>
      <c r="B340" t="n">
        <v>2024</v>
      </c>
      <c r="C340" t="n">
        <v>9</v>
      </c>
      <c r="D340" t="n">
        <v>77358.61957426991</v>
      </c>
      <c r="E340" t="n">
        <v>209745</v>
      </c>
      <c r="F340" t="n">
        <v>23438</v>
      </c>
    </row>
    <row r="341">
      <c r="A341" t="inlineStr">
        <is>
          <t>MQ</t>
        </is>
      </c>
      <c r="B341" t="n">
        <v>2024</v>
      </c>
      <c r="C341" t="n">
        <v>10</v>
      </c>
      <c r="D341" t="n">
        <v>51489.31226695126</v>
      </c>
      <c r="E341" t="n">
        <v>148569</v>
      </c>
      <c r="F341" t="n">
        <v>23488</v>
      </c>
    </row>
    <row r="342">
      <c r="A342" t="inlineStr">
        <is>
          <t>MQ</t>
        </is>
      </c>
      <c r="B342" t="n">
        <v>2024</v>
      </c>
      <c r="C342" t="n">
        <v>11</v>
      </c>
      <c r="D342" t="n">
        <v>68049.3208649138</v>
      </c>
      <c r="E342" t="n">
        <v>190131</v>
      </c>
      <c r="F342" t="n">
        <v>21596</v>
      </c>
    </row>
    <row r="343">
      <c r="A343" t="inlineStr">
        <is>
          <t>MQ</t>
        </is>
      </c>
      <c r="B343" t="n">
        <v>2024</v>
      </c>
      <c r="C343" t="n">
        <v>12</v>
      </c>
      <c r="D343" t="n">
        <v>129969.9232622489</v>
      </c>
      <c r="E343" t="n">
        <v>338606</v>
      </c>
      <c r="F343" t="n">
        <v>22205</v>
      </c>
    </row>
    <row r="344">
      <c r="A344" t="inlineStr">
        <is>
          <t>MQ</t>
        </is>
      </c>
      <c r="B344" t="n">
        <v>2025</v>
      </c>
      <c r="C344" t="n">
        <v>1</v>
      </c>
      <c r="D344" t="n">
        <v>100053.1783496264</v>
      </c>
      <c r="E344" t="n">
        <v>298231</v>
      </c>
      <c r="F344" t="n">
        <v>20831</v>
      </c>
    </row>
    <row r="345">
      <c r="A345" t="inlineStr">
        <is>
          <t>MQ</t>
        </is>
      </c>
      <c r="B345" t="n">
        <v>2025</v>
      </c>
      <c r="C345" t="n">
        <v>2</v>
      </c>
      <c r="D345" t="n">
        <v>85033.9119004948</v>
      </c>
      <c r="E345" t="n">
        <v>252132</v>
      </c>
      <c r="F345" t="n">
        <v>19609</v>
      </c>
    </row>
    <row r="346">
      <c r="A346" t="inlineStr">
        <is>
          <t>MQ</t>
        </is>
      </c>
      <c r="B346" t="n">
        <v>2025</v>
      </c>
      <c r="C346" t="n">
        <v>3</v>
      </c>
      <c r="D346" t="n">
        <v>116012.8866840529</v>
      </c>
      <c r="E346" t="n">
        <v>317620</v>
      </c>
      <c r="F346" t="n">
        <v>23294</v>
      </c>
    </row>
    <row r="347">
      <c r="A347" t="inlineStr">
        <is>
          <t>MQ</t>
        </is>
      </c>
      <c r="B347" t="n">
        <v>2025</v>
      </c>
      <c r="C347" t="n">
        <v>4</v>
      </c>
      <c r="D347" t="n">
        <v>132858.1903530416</v>
      </c>
      <c r="E347" t="n">
        <v>344375</v>
      </c>
      <c r="F347" t="n">
        <v>23682</v>
      </c>
    </row>
    <row r="348">
      <c r="A348" t="inlineStr">
        <is>
          <t>MQ</t>
        </is>
      </c>
      <c r="B348" t="n">
        <v>2025</v>
      </c>
      <c r="C348" t="n">
        <v>5</v>
      </c>
      <c r="D348" t="n">
        <v>140813.3336596617</v>
      </c>
      <c r="E348" t="n">
        <v>371620</v>
      </c>
      <c r="F348" t="n">
        <v>24874</v>
      </c>
    </row>
    <row r="349">
      <c r="A349" t="inlineStr">
        <is>
          <t>MQ</t>
        </is>
      </c>
      <c r="B349" t="n">
        <v>2025</v>
      </c>
      <c r="C349" t="n">
        <v>6</v>
      </c>
      <c r="D349" t="n">
        <v>204389.0659082177</v>
      </c>
      <c r="E349" t="n">
        <v>467332</v>
      </c>
      <c r="F349" t="n">
        <v>26293</v>
      </c>
    </row>
    <row r="350">
      <c r="A350" t="inlineStr">
        <is>
          <t>MQ</t>
        </is>
      </c>
      <c r="B350" t="n">
        <v>2025</v>
      </c>
      <c r="C350" t="n">
        <v>7</v>
      </c>
      <c r="D350" t="n">
        <v>213379.4912867242</v>
      </c>
      <c r="E350" t="n">
        <v>468786</v>
      </c>
      <c r="F350" t="n">
        <v>26752</v>
      </c>
    </row>
    <row r="351">
      <c r="A351" t="inlineStr">
        <is>
          <t>MQ</t>
        </is>
      </c>
      <c r="B351" t="n">
        <v>2025</v>
      </c>
      <c r="C351" t="n">
        <v>8</v>
      </c>
      <c r="D351" t="n">
        <v>167441.1760420943</v>
      </c>
      <c r="E351" t="n">
        <v>378708</v>
      </c>
      <c r="F351" t="n">
        <v>26066</v>
      </c>
    </row>
    <row r="352">
      <c r="A352" t="inlineStr">
        <is>
          <t>MQ</t>
        </is>
      </c>
      <c r="B352" t="n">
        <v>2025</v>
      </c>
      <c r="C352" t="n">
        <v>9</v>
      </c>
      <c r="D352" t="n">
        <v>105240.0744776948</v>
      </c>
      <c r="E352" t="n">
        <v>267916</v>
      </c>
      <c r="F352" t="n">
        <v>24914</v>
      </c>
    </row>
    <row r="353">
      <c r="A353" t="inlineStr">
        <is>
          <t>MQ</t>
        </is>
      </c>
      <c r="B353" t="n">
        <v>2025</v>
      </c>
      <c r="C353" t="n">
        <v>10</v>
      </c>
      <c r="D353" t="n">
        <v>136058.1145730345</v>
      </c>
      <c r="E353" t="n">
        <v>309738</v>
      </c>
      <c r="F353" t="n">
        <v>27169</v>
      </c>
    </row>
    <row r="354">
      <c r="A354" t="inlineStr">
        <is>
          <t>MQ</t>
        </is>
      </c>
      <c r="B354" t="n">
        <v>2025</v>
      </c>
      <c r="C354" t="n">
        <v>11</v>
      </c>
      <c r="D354" t="n">
        <v>115293.6558268879</v>
      </c>
      <c r="E354" t="n">
        <v>305648</v>
      </c>
      <c r="F354" t="n">
        <v>23420</v>
      </c>
    </row>
    <row r="355">
      <c r="A355" t="inlineStr">
        <is>
          <t>MQ</t>
        </is>
      </c>
      <c r="B355" t="n">
        <v>2025</v>
      </c>
      <c r="C355" t="n">
        <v>12</v>
      </c>
      <c r="D355" t="n">
        <v>181042.0478377542</v>
      </c>
      <c r="E355" t="n">
        <v>405184</v>
      </c>
      <c r="F355" t="n">
        <v>24931</v>
      </c>
    </row>
    <row r="356">
      <c r="A356" t="inlineStr">
        <is>
          <t>MQ</t>
        </is>
      </c>
      <c r="B356" t="n">
        <v>2026</v>
      </c>
      <c r="C356" t="n">
        <v>1</v>
      </c>
      <c r="D356" t="n">
        <v>128492.3936862326</v>
      </c>
      <c r="E356" t="n">
        <v>341875</v>
      </c>
      <c r="F356" t="n">
        <v>22926</v>
      </c>
    </row>
    <row r="357">
      <c r="A357" t="inlineStr">
        <is>
          <t>MQ</t>
        </is>
      </c>
      <c r="B357" t="n">
        <v>2026</v>
      </c>
      <c r="C357" t="n">
        <v>2</v>
      </c>
      <c r="D357" t="n">
        <v>97567.91939104168</v>
      </c>
      <c r="E357" t="n">
        <v>242551</v>
      </c>
      <c r="F357" t="n">
        <v>22513</v>
      </c>
    </row>
    <row r="358">
      <c r="A358" t="inlineStr">
        <is>
          <t>MQ</t>
        </is>
      </c>
      <c r="B358" t="n">
        <v>2026</v>
      </c>
      <c r="C358" t="n">
        <v>3</v>
      </c>
      <c r="D358" t="n">
        <v>162960.8242477539</v>
      </c>
      <c r="E358" t="n">
        <v>407100</v>
      </c>
      <c r="F358" t="n">
        <v>25792</v>
      </c>
    </row>
    <row r="359">
      <c r="A359" t="inlineStr">
        <is>
          <t>MQ</t>
        </is>
      </c>
      <c r="B359" t="n">
        <v>2026</v>
      </c>
      <c r="C359" t="n">
        <v>4</v>
      </c>
      <c r="D359" t="n">
        <v>160057.7746799133</v>
      </c>
      <c r="E359" t="n">
        <v>374754</v>
      </c>
      <c r="F359" t="n">
        <v>26502</v>
      </c>
    </row>
    <row r="360">
      <c r="A360" t="inlineStr">
        <is>
          <t>MQ</t>
        </is>
      </c>
      <c r="B360" t="n">
        <v>2026</v>
      </c>
      <c r="C360" t="n">
        <v>5</v>
      </c>
      <c r="D360" t="n">
        <v>146490.3708890139</v>
      </c>
      <c r="E360" t="n">
        <v>366570</v>
      </c>
      <c r="F360" t="n">
        <v>28212</v>
      </c>
    </row>
    <row r="361">
      <c r="A361" t="inlineStr">
        <is>
          <t>MQ</t>
        </is>
      </c>
      <c r="B361" t="n">
        <v>2026</v>
      </c>
      <c r="C361" t="n">
        <v>6</v>
      </c>
      <c r="D361" t="n">
        <v>208601.1114099543</v>
      </c>
      <c r="E361" t="n">
        <v>485754</v>
      </c>
      <c r="F361" t="n">
        <v>28100</v>
      </c>
    </row>
    <row r="362">
      <c r="A362" t="inlineStr">
        <is>
          <t>MQ</t>
        </is>
      </c>
      <c r="B362" t="n">
        <v>2026</v>
      </c>
      <c r="C362" t="n">
        <v>7</v>
      </c>
      <c r="D362" t="n">
        <v>180106.7219300022</v>
      </c>
      <c r="E362" t="n">
        <v>447885</v>
      </c>
      <c r="F362" t="n">
        <v>29270</v>
      </c>
    </row>
    <row r="363">
      <c r="A363" t="inlineStr">
        <is>
          <t>NK</t>
        </is>
      </c>
      <c r="B363" t="n">
        <v>2023</v>
      </c>
      <c r="C363" t="n">
        <v>1</v>
      </c>
      <c r="D363" t="n">
        <v>175919.6218745577</v>
      </c>
      <c r="E363" t="n">
        <v>456353</v>
      </c>
      <c r="F363" t="n">
        <v>21348</v>
      </c>
    </row>
    <row r="364">
      <c r="A364" t="inlineStr">
        <is>
          <t>NK</t>
        </is>
      </c>
      <c r="B364" t="n">
        <v>2023</v>
      </c>
      <c r="C364" t="n">
        <v>2</v>
      </c>
      <c r="D364" t="n">
        <v>132290.4048625852</v>
      </c>
      <c r="E364" t="n">
        <v>365725</v>
      </c>
      <c r="F364" t="n">
        <v>19895</v>
      </c>
    </row>
    <row r="365">
      <c r="A365" t="inlineStr">
        <is>
          <t>NK</t>
        </is>
      </c>
      <c r="B365" t="n">
        <v>2023</v>
      </c>
      <c r="C365" t="n">
        <v>3</v>
      </c>
      <c r="D365" t="n">
        <v>234151.9688779275</v>
      </c>
      <c r="E365" t="n">
        <v>583126</v>
      </c>
      <c r="F365" t="n">
        <v>22197</v>
      </c>
    </row>
    <row r="366">
      <c r="A366" t="inlineStr">
        <is>
          <t>NK</t>
        </is>
      </c>
      <c r="B366" t="n">
        <v>2023</v>
      </c>
      <c r="C366" t="n">
        <v>4</v>
      </c>
      <c r="D366" t="n">
        <v>249921.9468530512</v>
      </c>
      <c r="E366" t="n">
        <v>634750</v>
      </c>
      <c r="F366" t="n">
        <v>21887</v>
      </c>
    </row>
    <row r="367">
      <c r="A367" t="inlineStr">
        <is>
          <t>NK</t>
        </is>
      </c>
      <c r="B367" t="n">
        <v>2023</v>
      </c>
      <c r="C367" t="n">
        <v>5</v>
      </c>
      <c r="D367" t="n">
        <v>138061.2891084246</v>
      </c>
      <c r="E367" t="n">
        <v>392210</v>
      </c>
      <c r="F367" t="n">
        <v>22279</v>
      </c>
    </row>
    <row r="368">
      <c r="A368" t="inlineStr">
        <is>
          <t>NK</t>
        </is>
      </c>
      <c r="B368" t="n">
        <v>2023</v>
      </c>
      <c r="C368" t="n">
        <v>6</v>
      </c>
      <c r="D368" t="n">
        <v>258548.5945097505</v>
      </c>
      <c r="E368" t="n">
        <v>678974</v>
      </c>
      <c r="F368" t="n">
        <v>20353</v>
      </c>
    </row>
    <row r="369">
      <c r="A369" t="inlineStr">
        <is>
          <t>NK</t>
        </is>
      </c>
      <c r="B369" t="n">
        <v>2023</v>
      </c>
      <c r="C369" t="n">
        <v>7</v>
      </c>
      <c r="D369" t="n">
        <v>235300.5143190711</v>
      </c>
      <c r="E369" t="n">
        <v>647981</v>
      </c>
      <c r="F369" t="n">
        <v>20650</v>
      </c>
    </row>
    <row r="370">
      <c r="A370" t="inlineStr">
        <is>
          <t>NK</t>
        </is>
      </c>
      <c r="B370" t="n">
        <v>2023</v>
      </c>
      <c r="C370" t="n">
        <v>8</v>
      </c>
      <c r="D370" t="n">
        <v>200786.5561444972</v>
      </c>
      <c r="E370" t="n">
        <v>554976</v>
      </c>
      <c r="F370" t="n">
        <v>21149</v>
      </c>
    </row>
    <row r="371">
      <c r="A371" t="inlineStr">
        <is>
          <t>NK</t>
        </is>
      </c>
      <c r="B371" t="n">
        <v>2023</v>
      </c>
      <c r="C371" t="n">
        <v>9</v>
      </c>
      <c r="D371" t="n">
        <v>135406.2232381876</v>
      </c>
      <c r="E371" t="n">
        <v>357295</v>
      </c>
      <c r="F371" t="n">
        <v>20643</v>
      </c>
    </row>
    <row r="372">
      <c r="A372" t="inlineStr">
        <is>
          <t>NK</t>
        </is>
      </c>
      <c r="B372" t="n">
        <v>2023</v>
      </c>
      <c r="C372" t="n">
        <v>10</v>
      </c>
      <c r="D372" t="n">
        <v>108260.9876257818</v>
      </c>
      <c r="E372" t="n">
        <v>286022</v>
      </c>
      <c r="F372" t="n">
        <v>22909</v>
      </c>
    </row>
    <row r="373">
      <c r="A373" t="inlineStr">
        <is>
          <t>NK</t>
        </is>
      </c>
      <c r="B373" t="n">
        <v>2023</v>
      </c>
      <c r="C373" t="n">
        <v>11</v>
      </c>
      <c r="D373" t="n">
        <v>148594.5233995277</v>
      </c>
      <c r="E373" t="n">
        <v>367218</v>
      </c>
      <c r="F373" t="n">
        <v>23067</v>
      </c>
    </row>
    <row r="374">
      <c r="A374" t="inlineStr">
        <is>
          <t>NK</t>
        </is>
      </c>
      <c r="B374" t="n">
        <v>2023</v>
      </c>
      <c r="C374" t="n">
        <v>12</v>
      </c>
      <c r="D374" t="n">
        <v>152894.2508001422</v>
      </c>
      <c r="E374" t="n">
        <v>358437</v>
      </c>
      <c r="F374" t="n">
        <v>22461</v>
      </c>
    </row>
    <row r="375">
      <c r="A375" t="inlineStr">
        <is>
          <t>NK</t>
        </is>
      </c>
      <c r="B375" t="n">
        <v>2024</v>
      </c>
      <c r="C375" t="n">
        <v>1</v>
      </c>
      <c r="D375" t="n">
        <v>135642.3507913715</v>
      </c>
      <c r="E375" t="n">
        <v>365453</v>
      </c>
      <c r="F375" t="n">
        <v>20081</v>
      </c>
    </row>
    <row r="376">
      <c r="A376" t="inlineStr">
        <is>
          <t>NK</t>
        </is>
      </c>
      <c r="B376" t="n">
        <v>2024</v>
      </c>
      <c r="C376" t="n">
        <v>2</v>
      </c>
      <c r="D376" t="n">
        <v>115218.9121808479</v>
      </c>
      <c r="E376" t="n">
        <v>283453</v>
      </c>
      <c r="F376" t="n">
        <v>19765</v>
      </c>
    </row>
    <row r="377">
      <c r="A377" t="inlineStr">
        <is>
          <t>NK</t>
        </is>
      </c>
      <c r="B377" t="n">
        <v>2024</v>
      </c>
      <c r="C377" t="n">
        <v>3</v>
      </c>
      <c r="D377" t="n">
        <v>198211.1748252384</v>
      </c>
      <c r="E377" t="n">
        <v>465153</v>
      </c>
      <c r="F377" t="n">
        <v>22459</v>
      </c>
    </row>
    <row r="378">
      <c r="A378" t="inlineStr">
        <is>
          <t>NK</t>
        </is>
      </c>
      <c r="B378" t="n">
        <v>2024</v>
      </c>
      <c r="C378" t="n">
        <v>4</v>
      </c>
      <c r="D378" t="n">
        <v>103309.0594323857</v>
      </c>
      <c r="E378" t="n">
        <v>272007</v>
      </c>
      <c r="F378" t="n">
        <v>21723</v>
      </c>
    </row>
    <row r="379">
      <c r="A379" t="inlineStr">
        <is>
          <t>NK</t>
        </is>
      </c>
      <c r="B379" t="n">
        <v>2024</v>
      </c>
      <c r="C379" t="n">
        <v>5</v>
      </c>
      <c r="D379" t="n">
        <v>197499.336843983</v>
      </c>
      <c r="E379" t="n">
        <v>488566</v>
      </c>
      <c r="F379" t="n">
        <v>22951</v>
      </c>
    </row>
    <row r="380">
      <c r="A380" t="inlineStr">
        <is>
          <t>NK</t>
        </is>
      </c>
      <c r="B380" t="n">
        <v>2024</v>
      </c>
      <c r="C380" t="n">
        <v>6</v>
      </c>
      <c r="D380" t="n">
        <v>197527.0526784514</v>
      </c>
      <c r="E380" t="n">
        <v>468356</v>
      </c>
      <c r="F380" t="n">
        <v>22770</v>
      </c>
    </row>
    <row r="381">
      <c r="A381" t="inlineStr">
        <is>
          <t>NK</t>
        </is>
      </c>
      <c r="B381" t="n">
        <v>2024</v>
      </c>
      <c r="C381" t="n">
        <v>7</v>
      </c>
      <c r="D381" t="n">
        <v>291691.8808164029</v>
      </c>
      <c r="E381" t="n">
        <v>676452</v>
      </c>
      <c r="F381" t="n">
        <v>23436</v>
      </c>
    </row>
    <row r="382">
      <c r="A382" t="inlineStr">
        <is>
          <t>NK</t>
        </is>
      </c>
      <c r="B382" t="n">
        <v>2024</v>
      </c>
      <c r="C382" t="n">
        <v>8</v>
      </c>
      <c r="D382" t="n">
        <v>238071.0983013744</v>
      </c>
      <c r="E382" t="n">
        <v>568088</v>
      </c>
      <c r="F382" t="n">
        <v>23634</v>
      </c>
    </row>
    <row r="383">
      <c r="A383" t="inlineStr">
        <is>
          <t>NK</t>
        </is>
      </c>
      <c r="B383" t="n">
        <v>2024</v>
      </c>
      <c r="C383" t="n">
        <v>9</v>
      </c>
      <c r="D383" t="n">
        <v>92286.48380567248</v>
      </c>
      <c r="E383" t="n">
        <v>242777</v>
      </c>
      <c r="F383" t="n">
        <v>20147</v>
      </c>
    </row>
    <row r="384">
      <c r="A384" t="inlineStr">
        <is>
          <t>NK</t>
        </is>
      </c>
      <c r="B384" t="n">
        <v>2024</v>
      </c>
      <c r="C384" t="n">
        <v>10</v>
      </c>
      <c r="D384" t="n">
        <v>85350.4775247372</v>
      </c>
      <c r="E384" t="n">
        <v>211212</v>
      </c>
      <c r="F384" t="n">
        <v>20733</v>
      </c>
    </row>
    <row r="385">
      <c r="A385" t="inlineStr">
        <is>
          <t>NK</t>
        </is>
      </c>
      <c r="B385" t="n">
        <v>2024</v>
      </c>
      <c r="C385" t="n">
        <v>11</v>
      </c>
      <c r="D385" t="n">
        <v>67183.80387925355</v>
      </c>
      <c r="E385" t="n">
        <v>187064</v>
      </c>
      <c r="F385" t="n">
        <v>19391</v>
      </c>
    </row>
    <row r="386">
      <c r="A386" t="inlineStr">
        <is>
          <t>NK</t>
        </is>
      </c>
      <c r="B386" t="n">
        <v>2024</v>
      </c>
      <c r="C386" t="n">
        <v>12</v>
      </c>
      <c r="D386" t="n">
        <v>110819.4806425923</v>
      </c>
      <c r="E386" t="n">
        <v>301735</v>
      </c>
      <c r="F386" t="n">
        <v>18543</v>
      </c>
    </row>
    <row r="387">
      <c r="A387" t="inlineStr">
        <is>
          <t>NK</t>
        </is>
      </c>
      <c r="B387" t="n">
        <v>2025</v>
      </c>
      <c r="C387" t="n">
        <v>1</v>
      </c>
      <c r="D387" t="n">
        <v>61128.76532859865</v>
      </c>
      <c r="E387" t="n">
        <v>194630</v>
      </c>
      <c r="F387" t="n">
        <v>16946</v>
      </c>
    </row>
    <row r="388">
      <c r="A388" t="inlineStr">
        <is>
          <t>NK</t>
        </is>
      </c>
      <c r="B388" t="n">
        <v>2025</v>
      </c>
      <c r="C388" t="n">
        <v>2</v>
      </c>
      <c r="D388" t="n">
        <v>79806.27861171367</v>
      </c>
      <c r="E388" t="n">
        <v>224016</v>
      </c>
      <c r="F388" t="n">
        <v>16041</v>
      </c>
    </row>
    <row r="389">
      <c r="A389" t="inlineStr">
        <is>
          <t>NK</t>
        </is>
      </c>
      <c r="B389" t="n">
        <v>2025</v>
      </c>
      <c r="C389" t="n">
        <v>3</v>
      </c>
      <c r="D389" t="n">
        <v>114085.0470011965</v>
      </c>
      <c r="E389" t="n">
        <v>300660</v>
      </c>
      <c r="F389" t="n">
        <v>19577</v>
      </c>
    </row>
    <row r="390">
      <c r="A390" t="inlineStr">
        <is>
          <t>NK</t>
        </is>
      </c>
      <c r="B390" t="n">
        <v>2025</v>
      </c>
      <c r="C390" t="n">
        <v>4</v>
      </c>
      <c r="D390" t="n">
        <v>89131.36099823417</v>
      </c>
      <c r="E390" t="n">
        <v>243374</v>
      </c>
      <c r="F390" t="n">
        <v>18195</v>
      </c>
    </row>
    <row r="391">
      <c r="A391" t="inlineStr">
        <is>
          <t>NK</t>
        </is>
      </c>
      <c r="B391" t="n">
        <v>2025</v>
      </c>
      <c r="C391" t="n">
        <v>5</v>
      </c>
      <c r="D391" t="n">
        <v>131234.6475187736</v>
      </c>
      <c r="E391" t="n">
        <v>357164</v>
      </c>
      <c r="F391" t="n">
        <v>17481</v>
      </c>
    </row>
    <row r="392">
      <c r="A392" t="inlineStr">
        <is>
          <t>NK</t>
        </is>
      </c>
      <c r="B392" t="n">
        <v>2025</v>
      </c>
      <c r="C392" t="n">
        <v>6</v>
      </c>
      <c r="D392" t="n">
        <v>113165.8840984185</v>
      </c>
      <c r="E392" t="n">
        <v>336453</v>
      </c>
      <c r="F392" t="n">
        <v>17329</v>
      </c>
    </row>
    <row r="393">
      <c r="A393" t="inlineStr">
        <is>
          <t>NK</t>
        </is>
      </c>
      <c r="B393" t="n">
        <v>2025</v>
      </c>
      <c r="C393" t="n">
        <v>7</v>
      </c>
      <c r="D393" t="n">
        <v>109363.1123129782</v>
      </c>
      <c r="E393" t="n">
        <v>345438</v>
      </c>
      <c r="F393" t="n">
        <v>16924</v>
      </c>
    </row>
    <row r="394">
      <c r="A394" t="inlineStr">
        <is>
          <t>NK</t>
        </is>
      </c>
      <c r="B394" t="n">
        <v>2025</v>
      </c>
      <c r="C394" t="n">
        <v>8</v>
      </c>
      <c r="D394" t="n">
        <v>100393.4037456744</v>
      </c>
      <c r="E394" t="n">
        <v>296549</v>
      </c>
      <c r="F394" t="n">
        <v>16999</v>
      </c>
    </row>
    <row r="395">
      <c r="A395" t="inlineStr">
        <is>
          <t>NK</t>
        </is>
      </c>
      <c r="B395" t="n">
        <v>2025</v>
      </c>
      <c r="C395" t="n">
        <v>9</v>
      </c>
      <c r="D395" t="n">
        <v>63131.59393954914</v>
      </c>
      <c r="E395" t="n">
        <v>196356</v>
      </c>
      <c r="F395" t="n">
        <v>14884</v>
      </c>
    </row>
    <row r="396">
      <c r="A396" t="inlineStr">
        <is>
          <t>NK</t>
        </is>
      </c>
      <c r="B396" t="n">
        <v>2025</v>
      </c>
      <c r="C396" t="n">
        <v>10</v>
      </c>
      <c r="D396" t="n">
        <v>58966.03407576725</v>
      </c>
      <c r="E396" t="n">
        <v>200763</v>
      </c>
      <c r="F396" t="n">
        <v>13958</v>
      </c>
    </row>
    <row r="397">
      <c r="A397" t="inlineStr">
        <is>
          <t>NK</t>
        </is>
      </c>
      <c r="B397" t="n">
        <v>2025</v>
      </c>
      <c r="C397" t="n">
        <v>11</v>
      </c>
      <c r="D397" t="n">
        <v>72717.57026779208</v>
      </c>
      <c r="E397" t="n">
        <v>200321</v>
      </c>
      <c r="F397" t="n">
        <v>11513</v>
      </c>
    </row>
    <row r="398">
      <c r="A398" t="inlineStr">
        <is>
          <t>NK</t>
        </is>
      </c>
      <c r="B398" t="n">
        <v>2025</v>
      </c>
      <c r="C398" t="n">
        <v>12</v>
      </c>
      <c r="D398" t="n">
        <v>118572.2232476827</v>
      </c>
      <c r="E398" t="n">
        <v>308456</v>
      </c>
      <c r="F398" t="n">
        <v>11344</v>
      </c>
    </row>
    <row r="399">
      <c r="A399" t="inlineStr">
        <is>
          <t>NK</t>
        </is>
      </c>
      <c r="B399" t="n">
        <v>2026</v>
      </c>
      <c r="C399" t="n">
        <v>1</v>
      </c>
      <c r="D399" t="n">
        <v>79719.73846527598</v>
      </c>
      <c r="E399" t="n">
        <v>219948</v>
      </c>
      <c r="F399" t="n">
        <v>11047</v>
      </c>
    </row>
    <row r="400">
      <c r="A400" t="inlineStr">
        <is>
          <t>NK</t>
        </is>
      </c>
      <c r="B400" t="n">
        <v>2026</v>
      </c>
      <c r="C400" t="n">
        <v>2</v>
      </c>
      <c r="D400" t="n">
        <v>92549.03597451565</v>
      </c>
      <c r="E400" t="n">
        <v>253525</v>
      </c>
      <c r="F400" t="n">
        <v>10579</v>
      </c>
    </row>
    <row r="401">
      <c r="A401" t="inlineStr">
        <is>
          <t>NK</t>
        </is>
      </c>
      <c r="B401" t="n">
        <v>2026</v>
      </c>
      <c r="C401" t="n">
        <v>3</v>
      </c>
      <c r="D401" t="n">
        <v>151902.8507592638</v>
      </c>
      <c r="E401" t="n">
        <v>438947</v>
      </c>
      <c r="F401" t="n">
        <v>11575</v>
      </c>
    </row>
    <row r="402">
      <c r="A402" t="inlineStr">
        <is>
          <t>NK</t>
        </is>
      </c>
      <c r="B402" t="n">
        <v>2026</v>
      </c>
      <c r="C402" t="n">
        <v>4</v>
      </c>
      <c r="D402" t="n">
        <v>80544.06592720799</v>
      </c>
      <c r="E402" t="n">
        <v>253035</v>
      </c>
      <c r="F402" t="n">
        <v>10096</v>
      </c>
    </row>
    <row r="403">
      <c r="A403" t="inlineStr">
        <is>
          <t>NK</t>
        </is>
      </c>
      <c r="B403" t="n">
        <v>2026</v>
      </c>
      <c r="C403" t="n">
        <v>5</v>
      </c>
      <c r="D403" t="n">
        <v>2643.044059247759</v>
      </c>
      <c r="E403" t="n">
        <v>6973</v>
      </c>
      <c r="F403" t="n">
        <v>304</v>
      </c>
    </row>
    <row r="404">
      <c r="A404" t="inlineStr">
        <is>
          <t>OH</t>
        </is>
      </c>
      <c r="B404" t="n">
        <v>2023</v>
      </c>
      <c r="C404" t="n">
        <v>1</v>
      </c>
      <c r="D404" t="n">
        <v>61782.62221687525</v>
      </c>
      <c r="E404" t="n">
        <v>172680</v>
      </c>
      <c r="F404" t="n">
        <v>15165</v>
      </c>
    </row>
    <row r="405">
      <c r="A405" t="inlineStr">
        <is>
          <t>OH</t>
        </is>
      </c>
      <c r="B405" t="n">
        <v>2023</v>
      </c>
      <c r="C405" t="n">
        <v>2</v>
      </c>
      <c r="D405" t="n">
        <v>34609.06124567769</v>
      </c>
      <c r="E405" t="n">
        <v>124943</v>
      </c>
      <c r="F405" t="n">
        <v>13971</v>
      </c>
    </row>
    <row r="406">
      <c r="A406" t="inlineStr">
        <is>
          <t>OH</t>
        </is>
      </c>
      <c r="B406" t="n">
        <v>2023</v>
      </c>
      <c r="C406" t="n">
        <v>3</v>
      </c>
      <c r="D406" t="n">
        <v>58511.30092418744</v>
      </c>
      <c r="E406" t="n">
        <v>182872</v>
      </c>
      <c r="F406" t="n">
        <v>16249</v>
      </c>
    </row>
    <row r="407">
      <c r="A407" t="inlineStr">
        <is>
          <t>OH</t>
        </is>
      </c>
      <c r="B407" t="n">
        <v>2023</v>
      </c>
      <c r="C407" t="n">
        <v>4</v>
      </c>
      <c r="D407" t="n">
        <v>67889.8392003622</v>
      </c>
      <c r="E407" t="n">
        <v>187546</v>
      </c>
      <c r="F407" t="n">
        <v>15843</v>
      </c>
    </row>
    <row r="408">
      <c r="A408" t="inlineStr">
        <is>
          <t>OH</t>
        </is>
      </c>
      <c r="B408" t="n">
        <v>2023</v>
      </c>
      <c r="C408" t="n">
        <v>5</v>
      </c>
      <c r="D408" t="n">
        <v>44063.42582527085</v>
      </c>
      <c r="E408" t="n">
        <v>134660</v>
      </c>
      <c r="F408" t="n">
        <v>15971</v>
      </c>
    </row>
    <row r="409">
      <c r="A409" t="inlineStr">
        <is>
          <t>OH</t>
        </is>
      </c>
      <c r="B409" t="n">
        <v>2023</v>
      </c>
      <c r="C409" t="n">
        <v>6</v>
      </c>
      <c r="D409" t="n">
        <v>130628.9200611882</v>
      </c>
      <c r="E409" t="n">
        <v>338789</v>
      </c>
      <c r="F409" t="n">
        <v>16418</v>
      </c>
    </row>
    <row r="410">
      <c r="A410" t="inlineStr">
        <is>
          <t>OH</t>
        </is>
      </c>
      <c r="B410" t="n">
        <v>2023</v>
      </c>
      <c r="C410" t="n">
        <v>7</v>
      </c>
      <c r="D410" t="n">
        <v>152323.7365665276</v>
      </c>
      <c r="E410" t="n">
        <v>412789</v>
      </c>
      <c r="F410" t="n">
        <v>16309</v>
      </c>
    </row>
    <row r="411">
      <c r="A411" t="inlineStr">
        <is>
          <t>OH</t>
        </is>
      </c>
      <c r="B411" t="n">
        <v>2023</v>
      </c>
      <c r="C411" t="n">
        <v>8</v>
      </c>
      <c r="D411" t="n">
        <v>95742.09936855857</v>
      </c>
      <c r="E411" t="n">
        <v>250918</v>
      </c>
      <c r="F411" t="n">
        <v>16398</v>
      </c>
    </row>
    <row r="412">
      <c r="A412" t="inlineStr">
        <is>
          <t>OH</t>
        </is>
      </c>
      <c r="B412" t="n">
        <v>2023</v>
      </c>
      <c r="C412" t="n">
        <v>9</v>
      </c>
      <c r="D412" t="n">
        <v>70195.46482269008</v>
      </c>
      <c r="E412" t="n">
        <v>213203</v>
      </c>
      <c r="F412" t="n">
        <v>15907</v>
      </c>
    </row>
    <row r="413">
      <c r="A413" t="inlineStr">
        <is>
          <t>OH</t>
        </is>
      </c>
      <c r="B413" t="n">
        <v>2023</v>
      </c>
      <c r="C413" t="n">
        <v>10</v>
      </c>
      <c r="D413" t="n">
        <v>57751.56185523106</v>
      </c>
      <c r="E413" t="n">
        <v>181722</v>
      </c>
      <c r="F413" t="n">
        <v>16712</v>
      </c>
    </row>
    <row r="414">
      <c r="A414" t="inlineStr">
        <is>
          <t>OH</t>
        </is>
      </c>
      <c r="B414" t="n">
        <v>2023</v>
      </c>
      <c r="C414" t="n">
        <v>11</v>
      </c>
      <c r="D414" t="n">
        <v>58465.74172105688</v>
      </c>
      <c r="E414" t="n">
        <v>150850</v>
      </c>
      <c r="F414" t="n">
        <v>16101</v>
      </c>
    </row>
    <row r="415">
      <c r="A415" t="inlineStr">
        <is>
          <t>OH</t>
        </is>
      </c>
      <c r="B415" t="n">
        <v>2023</v>
      </c>
      <c r="C415" t="n">
        <v>12</v>
      </c>
      <c r="D415" t="n">
        <v>61211.9432861809</v>
      </c>
      <c r="E415" t="n">
        <v>187871</v>
      </c>
      <c r="F415" t="n">
        <v>16028</v>
      </c>
    </row>
    <row r="416">
      <c r="A416" t="inlineStr">
        <is>
          <t>OH</t>
        </is>
      </c>
      <c r="B416" t="n">
        <v>2024</v>
      </c>
      <c r="C416" t="n">
        <v>1</v>
      </c>
      <c r="D416" t="n">
        <v>148658.9463945409</v>
      </c>
      <c r="E416" t="n">
        <v>377095</v>
      </c>
      <c r="F416" t="n">
        <v>15539</v>
      </c>
    </row>
    <row r="417">
      <c r="A417" t="inlineStr">
        <is>
          <t>OH</t>
        </is>
      </c>
      <c r="B417" t="n">
        <v>2024</v>
      </c>
      <c r="C417" t="n">
        <v>2</v>
      </c>
      <c r="D417" t="n">
        <v>52081.1588366741</v>
      </c>
      <c r="E417" t="n">
        <v>140340</v>
      </c>
      <c r="F417" t="n">
        <v>15606</v>
      </c>
    </row>
    <row r="418">
      <c r="A418" t="inlineStr">
        <is>
          <t>OH</t>
        </is>
      </c>
      <c r="B418" t="n">
        <v>2024</v>
      </c>
      <c r="C418" t="n">
        <v>3</v>
      </c>
      <c r="D418" t="n">
        <v>82998.34784942272</v>
      </c>
      <c r="E418" t="n">
        <v>219842</v>
      </c>
      <c r="F418" t="n">
        <v>17276</v>
      </c>
    </row>
    <row r="419">
      <c r="A419" t="inlineStr">
        <is>
          <t>OH</t>
        </is>
      </c>
      <c r="B419" t="n">
        <v>2024</v>
      </c>
      <c r="C419" t="n">
        <v>4</v>
      </c>
      <c r="D419" t="n">
        <v>125860.9278773131</v>
      </c>
      <c r="E419" t="n">
        <v>341489</v>
      </c>
      <c r="F419" t="n">
        <v>18427</v>
      </c>
    </row>
    <row r="420">
      <c r="A420" t="inlineStr">
        <is>
          <t>OH</t>
        </is>
      </c>
      <c r="B420" t="n">
        <v>2024</v>
      </c>
      <c r="C420" t="n">
        <v>5</v>
      </c>
      <c r="D420" t="n">
        <v>180452.9447476601</v>
      </c>
      <c r="E420" t="n">
        <v>449371</v>
      </c>
      <c r="F420" t="n">
        <v>18579</v>
      </c>
    </row>
    <row r="421">
      <c r="A421" t="inlineStr">
        <is>
          <t>OH</t>
        </is>
      </c>
      <c r="B421" t="n">
        <v>2024</v>
      </c>
      <c r="C421" t="n">
        <v>6</v>
      </c>
      <c r="D421" t="n">
        <v>114382.16204723</v>
      </c>
      <c r="E421" t="n">
        <v>298313</v>
      </c>
      <c r="F421" t="n">
        <v>18268</v>
      </c>
    </row>
    <row r="422">
      <c r="A422" t="inlineStr">
        <is>
          <t>OH</t>
        </is>
      </c>
      <c r="B422" t="n">
        <v>2024</v>
      </c>
      <c r="C422" t="n">
        <v>7</v>
      </c>
      <c r="D422" t="n">
        <v>280804.8691078296</v>
      </c>
      <c r="E422" t="n">
        <v>668108</v>
      </c>
      <c r="F422" t="n">
        <v>19217</v>
      </c>
    </row>
    <row r="423">
      <c r="A423" t="inlineStr">
        <is>
          <t>OH</t>
        </is>
      </c>
      <c r="B423" t="n">
        <v>2024</v>
      </c>
      <c r="C423" t="n">
        <v>8</v>
      </c>
      <c r="D423" t="n">
        <v>175473.173185602</v>
      </c>
      <c r="E423" t="n">
        <v>469016</v>
      </c>
      <c r="F423" t="n">
        <v>20040</v>
      </c>
    </row>
    <row r="424">
      <c r="A424" t="inlineStr">
        <is>
          <t>OH</t>
        </is>
      </c>
      <c r="B424" t="n">
        <v>2024</v>
      </c>
      <c r="C424" t="n">
        <v>9</v>
      </c>
      <c r="D424" t="n">
        <v>143255.3601974063</v>
      </c>
      <c r="E424" t="n">
        <v>375806</v>
      </c>
      <c r="F424" t="n">
        <v>19480</v>
      </c>
    </row>
    <row r="425">
      <c r="A425" t="inlineStr">
        <is>
          <t>OH</t>
        </is>
      </c>
      <c r="B425" t="n">
        <v>2024</v>
      </c>
      <c r="C425" t="n">
        <v>10</v>
      </c>
      <c r="D425" t="n">
        <v>83525.22272495714</v>
      </c>
      <c r="E425" t="n">
        <v>256326</v>
      </c>
      <c r="F425" t="n">
        <v>21016</v>
      </c>
    </row>
    <row r="426">
      <c r="A426" t="inlineStr">
        <is>
          <t>OH</t>
        </is>
      </c>
      <c r="B426" t="n">
        <v>2024</v>
      </c>
      <c r="C426" t="n">
        <v>11</v>
      </c>
      <c r="D426" t="n">
        <v>68408.33011403252</v>
      </c>
      <c r="E426" t="n">
        <v>188943</v>
      </c>
      <c r="F426" t="n">
        <v>19608</v>
      </c>
    </row>
    <row r="427">
      <c r="A427" t="inlineStr">
        <is>
          <t>OH</t>
        </is>
      </c>
      <c r="B427" t="n">
        <v>2024</v>
      </c>
      <c r="C427" t="n">
        <v>12</v>
      </c>
      <c r="D427" t="n">
        <v>208776.6135452022</v>
      </c>
      <c r="E427" t="n">
        <v>505598</v>
      </c>
      <c r="F427" t="n">
        <v>20617</v>
      </c>
    </row>
    <row r="428">
      <c r="A428" t="inlineStr">
        <is>
          <t>OH</t>
        </is>
      </c>
      <c r="B428" t="n">
        <v>2025</v>
      </c>
      <c r="C428" t="n">
        <v>1</v>
      </c>
      <c r="D428" t="n">
        <v>171654.2519337925</v>
      </c>
      <c r="E428" t="n">
        <v>447786</v>
      </c>
      <c r="F428" t="n">
        <v>19151</v>
      </c>
    </row>
    <row r="429">
      <c r="A429" t="inlineStr">
        <is>
          <t>OH</t>
        </is>
      </c>
      <c r="B429" t="n">
        <v>2025</v>
      </c>
      <c r="C429" t="n">
        <v>2</v>
      </c>
      <c r="D429" t="n">
        <v>247239.7547581772</v>
      </c>
      <c r="E429" t="n">
        <v>599483</v>
      </c>
      <c r="F429" t="n">
        <v>17465</v>
      </c>
    </row>
    <row r="430">
      <c r="A430" t="inlineStr">
        <is>
          <t>OH</t>
        </is>
      </c>
      <c r="B430" t="n">
        <v>2025</v>
      </c>
      <c r="C430" t="n">
        <v>3</v>
      </c>
      <c r="D430" t="n">
        <v>182375.5421663724</v>
      </c>
      <c r="E430" t="n">
        <v>482153</v>
      </c>
      <c r="F430" t="n">
        <v>21042</v>
      </c>
    </row>
    <row r="431">
      <c r="A431" t="inlineStr">
        <is>
          <t>OH</t>
        </is>
      </c>
      <c r="B431" t="n">
        <v>2025</v>
      </c>
      <c r="C431" t="n">
        <v>4</v>
      </c>
      <c r="D431" t="n">
        <v>190379.6553896187</v>
      </c>
      <c r="E431" t="n">
        <v>460596</v>
      </c>
      <c r="F431" t="n">
        <v>20818</v>
      </c>
    </row>
    <row r="432">
      <c r="A432" t="inlineStr">
        <is>
          <t>OH</t>
        </is>
      </c>
      <c r="B432" t="n">
        <v>2025</v>
      </c>
      <c r="C432" t="n">
        <v>5</v>
      </c>
      <c r="D432" t="n">
        <v>235598.3505300087</v>
      </c>
      <c r="E432" t="n">
        <v>597193</v>
      </c>
      <c r="F432" t="n">
        <v>21070</v>
      </c>
    </row>
    <row r="433">
      <c r="A433" t="inlineStr">
        <is>
          <t>OH</t>
        </is>
      </c>
      <c r="B433" t="n">
        <v>2025</v>
      </c>
      <c r="C433" t="n">
        <v>6</v>
      </c>
      <c r="D433" t="n">
        <v>280877.0267253969</v>
      </c>
      <c r="E433" t="n">
        <v>727491</v>
      </c>
      <c r="F433" t="n">
        <v>19625</v>
      </c>
    </row>
    <row r="434">
      <c r="A434" t="inlineStr">
        <is>
          <t>OH</t>
        </is>
      </c>
      <c r="B434" t="n">
        <v>2025</v>
      </c>
      <c r="C434" t="n">
        <v>7</v>
      </c>
      <c r="D434" t="n">
        <v>245664.6131174282</v>
      </c>
      <c r="E434" t="n">
        <v>671932</v>
      </c>
      <c r="F434" t="n">
        <v>19614</v>
      </c>
    </row>
    <row r="435">
      <c r="A435" t="inlineStr">
        <is>
          <t>OH</t>
        </is>
      </c>
      <c r="B435" t="n">
        <v>2025</v>
      </c>
      <c r="C435" t="n">
        <v>8</v>
      </c>
      <c r="D435" t="n">
        <v>172536.3424715112</v>
      </c>
      <c r="E435" t="n">
        <v>450193</v>
      </c>
      <c r="F435" t="n">
        <v>19849</v>
      </c>
    </row>
    <row r="436">
      <c r="A436" t="inlineStr">
        <is>
          <t>OH</t>
        </is>
      </c>
      <c r="B436" t="n">
        <v>2025</v>
      </c>
      <c r="C436" t="n">
        <v>9</v>
      </c>
      <c r="D436" t="n">
        <v>100864.0310790983</v>
      </c>
      <c r="E436" t="n">
        <v>266512</v>
      </c>
      <c r="F436" t="n">
        <v>19023</v>
      </c>
    </row>
    <row r="437">
      <c r="A437" t="inlineStr">
        <is>
          <t>OH</t>
        </is>
      </c>
      <c r="B437" t="n">
        <v>2025</v>
      </c>
      <c r="C437" t="n">
        <v>10</v>
      </c>
      <c r="D437" t="n">
        <v>116686.7289547945</v>
      </c>
      <c r="E437" t="n">
        <v>295907</v>
      </c>
      <c r="F437" t="n">
        <v>20297</v>
      </c>
    </row>
    <row r="438">
      <c r="A438" t="inlineStr">
        <is>
          <t>OH</t>
        </is>
      </c>
      <c r="B438" t="n">
        <v>2025</v>
      </c>
      <c r="C438" t="n">
        <v>11</v>
      </c>
      <c r="D438" t="n">
        <v>179321.88272964</v>
      </c>
      <c r="E438" t="n">
        <v>444713</v>
      </c>
      <c r="F438" t="n">
        <v>18971</v>
      </c>
    </row>
    <row r="439">
      <c r="A439" t="inlineStr">
        <is>
          <t>OH</t>
        </is>
      </c>
      <c r="B439" t="n">
        <v>2025</v>
      </c>
      <c r="C439" t="n">
        <v>12</v>
      </c>
      <c r="D439" t="n">
        <v>316445.1718832896</v>
      </c>
      <c r="E439" t="n">
        <v>707131</v>
      </c>
      <c r="F439" t="n">
        <v>19757</v>
      </c>
    </row>
    <row r="440">
      <c r="A440" t="inlineStr">
        <is>
          <t>OH</t>
        </is>
      </c>
      <c r="B440" t="n">
        <v>2026</v>
      </c>
      <c r="C440" t="n">
        <v>1</v>
      </c>
      <c r="D440" t="n">
        <v>159828.0354992659</v>
      </c>
      <c r="E440" t="n">
        <v>432276</v>
      </c>
      <c r="F440" t="n">
        <v>17247</v>
      </c>
    </row>
    <row r="441">
      <c r="A441" t="inlineStr">
        <is>
          <t>OH</t>
        </is>
      </c>
      <c r="B441" t="n">
        <v>2026</v>
      </c>
      <c r="C441" t="n">
        <v>2</v>
      </c>
      <c r="D441" t="n">
        <v>175375.6568226125</v>
      </c>
      <c r="E441" t="n">
        <v>423957</v>
      </c>
      <c r="F441" t="n">
        <v>16780</v>
      </c>
    </row>
    <row r="442">
      <c r="A442" t="inlineStr">
        <is>
          <t>OH</t>
        </is>
      </c>
      <c r="B442" t="n">
        <v>2026</v>
      </c>
      <c r="C442" t="n">
        <v>3</v>
      </c>
      <c r="D442" t="n">
        <v>233410.9866110669</v>
      </c>
      <c r="E442" t="n">
        <v>597897</v>
      </c>
      <c r="F442" t="n">
        <v>19279</v>
      </c>
    </row>
    <row r="443">
      <c r="A443" t="inlineStr">
        <is>
          <t>OH</t>
        </is>
      </c>
      <c r="B443" t="n">
        <v>2026</v>
      </c>
      <c r="C443" t="n">
        <v>4</v>
      </c>
      <c r="D443" t="n">
        <v>179834.4428073089</v>
      </c>
      <c r="E443" t="n">
        <v>450096</v>
      </c>
      <c r="F443" t="n">
        <v>20225</v>
      </c>
    </row>
    <row r="444">
      <c r="A444" t="inlineStr">
        <is>
          <t>OH</t>
        </is>
      </c>
      <c r="B444" t="n">
        <v>2026</v>
      </c>
      <c r="C444" t="n">
        <v>5</v>
      </c>
      <c r="D444" t="n">
        <v>149523.8723731056</v>
      </c>
      <c r="E444" t="n">
        <v>398287</v>
      </c>
      <c r="F444" t="n">
        <v>20383</v>
      </c>
    </row>
    <row r="445">
      <c r="A445" t="inlineStr">
        <is>
          <t>OH</t>
        </is>
      </c>
      <c r="B445" t="n">
        <v>2026</v>
      </c>
      <c r="C445" t="n">
        <v>6</v>
      </c>
      <c r="D445" t="n">
        <v>205243.2377440315</v>
      </c>
      <c r="E445" t="n">
        <v>557982</v>
      </c>
      <c r="F445" t="n">
        <v>19346</v>
      </c>
    </row>
    <row r="446">
      <c r="A446" t="inlineStr">
        <is>
          <t>OH</t>
        </is>
      </c>
      <c r="B446" t="n">
        <v>2026</v>
      </c>
      <c r="C446" t="n">
        <v>7</v>
      </c>
      <c r="D446" t="n">
        <v>308539.2101273568</v>
      </c>
      <c r="E446" t="n">
        <v>798219</v>
      </c>
      <c r="F446" t="n">
        <v>19973</v>
      </c>
    </row>
    <row r="447">
      <c r="A447" t="inlineStr">
        <is>
          <t>OO</t>
        </is>
      </c>
      <c r="B447" t="n">
        <v>2023</v>
      </c>
      <c r="C447" t="n">
        <v>1</v>
      </c>
      <c r="D447" t="n">
        <v>305920.5957171113</v>
      </c>
      <c r="E447" t="n">
        <v>922897</v>
      </c>
      <c r="F447" t="n">
        <v>48378</v>
      </c>
    </row>
    <row r="448">
      <c r="A448" t="inlineStr">
        <is>
          <t>OO</t>
        </is>
      </c>
      <c r="B448" t="n">
        <v>2023</v>
      </c>
      <c r="C448" t="n">
        <v>2</v>
      </c>
      <c r="D448" t="n">
        <v>258150.3565875618</v>
      </c>
      <c r="E448" t="n">
        <v>757703</v>
      </c>
      <c r="F448" t="n">
        <v>48980</v>
      </c>
    </row>
    <row r="449">
      <c r="A449" t="inlineStr">
        <is>
          <t>OO</t>
        </is>
      </c>
      <c r="B449" t="n">
        <v>2023</v>
      </c>
      <c r="C449" t="n">
        <v>3</v>
      </c>
      <c r="D449" t="n">
        <v>296077.657176676</v>
      </c>
      <c r="E449" t="n">
        <v>855725</v>
      </c>
      <c r="F449" t="n">
        <v>56611</v>
      </c>
    </row>
    <row r="450">
      <c r="A450" t="inlineStr">
        <is>
          <t>OO</t>
        </is>
      </c>
      <c r="B450" t="n">
        <v>2023</v>
      </c>
      <c r="C450" t="n">
        <v>4</v>
      </c>
      <c r="D450" t="n">
        <v>188630.355470651</v>
      </c>
      <c r="E450" t="n">
        <v>633938</v>
      </c>
      <c r="F450" t="n">
        <v>55081</v>
      </c>
    </row>
    <row r="451">
      <c r="A451" t="inlineStr">
        <is>
          <t>OO</t>
        </is>
      </c>
      <c r="B451" t="n">
        <v>2023</v>
      </c>
      <c r="C451" t="n">
        <v>5</v>
      </c>
      <c r="D451" t="n">
        <v>158709.5294928107</v>
      </c>
      <c r="E451" t="n">
        <v>557804</v>
      </c>
      <c r="F451" t="n">
        <v>55855</v>
      </c>
    </row>
    <row r="452">
      <c r="A452" t="inlineStr">
        <is>
          <t>OO</t>
        </is>
      </c>
      <c r="B452" t="n">
        <v>2023</v>
      </c>
      <c r="C452" t="n">
        <v>6</v>
      </c>
      <c r="D452" t="n">
        <v>244426.1827792891</v>
      </c>
      <c r="E452" t="n">
        <v>779604</v>
      </c>
      <c r="F452" t="n">
        <v>55545</v>
      </c>
    </row>
    <row r="453">
      <c r="A453" t="inlineStr">
        <is>
          <t>OO</t>
        </is>
      </c>
      <c r="B453" t="n">
        <v>2023</v>
      </c>
      <c r="C453" t="n">
        <v>7</v>
      </c>
      <c r="D453" t="n">
        <v>264111.5891105979</v>
      </c>
      <c r="E453" t="n">
        <v>853395</v>
      </c>
      <c r="F453" t="n">
        <v>56262</v>
      </c>
    </row>
    <row r="454">
      <c r="A454" t="inlineStr">
        <is>
          <t>OO</t>
        </is>
      </c>
      <c r="B454" t="n">
        <v>2023</v>
      </c>
      <c r="C454" t="n">
        <v>8</v>
      </c>
      <c r="D454" t="n">
        <v>230960.084080877</v>
      </c>
      <c r="E454" t="n">
        <v>770518</v>
      </c>
      <c r="F454" t="n">
        <v>57528</v>
      </c>
    </row>
    <row r="455">
      <c r="A455" t="inlineStr">
        <is>
          <t>OO</t>
        </is>
      </c>
      <c r="B455" t="n">
        <v>2023</v>
      </c>
      <c r="C455" t="n">
        <v>9</v>
      </c>
      <c r="D455" t="n">
        <v>237125.5071423563</v>
      </c>
      <c r="E455" t="n">
        <v>761228</v>
      </c>
      <c r="F455" t="n">
        <v>58909</v>
      </c>
    </row>
    <row r="456">
      <c r="A456" t="inlineStr">
        <is>
          <t>OO</t>
        </is>
      </c>
      <c r="B456" t="n">
        <v>2023</v>
      </c>
      <c r="C456" t="n">
        <v>10</v>
      </c>
      <c r="D456" t="n">
        <v>222096.7676266356</v>
      </c>
      <c r="E456" t="n">
        <v>709942</v>
      </c>
      <c r="F456" t="n">
        <v>59443</v>
      </c>
    </row>
    <row r="457">
      <c r="A457" t="inlineStr">
        <is>
          <t>OO</t>
        </is>
      </c>
      <c r="B457" t="n">
        <v>2023</v>
      </c>
      <c r="C457" t="n">
        <v>11</v>
      </c>
      <c r="D457" t="n">
        <v>208290.7621180427</v>
      </c>
      <c r="E457" t="n">
        <v>645543</v>
      </c>
      <c r="F457" t="n">
        <v>56952</v>
      </c>
    </row>
    <row r="458">
      <c r="A458" t="inlineStr">
        <is>
          <t>OO</t>
        </is>
      </c>
      <c r="B458" t="n">
        <v>2023</v>
      </c>
      <c r="C458" t="n">
        <v>12</v>
      </c>
      <c r="D458" t="n">
        <v>239131.9720577471</v>
      </c>
      <c r="E458" t="n">
        <v>771891</v>
      </c>
      <c r="F458" t="n">
        <v>55317</v>
      </c>
    </row>
    <row r="459">
      <c r="A459" t="inlineStr">
        <is>
          <t>OO</t>
        </is>
      </c>
      <c r="B459" t="n">
        <v>2024</v>
      </c>
      <c r="C459" t="n">
        <v>1</v>
      </c>
      <c r="D459" t="n">
        <v>468767.6389303062</v>
      </c>
      <c r="E459" t="n">
        <v>1316481</v>
      </c>
      <c r="F459" t="n">
        <v>54206</v>
      </c>
    </row>
    <row r="460">
      <c r="A460" t="inlineStr">
        <is>
          <t>OO</t>
        </is>
      </c>
      <c r="B460" t="n">
        <v>2024</v>
      </c>
      <c r="C460" t="n">
        <v>2</v>
      </c>
      <c r="D460" t="n">
        <v>247413.0279065231</v>
      </c>
      <c r="E460" t="n">
        <v>757730</v>
      </c>
      <c r="F460" t="n">
        <v>52397</v>
      </c>
    </row>
    <row r="461">
      <c r="A461" t="inlineStr">
        <is>
          <t>OO</t>
        </is>
      </c>
      <c r="B461" t="n">
        <v>2024</v>
      </c>
      <c r="C461" t="n">
        <v>3</v>
      </c>
      <c r="D461" t="n">
        <v>239168.1566693186</v>
      </c>
      <c r="E461" t="n">
        <v>697679</v>
      </c>
      <c r="F461" t="n">
        <v>55273</v>
      </c>
    </row>
    <row r="462">
      <c r="A462" t="inlineStr">
        <is>
          <t>OO</t>
        </is>
      </c>
      <c r="B462" t="n">
        <v>2024</v>
      </c>
      <c r="C462" t="n">
        <v>4</v>
      </c>
      <c r="D462" t="n">
        <v>245307.3931467675</v>
      </c>
      <c r="E462" t="n">
        <v>801625</v>
      </c>
      <c r="F462" t="n">
        <v>59093</v>
      </c>
    </row>
    <row r="463">
      <c r="A463" t="inlineStr">
        <is>
          <t>OO</t>
        </is>
      </c>
      <c r="B463" t="n">
        <v>2024</v>
      </c>
      <c r="C463" t="n">
        <v>5</v>
      </c>
      <c r="D463" t="n">
        <v>392852.1345612367</v>
      </c>
      <c r="E463" t="n">
        <v>1172668</v>
      </c>
      <c r="F463" t="n">
        <v>61058</v>
      </c>
    </row>
    <row r="464">
      <c r="A464" t="inlineStr">
        <is>
          <t>OO</t>
        </is>
      </c>
      <c r="B464" t="n">
        <v>2024</v>
      </c>
      <c r="C464" t="n">
        <v>6</v>
      </c>
      <c r="D464" t="n">
        <v>404008.3277517803</v>
      </c>
      <c r="E464" t="n">
        <v>1200769</v>
      </c>
      <c r="F464" t="n">
        <v>61112</v>
      </c>
    </row>
    <row r="465">
      <c r="A465" t="inlineStr">
        <is>
          <t>OO</t>
        </is>
      </c>
      <c r="B465" t="n">
        <v>2024</v>
      </c>
      <c r="C465" t="n">
        <v>7</v>
      </c>
      <c r="D465" t="n">
        <v>407158.3768823518</v>
      </c>
      <c r="E465" t="n">
        <v>1106338</v>
      </c>
      <c r="F465" t="n">
        <v>63182</v>
      </c>
    </row>
    <row r="466">
      <c r="A466" t="inlineStr">
        <is>
          <t>OO</t>
        </is>
      </c>
      <c r="B466" t="n">
        <v>2024</v>
      </c>
      <c r="C466" t="n">
        <v>8</v>
      </c>
      <c r="D466" t="n">
        <v>366916.8526937421</v>
      </c>
      <c r="E466" t="n">
        <v>1075046</v>
      </c>
      <c r="F466" t="n">
        <v>64914</v>
      </c>
    </row>
    <row r="467">
      <c r="A467" t="inlineStr">
        <is>
          <t>OO</t>
        </is>
      </c>
      <c r="B467" t="n">
        <v>2024</v>
      </c>
      <c r="C467" t="n">
        <v>9</v>
      </c>
      <c r="D467" t="n">
        <v>240715.6615588629</v>
      </c>
      <c r="E467" t="n">
        <v>735685</v>
      </c>
      <c r="F467" t="n">
        <v>64418</v>
      </c>
    </row>
    <row r="468">
      <c r="A468" t="inlineStr">
        <is>
          <t>OO</t>
        </is>
      </c>
      <c r="B468" t="n">
        <v>2024</v>
      </c>
      <c r="C468" t="n">
        <v>10</v>
      </c>
      <c r="D468" t="n">
        <v>269277.3615282041</v>
      </c>
      <c r="E468" t="n">
        <v>789510</v>
      </c>
      <c r="F468" t="n">
        <v>68834</v>
      </c>
    </row>
    <row r="469">
      <c r="A469" t="inlineStr">
        <is>
          <t>OO</t>
        </is>
      </c>
      <c r="B469" t="n">
        <v>2024</v>
      </c>
      <c r="C469" t="n">
        <v>11</v>
      </c>
      <c r="D469" t="n">
        <v>343796.9428868924</v>
      </c>
      <c r="E469" t="n">
        <v>949528</v>
      </c>
      <c r="F469" t="n">
        <v>63955</v>
      </c>
    </row>
    <row r="470">
      <c r="A470" t="inlineStr">
        <is>
          <t>OO</t>
        </is>
      </c>
      <c r="B470" t="n">
        <v>2024</v>
      </c>
      <c r="C470" t="n">
        <v>12</v>
      </c>
      <c r="D470" t="n">
        <v>498594.1912940461</v>
      </c>
      <c r="E470" t="n">
        <v>1284518</v>
      </c>
      <c r="F470" t="n">
        <v>65444</v>
      </c>
    </row>
    <row r="471">
      <c r="A471" t="inlineStr">
        <is>
          <t>OO</t>
        </is>
      </c>
      <c r="B471" t="n">
        <v>2025</v>
      </c>
      <c r="C471" t="n">
        <v>1</v>
      </c>
      <c r="D471" t="n">
        <v>425668.2945980272</v>
      </c>
      <c r="E471" t="n">
        <v>1172101</v>
      </c>
      <c r="F471" t="n">
        <v>63502</v>
      </c>
    </row>
    <row r="472">
      <c r="A472" t="inlineStr">
        <is>
          <t>OO</t>
        </is>
      </c>
      <c r="B472" t="n">
        <v>2025</v>
      </c>
      <c r="C472" t="n">
        <v>2</v>
      </c>
      <c r="D472" t="n">
        <v>426355.9159213738</v>
      </c>
      <c r="E472" t="n">
        <v>1188260</v>
      </c>
      <c r="F472" t="n">
        <v>58562</v>
      </c>
    </row>
    <row r="473">
      <c r="A473" t="inlineStr">
        <is>
          <t>OO</t>
        </is>
      </c>
      <c r="B473" t="n">
        <v>2025</v>
      </c>
      <c r="C473" t="n">
        <v>3</v>
      </c>
      <c r="D473" t="n">
        <v>419332.3679493159</v>
      </c>
      <c r="E473" t="n">
        <v>1154139</v>
      </c>
      <c r="F473" t="n">
        <v>69177</v>
      </c>
    </row>
    <row r="474">
      <c r="A474" t="inlineStr">
        <is>
          <t>OO</t>
        </is>
      </c>
      <c r="B474" t="n">
        <v>2025</v>
      </c>
      <c r="C474" t="n">
        <v>4</v>
      </c>
      <c r="D474" t="n">
        <v>338007.6749120662</v>
      </c>
      <c r="E474" t="n">
        <v>993087</v>
      </c>
      <c r="F474" t="n">
        <v>68451</v>
      </c>
    </row>
    <row r="475">
      <c r="A475" t="inlineStr">
        <is>
          <t>OO</t>
        </is>
      </c>
      <c r="B475" t="n">
        <v>2025</v>
      </c>
      <c r="C475" t="n">
        <v>5</v>
      </c>
      <c r="D475" t="n">
        <v>382566.9426919956</v>
      </c>
      <c r="E475" t="n">
        <v>1127711</v>
      </c>
      <c r="F475" t="n">
        <v>72120</v>
      </c>
    </row>
    <row r="476">
      <c r="A476" t="inlineStr">
        <is>
          <t>OO</t>
        </is>
      </c>
      <c r="B476" t="n">
        <v>2025</v>
      </c>
      <c r="C476" t="n">
        <v>6</v>
      </c>
      <c r="D476" t="n">
        <v>595104.7596725848</v>
      </c>
      <c r="E476" t="n">
        <v>1680110</v>
      </c>
      <c r="F476" t="n">
        <v>72751</v>
      </c>
    </row>
    <row r="477">
      <c r="A477" t="inlineStr">
        <is>
          <t>OO</t>
        </is>
      </c>
      <c r="B477" t="n">
        <v>2025</v>
      </c>
      <c r="C477" t="n">
        <v>7</v>
      </c>
      <c r="D477" t="n">
        <v>601744.3132649267</v>
      </c>
      <c r="E477" t="n">
        <v>1658379</v>
      </c>
      <c r="F477" t="n">
        <v>74475</v>
      </c>
    </row>
    <row r="478">
      <c r="A478" t="inlineStr">
        <is>
          <t>OO</t>
        </is>
      </c>
      <c r="B478" t="n">
        <v>2025</v>
      </c>
      <c r="C478" t="n">
        <v>8</v>
      </c>
      <c r="D478" t="n">
        <v>455830.6766991235</v>
      </c>
      <c r="E478" t="n">
        <v>1301095</v>
      </c>
      <c r="F478" t="n">
        <v>73108</v>
      </c>
    </row>
    <row r="479">
      <c r="A479" t="inlineStr">
        <is>
          <t>OO</t>
        </is>
      </c>
      <c r="B479" t="n">
        <v>2025</v>
      </c>
      <c r="C479" t="n">
        <v>9</v>
      </c>
      <c r="D479" t="n">
        <v>272287.1549012515</v>
      </c>
      <c r="E479" t="n">
        <v>787242</v>
      </c>
      <c r="F479" t="n">
        <v>68999</v>
      </c>
    </row>
    <row r="480">
      <c r="A480" t="inlineStr">
        <is>
          <t>OO</t>
        </is>
      </c>
      <c r="B480" t="n">
        <v>2025</v>
      </c>
      <c r="C480" t="n">
        <v>10</v>
      </c>
      <c r="D480" t="n">
        <v>325711.1054545972</v>
      </c>
      <c r="E480" t="n">
        <v>947601</v>
      </c>
      <c r="F480" t="n">
        <v>71631</v>
      </c>
    </row>
    <row r="481">
      <c r="A481" t="inlineStr">
        <is>
          <t>OO</t>
        </is>
      </c>
      <c r="B481" t="n">
        <v>2025</v>
      </c>
      <c r="C481" t="n">
        <v>11</v>
      </c>
      <c r="D481" t="n">
        <v>369379.5142241195</v>
      </c>
      <c r="E481" t="n">
        <v>1039589</v>
      </c>
      <c r="F481" t="n">
        <v>65221</v>
      </c>
    </row>
    <row r="482">
      <c r="A482" t="inlineStr">
        <is>
          <t>OO</t>
        </is>
      </c>
      <c r="B482" t="n">
        <v>2025</v>
      </c>
      <c r="C482" t="n">
        <v>12</v>
      </c>
      <c r="D482" t="n">
        <v>789483.4840123152</v>
      </c>
      <c r="E482" t="n">
        <v>2031874</v>
      </c>
      <c r="F482" t="n">
        <v>67204</v>
      </c>
    </row>
    <row r="483">
      <c r="A483" t="inlineStr">
        <is>
          <t>OO</t>
        </is>
      </c>
      <c r="B483" t="n">
        <v>2026</v>
      </c>
      <c r="C483" t="n">
        <v>1</v>
      </c>
      <c r="D483" t="n">
        <v>544103.0519703242</v>
      </c>
      <c r="E483" t="n">
        <v>1527220</v>
      </c>
      <c r="F483" t="n">
        <v>63708</v>
      </c>
    </row>
    <row r="484">
      <c r="A484" t="inlineStr">
        <is>
          <t>OO</t>
        </is>
      </c>
      <c r="B484" t="n">
        <v>2026</v>
      </c>
      <c r="C484" t="n">
        <v>2</v>
      </c>
      <c r="D484" t="n">
        <v>484405.1044968532</v>
      </c>
      <c r="E484" t="n">
        <v>1289753</v>
      </c>
      <c r="F484" t="n">
        <v>61144</v>
      </c>
    </row>
    <row r="485">
      <c r="A485" t="inlineStr">
        <is>
          <t>OO</t>
        </is>
      </c>
      <c r="B485" t="n">
        <v>2026</v>
      </c>
      <c r="C485" t="n">
        <v>3</v>
      </c>
      <c r="D485" t="n">
        <v>606478.2667674654</v>
      </c>
      <c r="E485" t="n">
        <v>1628424</v>
      </c>
      <c r="F485" t="n">
        <v>70547</v>
      </c>
    </row>
    <row r="486">
      <c r="A486" t="inlineStr">
        <is>
          <t>OO</t>
        </is>
      </c>
      <c r="B486" t="n">
        <v>2026</v>
      </c>
      <c r="C486" t="n">
        <v>4</v>
      </c>
      <c r="D486" t="n">
        <v>444011.5678675592</v>
      </c>
      <c r="E486" t="n">
        <v>1288339</v>
      </c>
      <c r="F486" t="n">
        <v>71589</v>
      </c>
    </row>
    <row r="487">
      <c r="A487" t="inlineStr">
        <is>
          <t>OO</t>
        </is>
      </c>
      <c r="B487" t="n">
        <v>2026</v>
      </c>
      <c r="C487" t="n">
        <v>5</v>
      </c>
      <c r="D487" t="n">
        <v>453595.319386695</v>
      </c>
      <c r="E487" t="n">
        <v>1293622</v>
      </c>
      <c r="F487" t="n">
        <v>75144</v>
      </c>
    </row>
    <row r="488">
      <c r="A488" t="inlineStr">
        <is>
          <t>OO</t>
        </is>
      </c>
      <c r="B488" t="n">
        <v>2026</v>
      </c>
      <c r="C488" t="n">
        <v>6</v>
      </c>
      <c r="D488" t="n">
        <v>507203.6273641602</v>
      </c>
      <c r="E488" t="n">
        <v>1385477</v>
      </c>
      <c r="F488" t="n">
        <v>72322</v>
      </c>
    </row>
    <row r="489">
      <c r="A489" t="inlineStr">
        <is>
          <t>OO</t>
        </is>
      </c>
      <c r="B489" t="n">
        <v>2026</v>
      </c>
      <c r="C489" t="n">
        <v>7</v>
      </c>
      <c r="D489" t="n">
        <v>570659.7761793731</v>
      </c>
      <c r="E489" t="n">
        <v>1618535</v>
      </c>
      <c r="F489" t="n">
        <v>75556</v>
      </c>
    </row>
    <row r="490">
      <c r="A490" t="inlineStr">
        <is>
          <t>UA</t>
        </is>
      </c>
      <c r="B490" t="n">
        <v>2023</v>
      </c>
      <c r="C490" t="n">
        <v>1</v>
      </c>
      <c r="D490" t="n">
        <v>259794.1273700332</v>
      </c>
      <c r="E490" t="n">
        <v>965414</v>
      </c>
      <c r="F490" t="n">
        <v>56102</v>
      </c>
    </row>
    <row r="491">
      <c r="A491" t="inlineStr">
        <is>
          <t>UA</t>
        </is>
      </c>
      <c r="B491" t="n">
        <v>2023</v>
      </c>
      <c r="C491" t="n">
        <v>2</v>
      </c>
      <c r="D491" t="n">
        <v>170038.215766631</v>
      </c>
      <c r="E491" t="n">
        <v>732431</v>
      </c>
      <c r="F491" t="n">
        <v>52926</v>
      </c>
    </row>
    <row r="492">
      <c r="A492" t="inlineStr">
        <is>
          <t>UA</t>
        </is>
      </c>
      <c r="B492" t="n">
        <v>2023</v>
      </c>
      <c r="C492" t="n">
        <v>3</v>
      </c>
      <c r="D492" t="n">
        <v>224233.1861680022</v>
      </c>
      <c r="E492" t="n">
        <v>904553</v>
      </c>
      <c r="F492" t="n">
        <v>61079</v>
      </c>
    </row>
    <row r="493">
      <c r="A493" t="inlineStr">
        <is>
          <t>UA</t>
        </is>
      </c>
      <c r="B493" t="n">
        <v>2023</v>
      </c>
      <c r="C493" t="n">
        <v>4</v>
      </c>
      <c r="D493" t="n">
        <v>253116.8101624397</v>
      </c>
      <c r="E493" t="n">
        <v>1065143</v>
      </c>
      <c r="F493" t="n">
        <v>56571</v>
      </c>
    </row>
    <row r="494">
      <c r="A494" t="inlineStr">
        <is>
          <t>UA</t>
        </is>
      </c>
      <c r="B494" t="n">
        <v>2023</v>
      </c>
      <c r="C494" t="n">
        <v>5</v>
      </c>
      <c r="D494" t="n">
        <v>223088.4210080656</v>
      </c>
      <c r="E494" t="n">
        <v>959598</v>
      </c>
      <c r="F494" t="n">
        <v>61616</v>
      </c>
    </row>
    <row r="495">
      <c r="A495" t="inlineStr">
        <is>
          <t>UA</t>
        </is>
      </c>
      <c r="B495" t="n">
        <v>2023</v>
      </c>
      <c r="C495" t="n">
        <v>6</v>
      </c>
      <c r="D495" t="n">
        <v>426706.6700876166</v>
      </c>
      <c r="E495" t="n">
        <v>1639435</v>
      </c>
      <c r="F495" t="n">
        <v>58791</v>
      </c>
    </row>
    <row r="496">
      <c r="A496" t="inlineStr">
        <is>
          <t>UA</t>
        </is>
      </c>
      <c r="B496" t="n">
        <v>2023</v>
      </c>
      <c r="C496" t="n">
        <v>7</v>
      </c>
      <c r="D496" t="n">
        <v>464568.4307631704</v>
      </c>
      <c r="E496" t="n">
        <v>1722936</v>
      </c>
      <c r="F496" t="n">
        <v>62271</v>
      </c>
    </row>
    <row r="497">
      <c r="A497" t="inlineStr">
        <is>
          <t>UA</t>
        </is>
      </c>
      <c r="B497" t="n">
        <v>2023</v>
      </c>
      <c r="C497" t="n">
        <v>8</v>
      </c>
      <c r="D497" t="n">
        <v>231261.1763699233</v>
      </c>
      <c r="E497" t="n">
        <v>945465</v>
      </c>
      <c r="F497" t="n">
        <v>65807</v>
      </c>
    </row>
    <row r="498">
      <c r="A498" t="inlineStr">
        <is>
          <t>UA</t>
        </is>
      </c>
      <c r="B498" t="n">
        <v>2023</v>
      </c>
      <c r="C498" t="n">
        <v>9</v>
      </c>
      <c r="D498" t="n">
        <v>170506.3516849001</v>
      </c>
      <c r="E498" t="n">
        <v>822837</v>
      </c>
      <c r="F498" t="n">
        <v>61707</v>
      </c>
    </row>
    <row r="499">
      <c r="A499" t="inlineStr">
        <is>
          <t>UA</t>
        </is>
      </c>
      <c r="B499" t="n">
        <v>2023</v>
      </c>
      <c r="C499" t="n">
        <v>10</v>
      </c>
      <c r="D499" t="n">
        <v>114825.0283722777</v>
      </c>
      <c r="E499" t="n">
        <v>541214</v>
      </c>
      <c r="F499" t="n">
        <v>65695</v>
      </c>
    </row>
    <row r="500">
      <c r="A500" t="inlineStr">
        <is>
          <t>UA</t>
        </is>
      </c>
      <c r="B500" t="n">
        <v>2023</v>
      </c>
      <c r="C500" t="n">
        <v>11</v>
      </c>
      <c r="D500" t="n">
        <v>77273.20127752656</v>
      </c>
      <c r="E500" t="n">
        <v>405992</v>
      </c>
      <c r="F500" t="n">
        <v>57785</v>
      </c>
    </row>
    <row r="501">
      <c r="A501" t="inlineStr">
        <is>
          <t>UA</t>
        </is>
      </c>
      <c r="B501" t="n">
        <v>2023</v>
      </c>
      <c r="C501" t="n">
        <v>12</v>
      </c>
      <c r="D501" t="n">
        <v>107743.2182595646</v>
      </c>
      <c r="E501" t="n">
        <v>536116</v>
      </c>
      <c r="F501" t="n">
        <v>59682</v>
      </c>
    </row>
    <row r="502">
      <c r="A502" t="inlineStr">
        <is>
          <t>UA</t>
        </is>
      </c>
      <c r="B502" t="n">
        <v>2024</v>
      </c>
      <c r="C502" t="n">
        <v>1</v>
      </c>
      <c r="D502" t="n">
        <v>244812.2624042688</v>
      </c>
      <c r="E502" t="n">
        <v>1019189</v>
      </c>
      <c r="F502" t="n">
        <v>54003</v>
      </c>
    </row>
    <row r="503">
      <c r="A503" t="inlineStr">
        <is>
          <t>UA</t>
        </is>
      </c>
      <c r="B503" t="n">
        <v>2024</v>
      </c>
      <c r="C503" t="n">
        <v>2</v>
      </c>
      <c r="D503" t="n">
        <v>145100.8186749458</v>
      </c>
      <c r="E503" t="n">
        <v>682304</v>
      </c>
      <c r="F503" t="n">
        <v>56375</v>
      </c>
    </row>
    <row r="504">
      <c r="A504" t="inlineStr">
        <is>
          <t>UA</t>
        </is>
      </c>
      <c r="B504" t="n">
        <v>2024</v>
      </c>
      <c r="C504" t="n">
        <v>3</v>
      </c>
      <c r="D504" t="n">
        <v>199359.273067391</v>
      </c>
      <c r="E504" t="n">
        <v>857459</v>
      </c>
      <c r="F504" t="n">
        <v>64467</v>
      </c>
    </row>
    <row r="505">
      <c r="A505" t="inlineStr">
        <is>
          <t>UA</t>
        </is>
      </c>
      <c r="B505" t="n">
        <v>2024</v>
      </c>
      <c r="C505" t="n">
        <v>4</v>
      </c>
      <c r="D505" t="n">
        <v>194312.1011198861</v>
      </c>
      <c r="E505" t="n">
        <v>823256</v>
      </c>
      <c r="F505" t="n">
        <v>60539</v>
      </c>
    </row>
    <row r="506">
      <c r="A506" t="inlineStr">
        <is>
          <t>UA</t>
        </is>
      </c>
      <c r="B506" t="n">
        <v>2024</v>
      </c>
      <c r="C506" t="n">
        <v>5</v>
      </c>
      <c r="D506" t="n">
        <v>377871.4502833671</v>
      </c>
      <c r="E506" t="n">
        <v>1387280</v>
      </c>
      <c r="F506" t="n">
        <v>63080</v>
      </c>
    </row>
    <row r="507">
      <c r="A507" t="inlineStr">
        <is>
          <t>UA</t>
        </is>
      </c>
      <c r="B507" t="n">
        <v>2024</v>
      </c>
      <c r="C507" t="n">
        <v>6</v>
      </c>
      <c r="D507" t="n">
        <v>298022.2904129878</v>
      </c>
      <c r="E507" t="n">
        <v>1191765</v>
      </c>
      <c r="F507" t="n">
        <v>61961</v>
      </c>
    </row>
    <row r="508">
      <c r="A508" t="inlineStr">
        <is>
          <t>UA</t>
        </is>
      </c>
      <c r="B508" t="n">
        <v>2024</v>
      </c>
      <c r="C508" t="n">
        <v>7</v>
      </c>
      <c r="D508" t="n">
        <v>425399.2659616439</v>
      </c>
      <c r="E508" t="n">
        <v>1585799</v>
      </c>
      <c r="F508" t="n">
        <v>62691</v>
      </c>
    </row>
    <row r="509">
      <c r="A509" t="inlineStr">
        <is>
          <t>UA</t>
        </is>
      </c>
      <c r="B509" t="n">
        <v>2024</v>
      </c>
      <c r="C509" t="n">
        <v>8</v>
      </c>
      <c r="D509" t="n">
        <v>273181.3190443775</v>
      </c>
      <c r="E509" t="n">
        <v>1195557</v>
      </c>
      <c r="F509" t="n">
        <v>64253</v>
      </c>
    </row>
    <row r="510">
      <c r="A510" t="inlineStr">
        <is>
          <t>UA</t>
        </is>
      </c>
      <c r="B510" t="n">
        <v>2024</v>
      </c>
      <c r="C510" t="n">
        <v>9</v>
      </c>
      <c r="D510" t="n">
        <v>106118.6303038582</v>
      </c>
      <c r="E510" t="n">
        <v>557015</v>
      </c>
      <c r="F510" t="n">
        <v>63789</v>
      </c>
    </row>
    <row r="511">
      <c r="A511" t="inlineStr">
        <is>
          <t>UA</t>
        </is>
      </c>
      <c r="B511" t="n">
        <v>2024</v>
      </c>
      <c r="C511" t="n">
        <v>10</v>
      </c>
      <c r="D511" t="n">
        <v>97542.05358871959</v>
      </c>
      <c r="E511" t="n">
        <v>516822</v>
      </c>
      <c r="F511" t="n">
        <v>67775</v>
      </c>
    </row>
    <row r="512">
      <c r="A512" t="inlineStr">
        <is>
          <t>UA</t>
        </is>
      </c>
      <c r="B512" t="n">
        <v>2024</v>
      </c>
      <c r="C512" t="n">
        <v>11</v>
      </c>
      <c r="D512" t="n">
        <v>177661.5785876523</v>
      </c>
      <c r="E512" t="n">
        <v>774604</v>
      </c>
      <c r="F512" t="n">
        <v>63315</v>
      </c>
    </row>
    <row r="513">
      <c r="A513" t="inlineStr">
        <is>
          <t>UA</t>
        </is>
      </c>
      <c r="B513" t="n">
        <v>2024</v>
      </c>
      <c r="C513" t="n">
        <v>12</v>
      </c>
      <c r="D513" t="n">
        <v>180236.6326873515</v>
      </c>
      <c r="E513" t="n">
        <v>867270</v>
      </c>
      <c r="F513" t="n">
        <v>63570</v>
      </c>
    </row>
    <row r="514">
      <c r="A514" t="inlineStr">
        <is>
          <t>UA</t>
        </is>
      </c>
      <c r="B514" t="n">
        <v>2025</v>
      </c>
      <c r="C514" t="n">
        <v>1</v>
      </c>
      <c r="D514" t="n">
        <v>152000.2284306975</v>
      </c>
      <c r="E514" t="n">
        <v>731405</v>
      </c>
      <c r="F514" t="n">
        <v>60668</v>
      </c>
    </row>
    <row r="515">
      <c r="A515" t="inlineStr">
        <is>
          <t>UA</t>
        </is>
      </c>
      <c r="B515" t="n">
        <v>2025</v>
      </c>
      <c r="C515" t="n">
        <v>2</v>
      </c>
      <c r="D515" t="n">
        <v>165013.2887923417</v>
      </c>
      <c r="E515" t="n">
        <v>776853</v>
      </c>
      <c r="F515" t="n">
        <v>57349</v>
      </c>
    </row>
    <row r="516">
      <c r="A516" t="inlineStr">
        <is>
          <t>UA</t>
        </is>
      </c>
      <c r="B516" t="n">
        <v>2025</v>
      </c>
      <c r="C516" t="n">
        <v>3</v>
      </c>
      <c r="D516" t="n">
        <v>190261.2605055204</v>
      </c>
      <c r="E516" t="n">
        <v>855125</v>
      </c>
      <c r="F516" t="n">
        <v>66617</v>
      </c>
    </row>
    <row r="517">
      <c r="A517" t="inlineStr">
        <is>
          <t>UA</t>
        </is>
      </c>
      <c r="B517" t="n">
        <v>2025</v>
      </c>
      <c r="C517" t="n">
        <v>4</v>
      </c>
      <c r="D517" t="n">
        <v>205608.4465310953</v>
      </c>
      <c r="E517" t="n">
        <v>920394</v>
      </c>
      <c r="F517" t="n">
        <v>63799</v>
      </c>
    </row>
    <row r="518">
      <c r="A518" t="inlineStr">
        <is>
          <t>UA</t>
        </is>
      </c>
      <c r="B518" t="n">
        <v>2025</v>
      </c>
      <c r="C518" t="n">
        <v>5</v>
      </c>
      <c r="D518" t="n">
        <v>282443.5652177095</v>
      </c>
      <c r="E518" t="n">
        <v>1334493</v>
      </c>
      <c r="F518" t="n">
        <v>67013</v>
      </c>
    </row>
    <row r="519">
      <c r="A519" t="inlineStr">
        <is>
          <t>UA</t>
        </is>
      </c>
      <c r="B519" t="n">
        <v>2025</v>
      </c>
      <c r="C519" t="n">
        <v>6</v>
      </c>
      <c r="D519" t="n">
        <v>321481.6101894762</v>
      </c>
      <c r="E519" t="n">
        <v>1406573</v>
      </c>
      <c r="F519" t="n">
        <v>65574</v>
      </c>
    </row>
    <row r="520">
      <c r="A520" t="inlineStr">
        <is>
          <t>UA</t>
        </is>
      </c>
      <c r="B520" t="n">
        <v>2025</v>
      </c>
      <c r="C520" t="n">
        <v>7</v>
      </c>
      <c r="D520" t="n">
        <v>428300.3319245818</v>
      </c>
      <c r="E520" t="n">
        <v>1877497</v>
      </c>
      <c r="F520" t="n">
        <v>68051</v>
      </c>
    </row>
    <row r="521">
      <c r="A521" t="inlineStr">
        <is>
          <t>UA</t>
        </is>
      </c>
      <c r="B521" t="n">
        <v>2025</v>
      </c>
      <c r="C521" t="n">
        <v>8</v>
      </c>
      <c r="D521" t="n">
        <v>258130.8346255294</v>
      </c>
      <c r="E521" t="n">
        <v>1244842</v>
      </c>
      <c r="F521" t="n">
        <v>67885</v>
      </c>
    </row>
    <row r="522">
      <c r="A522" t="inlineStr">
        <is>
          <t>UA</t>
        </is>
      </c>
      <c r="B522" t="n">
        <v>2025</v>
      </c>
      <c r="C522" t="n">
        <v>9</v>
      </c>
      <c r="D522" t="n">
        <v>157837.8949017172</v>
      </c>
      <c r="E522" t="n">
        <v>781795</v>
      </c>
      <c r="F522" t="n">
        <v>67231</v>
      </c>
    </row>
    <row r="523">
      <c r="A523" t="inlineStr">
        <is>
          <t>UA</t>
        </is>
      </c>
      <c r="B523" t="n">
        <v>2025</v>
      </c>
      <c r="C523" t="n">
        <v>10</v>
      </c>
      <c r="D523" t="n">
        <v>162555.428897901</v>
      </c>
      <c r="E523" t="n">
        <v>878399</v>
      </c>
      <c r="F523" t="n">
        <v>71122</v>
      </c>
    </row>
    <row r="524">
      <c r="A524" t="inlineStr">
        <is>
          <t>UA</t>
        </is>
      </c>
      <c r="B524" t="n">
        <v>2025</v>
      </c>
      <c r="C524" t="n">
        <v>11</v>
      </c>
      <c r="D524" t="n">
        <v>254367.7459580737</v>
      </c>
      <c r="E524" t="n">
        <v>1120367</v>
      </c>
      <c r="F524" t="n">
        <v>65615</v>
      </c>
    </row>
    <row r="525">
      <c r="A525" t="inlineStr">
        <is>
          <t>UA</t>
        </is>
      </c>
      <c r="B525" t="n">
        <v>2025</v>
      </c>
      <c r="C525" t="n">
        <v>12</v>
      </c>
      <c r="D525" t="n">
        <v>273560.9444623135</v>
      </c>
      <c r="E525" t="n">
        <v>1098929</v>
      </c>
      <c r="F525" t="n">
        <v>65453</v>
      </c>
    </row>
    <row r="526">
      <c r="A526" t="inlineStr">
        <is>
          <t>UA</t>
        </is>
      </c>
      <c r="B526" t="n">
        <v>2026</v>
      </c>
      <c r="C526" t="n">
        <v>1</v>
      </c>
      <c r="D526" t="n">
        <v>165372.9715847481</v>
      </c>
      <c r="E526" t="n">
        <v>804723</v>
      </c>
      <c r="F526" t="n">
        <v>62176</v>
      </c>
    </row>
    <row r="527">
      <c r="A527" t="inlineStr">
        <is>
          <t>UA</t>
        </is>
      </c>
      <c r="B527" t="n">
        <v>2026</v>
      </c>
      <c r="C527" t="n">
        <v>2</v>
      </c>
      <c r="D527" t="n">
        <v>131856.9059094078</v>
      </c>
      <c r="E527" t="n">
        <v>652733</v>
      </c>
      <c r="F527" t="n">
        <v>58740</v>
      </c>
    </row>
    <row r="528">
      <c r="A528" t="inlineStr">
        <is>
          <t>UA</t>
        </is>
      </c>
      <c r="B528" t="n">
        <v>2026</v>
      </c>
      <c r="C528" t="n">
        <v>3</v>
      </c>
      <c r="D528" t="n">
        <v>299923.0069270979</v>
      </c>
      <c r="E528" t="n">
        <v>1265367</v>
      </c>
      <c r="F528" t="n">
        <v>69418</v>
      </c>
    </row>
    <row r="529">
      <c r="A529" t="inlineStr">
        <is>
          <t>UA</t>
        </is>
      </c>
      <c r="B529" t="n">
        <v>2026</v>
      </c>
      <c r="C529" t="n">
        <v>4</v>
      </c>
      <c r="D529" t="n">
        <v>169285.7110814785</v>
      </c>
      <c r="E529" t="n">
        <v>862295</v>
      </c>
      <c r="F529" t="n">
        <v>68905</v>
      </c>
    </row>
    <row r="530">
      <c r="A530" t="inlineStr">
        <is>
          <t>UA</t>
        </is>
      </c>
      <c r="B530" t="n">
        <v>2026</v>
      </c>
      <c r="C530" t="n">
        <v>5</v>
      </c>
      <c r="D530" t="n">
        <v>236970.2332144237</v>
      </c>
      <c r="E530" t="n">
        <v>1045262</v>
      </c>
      <c r="F530" t="n">
        <v>73698</v>
      </c>
    </row>
    <row r="531">
      <c r="A531" t="inlineStr">
        <is>
          <t>UA</t>
        </is>
      </c>
      <c r="B531" t="n">
        <v>2026</v>
      </c>
      <c r="C531" t="n">
        <v>6</v>
      </c>
      <c r="D531" t="n">
        <v>332205.4587411531</v>
      </c>
      <c r="E531" t="n">
        <v>1450224</v>
      </c>
      <c r="F531" t="n">
        <v>72045</v>
      </c>
    </row>
    <row r="532">
      <c r="A532" t="inlineStr">
        <is>
          <t>UA</t>
        </is>
      </c>
      <c r="B532" t="n">
        <v>2026</v>
      </c>
      <c r="C532" t="n">
        <v>7</v>
      </c>
      <c r="D532" t="n">
        <v>350944.8035201965</v>
      </c>
      <c r="E532" t="n">
        <v>1677567</v>
      </c>
      <c r="F532" t="n">
        <v>72446</v>
      </c>
    </row>
    <row r="533">
      <c r="A533" t="inlineStr">
        <is>
          <t>WN</t>
        </is>
      </c>
      <c r="B533" t="n">
        <v>2023</v>
      </c>
      <c r="C533" t="n">
        <v>1</v>
      </c>
      <c r="D533" t="n">
        <v>772069.8153666955</v>
      </c>
      <c r="E533" t="n">
        <v>1390074</v>
      </c>
      <c r="F533" t="n">
        <v>108999</v>
      </c>
    </row>
    <row r="534">
      <c r="A534" t="inlineStr">
        <is>
          <t>WN</t>
        </is>
      </c>
      <c r="B534" t="n">
        <v>2023</v>
      </c>
      <c r="C534" t="n">
        <v>2</v>
      </c>
      <c r="D534" t="n">
        <v>433363.360572711</v>
      </c>
      <c r="E534" t="n">
        <v>814239</v>
      </c>
      <c r="F534" t="n">
        <v>99163</v>
      </c>
    </row>
    <row r="535">
      <c r="A535" t="inlineStr">
        <is>
          <t>WN</t>
        </is>
      </c>
      <c r="B535" t="n">
        <v>2023</v>
      </c>
      <c r="C535" t="n">
        <v>3</v>
      </c>
      <c r="D535" t="n">
        <v>861366.6166318292</v>
      </c>
      <c r="E535" t="n">
        <v>1530195</v>
      </c>
      <c r="F535" t="n">
        <v>116666</v>
      </c>
    </row>
    <row r="536">
      <c r="A536" t="inlineStr">
        <is>
          <t>WN</t>
        </is>
      </c>
      <c r="B536" t="n">
        <v>2023</v>
      </c>
      <c r="C536" t="n">
        <v>4</v>
      </c>
      <c r="D536" t="n">
        <v>934693.5706286081</v>
      </c>
      <c r="E536" t="n">
        <v>1646017</v>
      </c>
      <c r="F536" t="n">
        <v>114413</v>
      </c>
    </row>
    <row r="537">
      <c r="A537" t="inlineStr">
        <is>
          <t>WN</t>
        </is>
      </c>
      <c r="B537" t="n">
        <v>2023</v>
      </c>
      <c r="C537" t="n">
        <v>5</v>
      </c>
      <c r="D537" t="n">
        <v>756976.2294404189</v>
      </c>
      <c r="E537" t="n">
        <v>1324759</v>
      </c>
      <c r="F537" t="n">
        <v>121646</v>
      </c>
    </row>
    <row r="538">
      <c r="A538" t="inlineStr">
        <is>
          <t>WN</t>
        </is>
      </c>
      <c r="B538" t="n">
        <v>2023</v>
      </c>
      <c r="C538" t="n">
        <v>6</v>
      </c>
      <c r="D538" t="n">
        <v>1150353.261574463</v>
      </c>
      <c r="E538" t="n">
        <v>2024467</v>
      </c>
      <c r="F538" t="n">
        <v>118075</v>
      </c>
    </row>
    <row r="539">
      <c r="A539" t="inlineStr">
        <is>
          <t>WN</t>
        </is>
      </c>
      <c r="B539" t="n">
        <v>2023</v>
      </c>
      <c r="C539" t="n">
        <v>7</v>
      </c>
      <c r="D539" t="n">
        <v>1356547.043150739</v>
      </c>
      <c r="E539" t="n">
        <v>2380557</v>
      </c>
      <c r="F539" t="n">
        <v>124840</v>
      </c>
    </row>
    <row r="540">
      <c r="A540" t="inlineStr">
        <is>
          <t>WN</t>
        </is>
      </c>
      <c r="B540" t="n">
        <v>2023</v>
      </c>
      <c r="C540" t="n">
        <v>8</v>
      </c>
      <c r="D540" t="n">
        <v>849526.1229638625</v>
      </c>
      <c r="E540" t="n">
        <v>1512228</v>
      </c>
      <c r="F540" t="n">
        <v>123310</v>
      </c>
    </row>
    <row r="541">
      <c r="A541" t="inlineStr">
        <is>
          <t>WN</t>
        </is>
      </c>
      <c r="B541" t="n">
        <v>2023</v>
      </c>
      <c r="C541" t="n">
        <v>9</v>
      </c>
      <c r="D541" t="n">
        <v>668322.4293016911</v>
      </c>
      <c r="E541" t="n">
        <v>1282344</v>
      </c>
      <c r="F541" t="n">
        <v>116965</v>
      </c>
    </row>
    <row r="542">
      <c r="A542" t="inlineStr">
        <is>
          <t>WN</t>
        </is>
      </c>
      <c r="B542" t="n">
        <v>2023</v>
      </c>
      <c r="C542" t="n">
        <v>10</v>
      </c>
      <c r="D542" t="n">
        <v>777683.6442295137</v>
      </c>
      <c r="E542" t="n">
        <v>1308675</v>
      </c>
      <c r="F542" t="n">
        <v>128169</v>
      </c>
    </row>
    <row r="543">
      <c r="A543" t="inlineStr">
        <is>
          <t>WN</t>
        </is>
      </c>
      <c r="B543" t="n">
        <v>2023</v>
      </c>
      <c r="C543" t="n">
        <v>11</v>
      </c>
      <c r="D543" t="n">
        <v>504091.3433125706</v>
      </c>
      <c r="E543" t="n">
        <v>840426</v>
      </c>
      <c r="F543" t="n">
        <v>122203</v>
      </c>
    </row>
    <row r="544">
      <c r="A544" t="inlineStr">
        <is>
          <t>WN</t>
        </is>
      </c>
      <c r="B544" t="n">
        <v>2023</v>
      </c>
      <c r="C544" t="n">
        <v>12</v>
      </c>
      <c r="D544" t="n">
        <v>693360.5172062997</v>
      </c>
      <c r="E544" t="n">
        <v>1180743</v>
      </c>
      <c r="F544" t="n">
        <v>126789</v>
      </c>
    </row>
    <row r="545">
      <c r="A545" t="inlineStr">
        <is>
          <t>WN</t>
        </is>
      </c>
      <c r="B545" t="n">
        <v>2024</v>
      </c>
      <c r="C545" t="n">
        <v>1</v>
      </c>
      <c r="D545" t="n">
        <v>777679.9577155716</v>
      </c>
      <c r="E545" t="n">
        <v>1485565</v>
      </c>
      <c r="F545" t="n">
        <v>111613</v>
      </c>
    </row>
    <row r="546">
      <c r="A546" t="inlineStr">
        <is>
          <t>WN</t>
        </is>
      </c>
      <c r="B546" t="n">
        <v>2024</v>
      </c>
      <c r="C546" t="n">
        <v>2</v>
      </c>
      <c r="D546" t="n">
        <v>499138.7535887971</v>
      </c>
      <c r="E546" t="n">
        <v>949399</v>
      </c>
      <c r="F546" t="n">
        <v>104603</v>
      </c>
    </row>
    <row r="547">
      <c r="A547" t="inlineStr">
        <is>
          <t>WN</t>
        </is>
      </c>
      <c r="B547" t="n">
        <v>2024</v>
      </c>
      <c r="C547" t="n">
        <v>3</v>
      </c>
      <c r="D547" t="n">
        <v>973300.4526596161</v>
      </c>
      <c r="E547" t="n">
        <v>1710616</v>
      </c>
      <c r="F547" t="n">
        <v>123905</v>
      </c>
    </row>
    <row r="548">
      <c r="A548" t="inlineStr">
        <is>
          <t>WN</t>
        </is>
      </c>
      <c r="B548" t="n">
        <v>2024</v>
      </c>
      <c r="C548" t="n">
        <v>4</v>
      </c>
      <c r="D548" t="n">
        <v>799168.7682275733</v>
      </c>
      <c r="E548" t="n">
        <v>1390737</v>
      </c>
      <c r="F548" t="n">
        <v>119903</v>
      </c>
    </row>
    <row r="549">
      <c r="A549" t="inlineStr">
        <is>
          <t>WN</t>
        </is>
      </c>
      <c r="B549" t="n">
        <v>2024</v>
      </c>
      <c r="C549" t="n">
        <v>5</v>
      </c>
      <c r="D549" t="n">
        <v>1284562.434396507</v>
      </c>
      <c r="E549" t="n">
        <v>2244783</v>
      </c>
      <c r="F549" t="n">
        <v>121237</v>
      </c>
    </row>
    <row r="550">
      <c r="A550" t="inlineStr">
        <is>
          <t>WN</t>
        </is>
      </c>
      <c r="B550" t="n">
        <v>2024</v>
      </c>
      <c r="C550" t="n">
        <v>6</v>
      </c>
      <c r="D550" t="n">
        <v>1103273.118322564</v>
      </c>
      <c r="E550" t="n">
        <v>1895526</v>
      </c>
      <c r="F550" t="n">
        <v>123048</v>
      </c>
    </row>
    <row r="551">
      <c r="A551" t="inlineStr">
        <is>
          <t>WN</t>
        </is>
      </c>
      <c r="B551" t="n">
        <v>2024</v>
      </c>
      <c r="C551" t="n">
        <v>7</v>
      </c>
      <c r="D551" t="n">
        <v>1255869.794472727</v>
      </c>
      <c r="E551" t="n">
        <v>2205749</v>
      </c>
      <c r="F551" t="n">
        <v>126291</v>
      </c>
    </row>
    <row r="552">
      <c r="A552" t="inlineStr">
        <is>
          <t>WN</t>
        </is>
      </c>
      <c r="B552" t="n">
        <v>2024</v>
      </c>
      <c r="C552" t="n">
        <v>8</v>
      </c>
      <c r="D552" t="n">
        <v>767676.2374514405</v>
      </c>
      <c r="E552" t="n">
        <v>1423250</v>
      </c>
      <c r="F552" t="n">
        <v>117017</v>
      </c>
    </row>
    <row r="553">
      <c r="A553" t="inlineStr">
        <is>
          <t>WN</t>
        </is>
      </c>
      <c r="B553" t="n">
        <v>2024</v>
      </c>
      <c r="C553" t="n">
        <v>9</v>
      </c>
      <c r="D553" t="n">
        <v>500305.2052626757</v>
      </c>
      <c r="E553" t="n">
        <v>854342</v>
      </c>
      <c r="F553" t="n">
        <v>111925</v>
      </c>
    </row>
    <row r="554">
      <c r="A554" t="inlineStr">
        <is>
          <t>WN</t>
        </is>
      </c>
      <c r="B554" t="n">
        <v>2024</v>
      </c>
      <c r="C554" t="n">
        <v>10</v>
      </c>
      <c r="D554" t="n">
        <v>500977.3164017721</v>
      </c>
      <c r="E554" t="n">
        <v>838058</v>
      </c>
      <c r="F554" t="n">
        <v>117570</v>
      </c>
    </row>
    <row r="555">
      <c r="A555" t="inlineStr">
        <is>
          <t>WN</t>
        </is>
      </c>
      <c r="B555" t="n">
        <v>2024</v>
      </c>
      <c r="C555" t="n">
        <v>11</v>
      </c>
      <c r="D555" t="n">
        <v>462162.3694867564</v>
      </c>
      <c r="E555" t="n">
        <v>779890</v>
      </c>
      <c r="F555" t="n">
        <v>112068</v>
      </c>
    </row>
    <row r="556">
      <c r="A556" t="inlineStr">
        <is>
          <t>WN</t>
        </is>
      </c>
      <c r="B556" t="n">
        <v>2024</v>
      </c>
      <c r="C556" t="n">
        <v>12</v>
      </c>
      <c r="D556" t="n">
        <v>893348.5472539436</v>
      </c>
      <c r="E556" t="n">
        <v>1441992</v>
      </c>
      <c r="F556" t="n">
        <v>115417</v>
      </c>
    </row>
    <row r="557">
      <c r="A557" t="inlineStr">
        <is>
          <t>WN</t>
        </is>
      </c>
      <c r="B557" t="n">
        <v>2025</v>
      </c>
      <c r="C557" t="n">
        <v>1</v>
      </c>
      <c r="D557" t="n">
        <v>465375.5322968337</v>
      </c>
      <c r="E557" t="n">
        <v>898551</v>
      </c>
      <c r="F557" t="n">
        <v>102120</v>
      </c>
    </row>
    <row r="558">
      <c r="A558" t="inlineStr">
        <is>
          <t>WN</t>
        </is>
      </c>
      <c r="B558" t="n">
        <v>2025</v>
      </c>
      <c r="C558" t="n">
        <v>2</v>
      </c>
      <c r="D558" t="n">
        <v>554734.5295520325</v>
      </c>
      <c r="E558" t="n">
        <v>1014806</v>
      </c>
      <c r="F558" t="n">
        <v>99506</v>
      </c>
    </row>
    <row r="559">
      <c r="A559" t="inlineStr">
        <is>
          <t>WN</t>
        </is>
      </c>
      <c r="B559" t="n">
        <v>2025</v>
      </c>
      <c r="C559" t="n">
        <v>3</v>
      </c>
      <c r="D559" t="n">
        <v>792733.3580250572</v>
      </c>
      <c r="E559" t="n">
        <v>1398160</v>
      </c>
      <c r="F559" t="n">
        <v>121118</v>
      </c>
    </row>
    <row r="560">
      <c r="A560" t="inlineStr">
        <is>
          <t>WN</t>
        </is>
      </c>
      <c r="B560" t="n">
        <v>2025</v>
      </c>
      <c r="C560" t="n">
        <v>4</v>
      </c>
      <c r="D560" t="n">
        <v>822530.084643834</v>
      </c>
      <c r="E560" t="n">
        <v>1385997</v>
      </c>
      <c r="F560" t="n">
        <v>116840</v>
      </c>
    </row>
    <row r="561">
      <c r="A561" t="inlineStr">
        <is>
          <t>WN</t>
        </is>
      </c>
      <c r="B561" t="n">
        <v>2025</v>
      </c>
      <c r="C561" t="n">
        <v>5</v>
      </c>
      <c r="D561" t="n">
        <v>983672.8503739721</v>
      </c>
      <c r="E561" t="n">
        <v>1766777</v>
      </c>
      <c r="F561" t="n">
        <v>118884</v>
      </c>
    </row>
    <row r="562">
      <c r="A562" t="inlineStr">
        <is>
          <t>WN</t>
        </is>
      </c>
      <c r="B562" t="n">
        <v>2025</v>
      </c>
      <c r="C562" t="n">
        <v>6</v>
      </c>
      <c r="D562" t="n">
        <v>1274746.549266634</v>
      </c>
      <c r="E562" t="n">
        <v>2210706</v>
      </c>
      <c r="F562" t="n">
        <v>121152</v>
      </c>
    </row>
    <row r="563">
      <c r="A563" t="inlineStr">
        <is>
          <t>WN</t>
        </is>
      </c>
      <c r="B563" t="n">
        <v>2025</v>
      </c>
      <c r="C563" t="n">
        <v>7</v>
      </c>
      <c r="D563" t="n">
        <v>1380732.343487985</v>
      </c>
      <c r="E563" t="n">
        <v>2507062</v>
      </c>
      <c r="F563" t="n">
        <v>123527</v>
      </c>
    </row>
    <row r="564">
      <c r="A564" t="inlineStr">
        <is>
          <t>WN</t>
        </is>
      </c>
      <c r="B564" t="n">
        <v>2025</v>
      </c>
      <c r="C564" t="n">
        <v>8</v>
      </c>
      <c r="D564" t="n">
        <v>807530.4294703532</v>
      </c>
      <c r="E564" t="n">
        <v>1481420</v>
      </c>
      <c r="F564" t="n">
        <v>113679</v>
      </c>
    </row>
    <row r="565">
      <c r="A565" t="inlineStr">
        <is>
          <t>WN</t>
        </is>
      </c>
      <c r="B565" t="n">
        <v>2025</v>
      </c>
      <c r="C565" t="n">
        <v>9</v>
      </c>
      <c r="D565" t="n">
        <v>596615.550200886</v>
      </c>
      <c r="E565" t="n">
        <v>1077562</v>
      </c>
      <c r="F565" t="n">
        <v>109889</v>
      </c>
    </row>
    <row r="566">
      <c r="A566" t="inlineStr">
        <is>
          <t>WN</t>
        </is>
      </c>
      <c r="B566" t="n">
        <v>2025</v>
      </c>
      <c r="C566" t="n">
        <v>10</v>
      </c>
      <c r="D566" t="n">
        <v>963288.200326535</v>
      </c>
      <c r="E566" t="n">
        <v>1514988</v>
      </c>
      <c r="F566" t="n">
        <v>121092</v>
      </c>
    </row>
    <row r="567">
      <c r="A567" t="inlineStr">
        <is>
          <t>WN</t>
        </is>
      </c>
      <c r="B567" t="n">
        <v>2025</v>
      </c>
      <c r="C567" t="n">
        <v>11</v>
      </c>
      <c r="D567" t="n">
        <v>865298.3265941461</v>
      </c>
      <c r="E567" t="n">
        <v>1396481</v>
      </c>
      <c r="F567" t="n">
        <v>111817</v>
      </c>
    </row>
    <row r="568">
      <c r="A568" t="inlineStr">
        <is>
          <t>WN</t>
        </is>
      </c>
      <c r="B568" t="n">
        <v>2025</v>
      </c>
      <c r="C568" t="n">
        <v>12</v>
      </c>
      <c r="D568" t="n">
        <v>1082509.821595161</v>
      </c>
      <c r="E568" t="n">
        <v>1674963</v>
      </c>
      <c r="F568" t="n">
        <v>117213</v>
      </c>
    </row>
    <row r="569">
      <c r="A569" t="inlineStr">
        <is>
          <t>WN</t>
        </is>
      </c>
      <c r="B569" t="n">
        <v>2026</v>
      </c>
      <c r="C569" t="n">
        <v>1</v>
      </c>
      <c r="D569" t="n">
        <v>437163.4479093689</v>
      </c>
      <c r="E569" t="n">
        <v>832312</v>
      </c>
      <c r="F569" t="n">
        <v>101120</v>
      </c>
    </row>
    <row r="570">
      <c r="A570" t="inlineStr">
        <is>
          <t>WN</t>
        </is>
      </c>
      <c r="B570" t="n">
        <v>2026</v>
      </c>
      <c r="C570" t="n">
        <v>2</v>
      </c>
      <c r="D570" t="n">
        <v>605786.1114049609</v>
      </c>
      <c r="E570" t="n">
        <v>992554</v>
      </c>
      <c r="F570" t="n">
        <v>99578</v>
      </c>
    </row>
    <row r="571">
      <c r="A571" t="inlineStr">
        <is>
          <t>WN</t>
        </is>
      </c>
      <c r="B571" t="n">
        <v>2026</v>
      </c>
      <c r="C571" t="n">
        <v>3</v>
      </c>
      <c r="D571" t="n">
        <v>1160329.67804842</v>
      </c>
      <c r="E571" t="n">
        <v>1897706</v>
      </c>
      <c r="F571" t="n">
        <v>120102</v>
      </c>
    </row>
    <row r="572">
      <c r="A572" t="inlineStr">
        <is>
          <t>WN</t>
        </is>
      </c>
      <c r="B572" t="n">
        <v>2026</v>
      </c>
      <c r="C572" t="n">
        <v>4</v>
      </c>
      <c r="D572" t="n">
        <v>868680.08154722</v>
      </c>
      <c r="E572" t="n">
        <v>1364329</v>
      </c>
      <c r="F572" t="n">
        <v>117330</v>
      </c>
    </row>
    <row r="573">
      <c r="A573" t="inlineStr">
        <is>
          <t>WN</t>
        </is>
      </c>
      <c r="B573" t="n">
        <v>2026</v>
      </c>
      <c r="C573" t="n">
        <v>5</v>
      </c>
      <c r="D573" t="n">
        <v>1180452.937361068</v>
      </c>
      <c r="E573" t="n">
        <v>1884783</v>
      </c>
      <c r="F573" t="n">
        <v>119852</v>
      </c>
    </row>
    <row r="574">
      <c r="A574" t="inlineStr">
        <is>
          <t>WN</t>
        </is>
      </c>
      <c r="B574" t="n">
        <v>2026</v>
      </c>
      <c r="C574" t="n">
        <v>6</v>
      </c>
      <c r="D574" t="n">
        <v>1530367.828403324</v>
      </c>
      <c r="E574" t="n">
        <v>2407443</v>
      </c>
      <c r="F574" t="n">
        <v>119743</v>
      </c>
    </row>
    <row r="575">
      <c r="A575" t="inlineStr">
        <is>
          <t>WN</t>
        </is>
      </c>
      <c r="B575" t="n">
        <v>2026</v>
      </c>
      <c r="C575" t="n">
        <v>7</v>
      </c>
      <c r="D575" t="n">
        <v>1416963.769268031</v>
      </c>
      <c r="E575" t="n">
        <v>2297831</v>
      </c>
      <c r="F575" t="n">
        <v>122864</v>
      </c>
    </row>
    <row r="576">
      <c r="A576" t="inlineStr">
        <is>
          <t>YX</t>
        </is>
      </c>
      <c r="B576" t="n">
        <v>2023</v>
      </c>
      <c r="C576" t="n">
        <v>1</v>
      </c>
      <c r="D576" t="n">
        <v>97327.94780854434</v>
      </c>
      <c r="E576" t="n">
        <v>264395</v>
      </c>
      <c r="F576" t="n">
        <v>24049</v>
      </c>
    </row>
    <row r="577">
      <c r="A577" t="inlineStr">
        <is>
          <t>YX</t>
        </is>
      </c>
      <c r="B577" t="n">
        <v>2023</v>
      </c>
      <c r="C577" t="n">
        <v>2</v>
      </c>
      <c r="D577" t="n">
        <v>71485.86299330551</v>
      </c>
      <c r="E577" t="n">
        <v>202783</v>
      </c>
      <c r="F577" t="n">
        <v>23305</v>
      </c>
    </row>
    <row r="578">
      <c r="A578" t="inlineStr">
        <is>
          <t>YX</t>
        </is>
      </c>
      <c r="B578" t="n">
        <v>2023</v>
      </c>
      <c r="C578" t="n">
        <v>3</v>
      </c>
      <c r="D578" t="n">
        <v>69969.43431154231</v>
      </c>
      <c r="E578" t="n">
        <v>229471</v>
      </c>
      <c r="F578" t="n">
        <v>27407</v>
      </c>
    </row>
    <row r="579">
      <c r="A579" t="inlineStr">
        <is>
          <t>YX</t>
        </is>
      </c>
      <c r="B579" t="n">
        <v>2023</v>
      </c>
      <c r="C579" t="n">
        <v>4</v>
      </c>
      <c r="D579" t="n">
        <v>103226.59039392</v>
      </c>
      <c r="E579" t="n">
        <v>305213</v>
      </c>
      <c r="F579" t="n">
        <v>26330</v>
      </c>
    </row>
    <row r="580">
      <c r="A580" t="inlineStr">
        <is>
          <t>YX</t>
        </is>
      </c>
      <c r="B580" t="n">
        <v>2023</v>
      </c>
      <c r="C580" t="n">
        <v>5</v>
      </c>
      <c r="D580" t="n">
        <v>29300.25796286019</v>
      </c>
      <c r="E580" t="n">
        <v>117551</v>
      </c>
      <c r="F580" t="n">
        <v>26488</v>
      </c>
    </row>
    <row r="581">
      <c r="A581" t="inlineStr">
        <is>
          <t>YX</t>
        </is>
      </c>
      <c r="B581" t="n">
        <v>2023</v>
      </c>
      <c r="C581" t="n">
        <v>6</v>
      </c>
      <c r="D581" t="n">
        <v>96011.32759261342</v>
      </c>
      <c r="E581" t="n">
        <v>309311</v>
      </c>
      <c r="F581" t="n">
        <v>22289</v>
      </c>
    </row>
    <row r="582">
      <c r="A582" t="inlineStr">
        <is>
          <t>YX</t>
        </is>
      </c>
      <c r="B582" t="n">
        <v>2023</v>
      </c>
      <c r="C582" t="n">
        <v>7</v>
      </c>
      <c r="D582" t="n">
        <v>131138.9284357686</v>
      </c>
      <c r="E582" t="n">
        <v>448229</v>
      </c>
      <c r="F582" t="n">
        <v>22650</v>
      </c>
    </row>
    <row r="583">
      <c r="A583" t="inlineStr">
        <is>
          <t>YX</t>
        </is>
      </c>
      <c r="B583" t="n">
        <v>2023</v>
      </c>
      <c r="C583" t="n">
        <v>8</v>
      </c>
      <c r="D583" t="n">
        <v>67135.57749697616</v>
      </c>
      <c r="E583" t="n">
        <v>206802</v>
      </c>
      <c r="F583" t="n">
        <v>23906</v>
      </c>
    </row>
    <row r="584">
      <c r="A584" t="inlineStr">
        <is>
          <t>YX</t>
        </is>
      </c>
      <c r="B584" t="n">
        <v>2023</v>
      </c>
      <c r="C584" t="n">
        <v>9</v>
      </c>
      <c r="D584" t="n">
        <v>81636.72807076096</v>
      </c>
      <c r="E584" t="n">
        <v>278767</v>
      </c>
      <c r="F584" t="n">
        <v>23068</v>
      </c>
    </row>
    <row r="585">
      <c r="A585" t="inlineStr">
        <is>
          <t>YX</t>
        </is>
      </c>
      <c r="B585" t="n">
        <v>2023</v>
      </c>
      <c r="C585" t="n">
        <v>10</v>
      </c>
      <c r="D585" t="n">
        <v>32064.00573197503</v>
      </c>
      <c r="E585" t="n">
        <v>102960</v>
      </c>
      <c r="F585" t="n">
        <v>23561</v>
      </c>
    </row>
    <row r="586">
      <c r="A586" t="inlineStr">
        <is>
          <t>YX</t>
        </is>
      </c>
      <c r="B586" t="n">
        <v>2023</v>
      </c>
      <c r="C586" t="n">
        <v>11</v>
      </c>
      <c r="D586" t="n">
        <v>17925.13338735487</v>
      </c>
      <c r="E586" t="n">
        <v>73747</v>
      </c>
      <c r="F586" t="n">
        <v>21986</v>
      </c>
    </row>
    <row r="587">
      <c r="A587" t="inlineStr">
        <is>
          <t>YX</t>
        </is>
      </c>
      <c r="B587" t="n">
        <v>2023</v>
      </c>
      <c r="C587" t="n">
        <v>12</v>
      </c>
      <c r="D587" t="n">
        <v>34267.73268582516</v>
      </c>
      <c r="E587" t="n">
        <v>119937</v>
      </c>
      <c r="F587" t="n">
        <v>21449</v>
      </c>
    </row>
    <row r="588">
      <c r="A588" t="inlineStr">
        <is>
          <t>YX</t>
        </is>
      </c>
      <c r="B588" t="n">
        <v>2024</v>
      </c>
      <c r="C588" t="n">
        <v>1</v>
      </c>
      <c r="D588" t="n">
        <v>103543.1921116134</v>
      </c>
      <c r="E588" t="n">
        <v>291683</v>
      </c>
      <c r="F588" t="n">
        <v>21805</v>
      </c>
    </row>
    <row r="589">
      <c r="A589" t="inlineStr">
        <is>
          <t>YX</t>
        </is>
      </c>
      <c r="B589" t="n">
        <v>2024</v>
      </c>
      <c r="C589" t="n">
        <v>2</v>
      </c>
      <c r="D589" t="n">
        <v>33382.15574730442</v>
      </c>
      <c r="E589" t="n">
        <v>107232</v>
      </c>
      <c r="F589" t="n">
        <v>21274</v>
      </c>
    </row>
    <row r="590">
      <c r="A590" t="inlineStr">
        <is>
          <t>YX</t>
        </is>
      </c>
      <c r="B590" t="n">
        <v>2024</v>
      </c>
      <c r="C590" t="n">
        <v>3</v>
      </c>
      <c r="D590" t="n">
        <v>43394.5887280489</v>
      </c>
      <c r="E590" t="n">
        <v>137868</v>
      </c>
      <c r="F590" t="n">
        <v>24253</v>
      </c>
    </row>
    <row r="591">
      <c r="A591" t="inlineStr">
        <is>
          <t>YX</t>
        </is>
      </c>
      <c r="B591" t="n">
        <v>2024</v>
      </c>
      <c r="C591" t="n">
        <v>4</v>
      </c>
      <c r="D591" t="n">
        <v>63762.72630269395</v>
      </c>
      <c r="E591" t="n">
        <v>196824</v>
      </c>
      <c r="F591" t="n">
        <v>23592</v>
      </c>
    </row>
    <row r="592">
      <c r="A592" t="inlineStr">
        <is>
          <t>YX</t>
        </is>
      </c>
      <c r="B592" t="n">
        <v>2024</v>
      </c>
      <c r="C592" t="n">
        <v>5</v>
      </c>
      <c r="D592" t="n">
        <v>104323.4530426571</v>
      </c>
      <c r="E592" t="n">
        <v>298561</v>
      </c>
      <c r="F592" t="n">
        <v>25194</v>
      </c>
    </row>
    <row r="593">
      <c r="A593" t="inlineStr">
        <is>
          <t>YX</t>
        </is>
      </c>
      <c r="B593" t="n">
        <v>2024</v>
      </c>
      <c r="C593" t="n">
        <v>6</v>
      </c>
      <c r="D593" t="n">
        <v>91129.28947922769</v>
      </c>
      <c r="E593" t="n">
        <v>321930</v>
      </c>
      <c r="F593" t="n">
        <v>23674</v>
      </c>
    </row>
    <row r="594">
      <c r="A594" t="inlineStr">
        <is>
          <t>YX</t>
        </is>
      </c>
      <c r="B594" t="n">
        <v>2024</v>
      </c>
      <c r="C594" t="n">
        <v>7</v>
      </c>
      <c r="D594" t="n">
        <v>161874.1588651596</v>
      </c>
      <c r="E594" t="n">
        <v>466780</v>
      </c>
      <c r="F594" t="n">
        <v>24803</v>
      </c>
    </row>
    <row r="595">
      <c r="A595" t="inlineStr">
        <is>
          <t>YX</t>
        </is>
      </c>
      <c r="B595" t="n">
        <v>2024</v>
      </c>
      <c r="C595" t="n">
        <v>8</v>
      </c>
      <c r="D595" t="n">
        <v>118425.8137700333</v>
      </c>
      <c r="E595" t="n">
        <v>384698</v>
      </c>
      <c r="F595" t="n">
        <v>23996</v>
      </c>
    </row>
    <row r="596">
      <c r="A596" t="inlineStr">
        <is>
          <t>YX</t>
        </is>
      </c>
      <c r="B596" t="n">
        <v>2024</v>
      </c>
      <c r="C596" t="n">
        <v>9</v>
      </c>
      <c r="D596" t="n">
        <v>47797.17899128747</v>
      </c>
      <c r="E596" t="n">
        <v>153333</v>
      </c>
      <c r="F596" t="n">
        <v>25312</v>
      </c>
    </row>
    <row r="597">
      <c r="A597" t="inlineStr">
        <is>
          <t>YX</t>
        </is>
      </c>
      <c r="B597" t="n">
        <v>2024</v>
      </c>
      <c r="C597" t="n">
        <v>10</v>
      </c>
      <c r="D597" t="n">
        <v>38822.8071445296</v>
      </c>
      <c r="E597" t="n">
        <v>130552</v>
      </c>
      <c r="F597" t="n">
        <v>27103</v>
      </c>
    </row>
    <row r="598">
      <c r="A598" t="inlineStr">
        <is>
          <t>YX</t>
        </is>
      </c>
      <c r="B598" t="n">
        <v>2024</v>
      </c>
      <c r="C598" t="n">
        <v>11</v>
      </c>
      <c r="D598" t="n">
        <v>74717.9360190162</v>
      </c>
      <c r="E598" t="n">
        <v>214643</v>
      </c>
      <c r="F598" t="n">
        <v>27244</v>
      </c>
    </row>
    <row r="599">
      <c r="A599" t="inlineStr">
        <is>
          <t>YX</t>
        </is>
      </c>
      <c r="B599" t="n">
        <v>2024</v>
      </c>
      <c r="C599" t="n">
        <v>12</v>
      </c>
      <c r="D599" t="n">
        <v>122350.4918166941</v>
      </c>
      <c r="E599" t="n">
        <v>316422</v>
      </c>
      <c r="F599" t="n">
        <v>27056</v>
      </c>
    </row>
    <row r="600">
      <c r="A600" t="inlineStr">
        <is>
          <t>YX</t>
        </is>
      </c>
      <c r="B600" t="n">
        <v>2025</v>
      </c>
      <c r="C600" t="n">
        <v>1</v>
      </c>
      <c r="D600" t="n">
        <v>90129.19651279064</v>
      </c>
      <c r="E600" t="n">
        <v>254792</v>
      </c>
      <c r="F600" t="n">
        <v>26683</v>
      </c>
    </row>
    <row r="601">
      <c r="A601" t="inlineStr">
        <is>
          <t>YX</t>
        </is>
      </c>
      <c r="B601" t="n">
        <v>2025</v>
      </c>
      <c r="C601" t="n">
        <v>2</v>
      </c>
      <c r="D601" t="n">
        <v>142514.0446366935</v>
      </c>
      <c r="E601" t="n">
        <v>373869</v>
      </c>
      <c r="F601" t="n">
        <v>24532</v>
      </c>
    </row>
    <row r="602">
      <c r="A602" t="inlineStr">
        <is>
          <t>YX</t>
        </is>
      </c>
      <c r="B602" t="n">
        <v>2025</v>
      </c>
      <c r="C602" t="n">
        <v>3</v>
      </c>
      <c r="D602" t="n">
        <v>111741.70868849</v>
      </c>
      <c r="E602" t="n">
        <v>322082</v>
      </c>
      <c r="F602" t="n">
        <v>28422</v>
      </c>
    </row>
    <row r="603">
      <c r="A603" t="inlineStr">
        <is>
          <t>YX</t>
        </is>
      </c>
      <c r="B603" t="n">
        <v>2025</v>
      </c>
      <c r="C603" t="n">
        <v>4</v>
      </c>
      <c r="D603" t="n">
        <v>98247.9004460399</v>
      </c>
      <c r="E603" t="n">
        <v>293624</v>
      </c>
      <c r="F603" t="n">
        <v>28107</v>
      </c>
    </row>
    <row r="604">
      <c r="A604" t="inlineStr">
        <is>
          <t>YX</t>
        </is>
      </c>
      <c r="B604" t="n">
        <v>2025</v>
      </c>
      <c r="C604" t="n">
        <v>5</v>
      </c>
      <c r="D604" t="n">
        <v>184151.8772305423</v>
      </c>
      <c r="E604" t="n">
        <v>512276</v>
      </c>
      <c r="F604" t="n">
        <v>27269</v>
      </c>
    </row>
    <row r="605">
      <c r="A605" t="inlineStr">
        <is>
          <t>YX</t>
        </is>
      </c>
      <c r="B605" t="n">
        <v>2025</v>
      </c>
      <c r="C605" t="n">
        <v>6</v>
      </c>
      <c r="D605" t="n">
        <v>236720.0420225736</v>
      </c>
      <c r="E605" t="n">
        <v>621810</v>
      </c>
      <c r="F605" t="n">
        <v>27508</v>
      </c>
    </row>
    <row r="606">
      <c r="A606" t="inlineStr">
        <is>
          <t>YX</t>
        </is>
      </c>
      <c r="B606" t="n">
        <v>2025</v>
      </c>
      <c r="C606" t="n">
        <v>7</v>
      </c>
      <c r="D606" t="n">
        <v>239237.9005957116</v>
      </c>
      <c r="E606" t="n">
        <v>681280</v>
      </c>
      <c r="F606" t="n">
        <v>27563</v>
      </c>
    </row>
    <row r="607">
      <c r="A607" t="inlineStr">
        <is>
          <t>YX</t>
        </is>
      </c>
      <c r="B607" t="n">
        <v>2025</v>
      </c>
      <c r="C607" t="n">
        <v>8</v>
      </c>
      <c r="D607" t="n">
        <v>135063.3736338152</v>
      </c>
      <c r="E607" t="n">
        <v>369156</v>
      </c>
      <c r="F607" t="n">
        <v>29384</v>
      </c>
    </row>
    <row r="608">
      <c r="A608" t="inlineStr">
        <is>
          <t>YX</t>
        </is>
      </c>
      <c r="B608" t="n">
        <v>2025</v>
      </c>
      <c r="C608" t="n">
        <v>9</v>
      </c>
      <c r="D608" t="n">
        <v>121587.2348495585</v>
      </c>
      <c r="E608" t="n">
        <v>339635</v>
      </c>
      <c r="F608" t="n">
        <v>27844</v>
      </c>
    </row>
    <row r="609">
      <c r="A609" t="inlineStr">
        <is>
          <t>YX</t>
        </is>
      </c>
      <c r="B609" t="n">
        <v>2025</v>
      </c>
      <c r="C609" t="n">
        <v>10</v>
      </c>
      <c r="D609" t="n">
        <v>200083.2136065198</v>
      </c>
      <c r="E609" t="n">
        <v>477890</v>
      </c>
      <c r="F609" t="n">
        <v>29792</v>
      </c>
    </row>
    <row r="610">
      <c r="A610" t="inlineStr">
        <is>
          <t>YX</t>
        </is>
      </c>
      <c r="B610" t="n">
        <v>2025</v>
      </c>
      <c r="C610" t="n">
        <v>11</v>
      </c>
      <c r="D610" t="n">
        <v>208670.2029339025</v>
      </c>
      <c r="E610" t="n">
        <v>500743</v>
      </c>
      <c r="F610" t="n">
        <v>27742</v>
      </c>
    </row>
    <row r="611">
      <c r="A611" t="inlineStr">
        <is>
          <t>YX</t>
        </is>
      </c>
      <c r="B611" t="n">
        <v>2025</v>
      </c>
      <c r="C611" t="n">
        <v>12</v>
      </c>
      <c r="D611" t="n">
        <v>328561.2507526664</v>
      </c>
      <c r="E611" t="n">
        <v>708259</v>
      </c>
      <c r="F611" t="n">
        <v>29197</v>
      </c>
    </row>
    <row r="612">
      <c r="A612" t="inlineStr">
        <is>
          <t>YX</t>
        </is>
      </c>
      <c r="B612" t="n">
        <v>2026</v>
      </c>
      <c r="C612" t="n">
        <v>1</v>
      </c>
      <c r="D612" t="n">
        <v>158772.1826486077</v>
      </c>
      <c r="E612" t="n">
        <v>394244</v>
      </c>
      <c r="F612" t="n">
        <v>27112</v>
      </c>
    </row>
    <row r="613">
      <c r="A613" t="inlineStr">
        <is>
          <t>YX</t>
        </is>
      </c>
      <c r="B613" t="n">
        <v>2026</v>
      </c>
      <c r="C613" t="n">
        <v>2</v>
      </c>
      <c r="D613" t="n">
        <v>143727.2206408072</v>
      </c>
      <c r="E613" t="n">
        <v>332433</v>
      </c>
      <c r="F613" t="n">
        <v>25511</v>
      </c>
    </row>
    <row r="614">
      <c r="A614" t="inlineStr">
        <is>
          <t>YX</t>
        </is>
      </c>
      <c r="B614" t="n">
        <v>2026</v>
      </c>
      <c r="C614" t="n">
        <v>3</v>
      </c>
      <c r="D614" t="n">
        <v>249694.9453061156</v>
      </c>
      <c r="E614" t="n">
        <v>624522</v>
      </c>
      <c r="F614" t="n">
        <v>29791</v>
      </c>
    </row>
    <row r="615">
      <c r="A615" t="inlineStr">
        <is>
          <t>YX</t>
        </is>
      </c>
      <c r="B615" t="n">
        <v>2026</v>
      </c>
      <c r="C615" t="n">
        <v>4</v>
      </c>
      <c r="D615" t="n">
        <v>168972.3670273018</v>
      </c>
      <c r="E615" t="n">
        <v>394686</v>
      </c>
      <c r="F615" t="n">
        <v>30616</v>
      </c>
    </row>
    <row r="616">
      <c r="A616" t="inlineStr">
        <is>
          <t>YX</t>
        </is>
      </c>
      <c r="B616" t="n">
        <v>2026</v>
      </c>
      <c r="C616" t="n">
        <v>5</v>
      </c>
      <c r="D616" t="n">
        <v>141814.03020456</v>
      </c>
      <c r="E616" t="n">
        <v>351318</v>
      </c>
      <c r="F616" t="n">
        <v>31676</v>
      </c>
    </row>
    <row r="617">
      <c r="A617" t="inlineStr">
        <is>
          <t>YX</t>
        </is>
      </c>
      <c r="B617" t="n">
        <v>2026</v>
      </c>
      <c r="C617" t="n">
        <v>6</v>
      </c>
      <c r="D617" t="n">
        <v>174134.6993466705</v>
      </c>
      <c r="E617" t="n">
        <v>468201</v>
      </c>
      <c r="F617" t="n">
        <v>29730</v>
      </c>
    </row>
    <row r="618">
      <c r="A618" t="inlineStr">
        <is>
          <t>YX</t>
        </is>
      </c>
      <c r="B618" t="n">
        <v>2026</v>
      </c>
      <c r="C618" t="n">
        <v>7</v>
      </c>
      <c r="D618" t="n">
        <v>237743.0636101807</v>
      </c>
      <c r="E618" t="n">
        <v>654564</v>
      </c>
      <c r="F618" t="n">
        <v>28919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carrier</t>
        </is>
      </c>
      <c r="B1" s="11" t="inlineStr">
        <is>
          <t>raw_rank</t>
        </is>
      </c>
      <c r="C1" s="11" t="inlineStr">
        <is>
          <t>adjusted_rank</t>
        </is>
      </c>
      <c r="D1" s="11" t="inlineStr">
        <is>
          <t>raw_effect</t>
        </is>
      </c>
      <c r="E1" s="11" t="inlineStr">
        <is>
          <t>adjusted_effect</t>
        </is>
      </c>
    </row>
    <row r="2">
      <c r="A2" t="inlineStr">
        <is>
          <t>Endeavor Air</t>
        </is>
      </c>
      <c r="B2" t="n">
        <v>1</v>
      </c>
      <c r="C2" t="n">
        <v>1</v>
      </c>
      <c r="D2" s="12" t="n">
        <v>-7.385004246</v>
      </c>
      <c r="E2" s="12" t="n">
        <v>-13.13607673</v>
      </c>
    </row>
    <row r="3">
      <c r="A3" t="inlineStr">
        <is>
          <t>Republic Airways</t>
        </is>
      </c>
      <c r="B3" t="n">
        <v>2</v>
      </c>
      <c r="C3" t="n">
        <v>2</v>
      </c>
      <c r="D3" s="12" t="n">
        <v>-6.261901746</v>
      </c>
      <c r="E3" s="12" t="n">
        <v>-8.696707879</v>
      </c>
    </row>
    <row r="4">
      <c r="A4" t="inlineStr">
        <is>
          <t>Envoy Air</t>
        </is>
      </c>
      <c r="B4" t="n">
        <v>5</v>
      </c>
      <c r="C4" t="n">
        <v>3</v>
      </c>
      <c r="D4" s="12" t="n">
        <v>-2.360492026</v>
      </c>
      <c r="E4" s="12" t="n">
        <v>-6.100930428</v>
      </c>
    </row>
    <row r="5">
      <c r="A5" t="inlineStr">
        <is>
          <t>Delta Air Lines</t>
        </is>
      </c>
      <c r="B5" t="n">
        <v>4</v>
      </c>
      <c r="C5" t="n">
        <v>4</v>
      </c>
      <c r="D5" s="12" t="n">
        <v>-3.625342927</v>
      </c>
      <c r="E5" s="12" t="n">
        <v>-2.917841679</v>
      </c>
    </row>
    <row r="6">
      <c r="A6" t="inlineStr">
        <is>
          <t>United Airlines</t>
        </is>
      </c>
      <c r="B6" t="n">
        <v>7</v>
      </c>
      <c r="C6" t="n">
        <v>5</v>
      </c>
      <c r="D6" s="12" t="n">
        <v>-1.175518648</v>
      </c>
      <c r="E6" s="12" t="n">
        <v>-2.553162618</v>
      </c>
    </row>
    <row r="7">
      <c r="A7" t="inlineStr">
        <is>
          <t>SkyWest Airlines</t>
        </is>
      </c>
      <c r="B7" t="n">
        <v>9</v>
      </c>
      <c r="C7" t="n">
        <v>6</v>
      </c>
      <c r="D7" s="12" t="n">
        <v>0.1611846892</v>
      </c>
      <c r="E7" s="12" t="n">
        <v>-2.381812718</v>
      </c>
    </row>
    <row r="8">
      <c r="A8" t="inlineStr">
        <is>
          <t>PSA Airlines</t>
        </is>
      </c>
      <c r="B8" t="n">
        <v>11</v>
      </c>
      <c r="C8" t="n">
        <v>7</v>
      </c>
      <c r="D8" s="12" t="n">
        <v>4.189724014</v>
      </c>
      <c r="E8" s="12" t="n">
        <v>-1.575681137</v>
      </c>
    </row>
    <row r="9">
      <c r="A9" t="inlineStr">
        <is>
          <t>Southwest Airlines</t>
        </is>
      </c>
      <c r="B9" t="n">
        <v>6</v>
      </c>
      <c r="C9" t="n">
        <v>8</v>
      </c>
      <c r="D9" s="12" t="n">
        <v>-1.631221046</v>
      </c>
      <c r="E9" s="12" t="n">
        <v>1.708629477</v>
      </c>
    </row>
    <row r="10">
      <c r="A10" t="inlineStr">
        <is>
          <t>Alaska Airlines</t>
        </is>
      </c>
      <c r="B10" t="n">
        <v>3</v>
      </c>
      <c r="C10" t="n">
        <v>9</v>
      </c>
      <c r="D10" s="12" t="n">
        <v>-3.978677817</v>
      </c>
      <c r="E10" s="12" t="n">
        <v>2.776736684</v>
      </c>
    </row>
    <row r="11">
      <c r="A11" t="inlineStr">
        <is>
          <t>Spirit Airlines</t>
        </is>
      </c>
      <c r="B11" t="n">
        <v>10</v>
      </c>
      <c r="C11" t="n">
        <v>10</v>
      </c>
      <c r="D11" s="12" t="n">
        <v>3.136776621</v>
      </c>
      <c r="E11" s="12" t="n">
        <v>3.09081625</v>
      </c>
    </row>
    <row r="12">
      <c r="A12" t="inlineStr">
        <is>
          <t>JetBlue Airways</t>
        </is>
      </c>
      <c r="B12" t="n">
        <v>13</v>
      </c>
      <c r="C12" t="n">
        <v>11</v>
      </c>
      <c r="D12" s="12" t="n">
        <v>5.987845965</v>
      </c>
      <c r="E12" s="12" t="n">
        <v>3.75969119</v>
      </c>
    </row>
    <row r="13">
      <c r="A13" t="inlineStr">
        <is>
          <t>American Airlines</t>
        </is>
      </c>
      <c r="B13" t="n">
        <v>14</v>
      </c>
      <c r="C13" t="n">
        <v>12</v>
      </c>
      <c r="D13" s="12" t="n">
        <v>6.177306557</v>
      </c>
      <c r="E13" s="12" t="n">
        <v>5.165920613</v>
      </c>
    </row>
    <row r="14">
      <c r="A14" t="inlineStr">
        <is>
          <t>Allegiant Air</t>
        </is>
      </c>
      <c r="B14" t="n">
        <v>12</v>
      </c>
      <c r="C14" t="n">
        <v>13</v>
      </c>
      <c r="D14" s="12" t="n">
        <v>5.56222168</v>
      </c>
      <c r="E14" s="12" t="n">
        <v>6.860150021</v>
      </c>
    </row>
    <row r="15">
      <c r="A15" t="inlineStr">
        <is>
          <t>Frontier Airlines</t>
        </is>
      </c>
      <c r="B15" t="n">
        <v>15</v>
      </c>
      <c r="C15" t="n">
        <v>14</v>
      </c>
      <c r="D15" s="12" t="n">
        <v>8.027119934</v>
      </c>
      <c r="E15" s="12" t="n">
        <v>8.541634011999999</v>
      </c>
    </row>
    <row r="16">
      <c r="A16" t="inlineStr">
        <is>
          <t>Hawaiian Airlines</t>
        </is>
      </c>
      <c r="B16" t="n">
        <v>8</v>
      </c>
      <c r="C16" t="n">
        <v>15</v>
      </c>
      <c r="D16" s="12" t="n">
        <v>-0.6620679876</v>
      </c>
      <c r="E16" s="12" t="n">
        <v>11.42161084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t="n">
        <v>2016</v>
      </c>
    </row>
    <row r="3">
      <c r="A3" t="n">
        <v>2017</v>
      </c>
    </row>
    <row r="4">
      <c r="A4" t="n">
        <v>2018</v>
      </c>
    </row>
    <row r="5">
      <c r="A5" t="n">
        <v>2019</v>
      </c>
    </row>
    <row r="6">
      <c r="A6" t="n">
        <v>2020</v>
      </c>
    </row>
    <row r="7">
      <c r="A7" t="n">
        <v>2021</v>
      </c>
    </row>
    <row r="8">
      <c r="A8" t="n">
        <v>2022</v>
      </c>
    </row>
    <row r="9">
      <c r="A9" t="n">
        <v>2023</v>
      </c>
    </row>
    <row r="10">
      <c r="A10" t="n">
        <v>2024</v>
      </c>
    </row>
    <row r="11">
      <c r="A11" t="n">
        <v>2025</v>
      </c>
    </row>
    <row r="12">
      <c r="A12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32" customWidth="1" min="4" max="4"/>
    <col width="29" customWidth="1" min="5" max="5"/>
  </cols>
  <sheetData>
    <row r="1">
      <c r="A1" s="10" t="inlineStr">
        <is>
          <t>Year</t>
        </is>
      </c>
      <c r="B1" s="11" t="inlineStr">
        <is>
          <t>Flights flown</t>
        </is>
      </c>
      <c r="C1" s="11" t="inlineStr">
        <is>
          <t>On time</t>
        </is>
      </c>
      <c r="D1" s="11" t="inlineStr">
        <is>
          <t>Scheduled block, route panel</t>
        </is>
      </c>
      <c r="E1" s="11" t="inlineStr">
        <is>
          <t>Actual block, route panel</t>
        </is>
      </c>
    </row>
    <row r="2">
      <c r="A2" t="inlineStr">
        <is>
          <t>2015</t>
        </is>
      </c>
      <c r="B2" s="6" t="n">
        <v>5714008</v>
      </c>
      <c r="C2" s="7" t="n">
        <v>0.81388913</v>
      </c>
      <c r="D2" s="9" t="n">
        <v>143.86057</v>
      </c>
      <c r="E2" s="9" t="n">
        <v>138.8950447</v>
      </c>
    </row>
    <row r="3">
      <c r="A3" t="inlineStr">
        <is>
          <t>2016</t>
        </is>
      </c>
      <c r="B3" s="6" t="n">
        <v>5538145</v>
      </c>
      <c r="C3" s="7" t="n">
        <v>0.8258913409</v>
      </c>
      <c r="D3" s="9" t="n">
        <v>144.4313922</v>
      </c>
      <c r="E3" s="9" t="n">
        <v>139.1253405</v>
      </c>
    </row>
    <row r="4">
      <c r="A4" t="inlineStr">
        <is>
          <t>2017</t>
        </is>
      </c>
      <c r="B4" s="6" t="n">
        <v>5579409</v>
      </c>
      <c r="C4" s="7" t="n">
        <v>0.8154870883000001</v>
      </c>
      <c r="D4" s="9" t="n">
        <v>145.2546767</v>
      </c>
      <c r="E4" s="9" t="n">
        <v>139.9876832</v>
      </c>
    </row>
    <row r="5">
      <c r="A5" t="inlineStr">
        <is>
          <t>2018</t>
        </is>
      </c>
      <c r="B5" s="6" t="n">
        <v>7070844</v>
      </c>
      <c r="C5" s="7" t="n">
        <v>0.8087754445999999</v>
      </c>
      <c r="D5" s="9" t="n">
        <v>145.6241054</v>
      </c>
      <c r="E5" s="9" t="n">
        <v>140.614464</v>
      </c>
    </row>
    <row r="6">
      <c r="A6" t="inlineStr">
        <is>
          <t>2019</t>
        </is>
      </c>
      <c r="B6" s="6" t="n">
        <v>7268231</v>
      </c>
      <c r="C6" s="7" t="n">
        <v>0.8088596799</v>
      </c>
      <c r="D6" s="9" t="n">
        <v>146.3910137</v>
      </c>
      <c r="E6" s="9" t="n">
        <v>140.7816739</v>
      </c>
    </row>
    <row r="7">
      <c r="A7" t="inlineStr">
        <is>
          <t>2020</t>
        </is>
      </c>
      <c r="B7" s="6" t="n">
        <v>4399574</v>
      </c>
      <c r="C7" s="7" t="n">
        <v>0.9018268587</v>
      </c>
      <c r="D7" s="9" t="n">
        <v>145.489842</v>
      </c>
      <c r="E7" s="9" t="n">
        <v>137.9442578</v>
      </c>
    </row>
    <row r="8">
      <c r="A8" t="inlineStr">
        <is>
          <t>2021</t>
        </is>
      </c>
      <c r="B8" s="6" t="n">
        <v>5878210</v>
      </c>
      <c r="C8" s="7" t="n">
        <v>0.8281240378</v>
      </c>
      <c r="D8" s="9" t="n">
        <v>145.7541008</v>
      </c>
      <c r="E8" s="9" t="n">
        <v>139.0227354</v>
      </c>
    </row>
    <row r="9">
      <c r="A9" t="inlineStr">
        <is>
          <t>2022</t>
        </is>
      </c>
      <c r="B9" s="6" t="n">
        <v>6532008</v>
      </c>
      <c r="C9" s="7" t="n">
        <v>0.789223467</v>
      </c>
      <c r="D9" s="9" t="n">
        <v>145.8143385</v>
      </c>
      <c r="E9" s="9" t="n">
        <v>139.9653245</v>
      </c>
    </row>
    <row r="10">
      <c r="A10" t="inlineStr">
        <is>
          <t>2023</t>
        </is>
      </c>
      <c r="B10" s="6" t="n">
        <v>6743402</v>
      </c>
      <c r="C10" s="7" t="n">
        <v>0.7943622522</v>
      </c>
      <c r="D10" s="9" t="n">
        <v>146.7100627</v>
      </c>
      <c r="E10" s="9" t="n">
        <v>140.9487721</v>
      </c>
    </row>
    <row r="11">
      <c r="A11" t="inlineStr">
        <is>
          <t>2024</t>
        </is>
      </c>
      <c r="B11" s="6" t="n">
        <v>6965240</v>
      </c>
      <c r="C11" s="7" t="n">
        <v>0.7918292837000001</v>
      </c>
      <c r="D11" s="9" t="n">
        <v>147.5299119</v>
      </c>
      <c r="E11" s="9" t="n">
        <v>141.9056886</v>
      </c>
    </row>
    <row r="12">
      <c r="A12" t="inlineStr">
        <is>
          <t>2025</t>
        </is>
      </c>
      <c r="B12" s="6" t="n">
        <v>6879483</v>
      </c>
      <c r="C12" s="7" t="n">
        <v>0.7769255335</v>
      </c>
      <c r="D12" s="9" t="n">
        <v>148.4993088</v>
      </c>
      <c r="E12" s="9" t="n">
        <v>143.3190268</v>
      </c>
    </row>
    <row r="13">
      <c r="A13" t="inlineStr">
        <is>
          <t>2026</t>
        </is>
      </c>
      <c r="B13" s="6" t="n">
        <v>4014657</v>
      </c>
      <c r="C13" s="7" t="n">
        <v>0.7692998431</v>
      </c>
    </row>
    <row r="15">
      <c r="A15" t="inlineStr">
        <is>
          <t>Source: BTS Reporting Carrier On-Time Performance, model: the day block bootstrap, every scheduled flight, 2015 to 2026-07, as of 2026-10-01.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2" customWidth="1" min="5" max="5"/>
  </cols>
  <sheetData>
    <row r="1">
      <c r="A1" s="10" t="inlineStr">
        <is>
          <t>Carrier</t>
        </is>
      </c>
      <c r="B1" s="11" t="inlineStr">
        <is>
          <t>Month</t>
        </is>
      </c>
      <c r="C1" s="11" t="inlineStr">
        <is>
          <t>Padding before</t>
        </is>
      </c>
      <c r="D1" s="11" t="inlineStr">
        <is>
          <t>Padding after</t>
        </is>
      </c>
      <c r="E1" s="11" t="inlineStr">
        <is>
          <t>Step</t>
        </is>
      </c>
    </row>
    <row r="2">
      <c r="A2" t="inlineStr">
        <is>
          <t>Endeavor Air</t>
        </is>
      </c>
      <c r="B2" t="inlineStr">
        <is>
          <t>2020-04</t>
        </is>
      </c>
      <c r="C2" s="9" t="n">
        <v>20.92000568</v>
      </c>
      <c r="D2" s="9" t="n">
        <v>13.67394652</v>
      </c>
      <c r="E2" s="13" t="n">
        <v>-7.246059162</v>
      </c>
    </row>
    <row r="3">
      <c r="A3" t="inlineStr">
        <is>
          <t>Endeavor Air</t>
        </is>
      </c>
      <c r="B3" t="inlineStr">
        <is>
          <t>2020-08</t>
        </is>
      </c>
      <c r="C3" s="9" t="n">
        <v>13.67394652</v>
      </c>
      <c r="D3" s="9" t="n">
        <v>17.03242083</v>
      </c>
      <c r="E3" s="13" t="n">
        <v>3.358474305</v>
      </c>
    </row>
    <row r="4">
      <c r="A4" t="inlineStr">
        <is>
          <t>Endeavor Air</t>
        </is>
      </c>
      <c r="B4" t="inlineStr">
        <is>
          <t>2021-02</t>
        </is>
      </c>
      <c r="C4" s="9" t="n">
        <v>17.03242083</v>
      </c>
      <c r="D4" s="9" t="n">
        <v>20.23646252</v>
      </c>
      <c r="E4" s="13" t="n">
        <v>3.204041691</v>
      </c>
    </row>
    <row r="5">
      <c r="A5" t="inlineStr">
        <is>
          <t>Endeavor Air</t>
        </is>
      </c>
      <c r="B5" t="inlineStr">
        <is>
          <t>2021-08</t>
        </is>
      </c>
      <c r="C5" s="9" t="n">
        <v>20.23646252</v>
      </c>
      <c r="D5" s="9" t="n">
        <v>17.40539259</v>
      </c>
      <c r="E5" s="13" t="n">
        <v>-2.831069928</v>
      </c>
    </row>
    <row r="6">
      <c r="A6" t="inlineStr">
        <is>
          <t>Endeavor Air</t>
        </is>
      </c>
      <c r="B6" t="inlineStr">
        <is>
          <t>2022-06</t>
        </is>
      </c>
      <c r="C6" s="9" t="n">
        <v>17.40539259</v>
      </c>
      <c r="D6" s="9" t="n">
        <v>19.5555091</v>
      </c>
      <c r="E6" s="13" t="n">
        <v>2.150116504</v>
      </c>
    </row>
    <row r="7">
      <c r="A7" t="inlineStr">
        <is>
          <t>Endeavor Air</t>
        </is>
      </c>
      <c r="B7" t="inlineStr">
        <is>
          <t>2023-04</t>
        </is>
      </c>
      <c r="C7" s="9" t="n">
        <v>19.5555091</v>
      </c>
      <c r="D7" s="9" t="n">
        <v>22.27318976</v>
      </c>
      <c r="E7" s="13" t="n">
        <v>2.717680665</v>
      </c>
    </row>
    <row r="8">
      <c r="A8" t="inlineStr">
        <is>
          <t>Endeavor Air</t>
        </is>
      </c>
      <c r="B8" t="inlineStr">
        <is>
          <t>2024-01</t>
        </is>
      </c>
      <c r="C8" s="9" t="n">
        <v>22.27318976</v>
      </c>
      <c r="D8" s="9" t="n">
        <v>20.26472153</v>
      </c>
      <c r="E8" s="13" t="n">
        <v>-2.008468233</v>
      </c>
    </row>
    <row r="9">
      <c r="A9" t="inlineStr">
        <is>
          <t>American Airlines</t>
        </is>
      </c>
      <c r="B9" t="inlineStr">
        <is>
          <t>2015-04</t>
        </is>
      </c>
      <c r="C9" s="9" t="n">
        <v>15.7753533</v>
      </c>
      <c r="D9" s="9" t="n">
        <v>19.70226124</v>
      </c>
      <c r="E9" s="13" t="n">
        <v>3.926907935</v>
      </c>
    </row>
    <row r="10">
      <c r="A10" t="inlineStr">
        <is>
          <t>American Airlines</t>
        </is>
      </c>
      <c r="B10" t="inlineStr">
        <is>
          <t>2015-12</t>
        </is>
      </c>
      <c r="C10" s="9" t="n">
        <v>19.70226124</v>
      </c>
      <c r="D10" s="9" t="n">
        <v>18.09579118</v>
      </c>
      <c r="E10" s="13" t="n">
        <v>-1.606470059</v>
      </c>
    </row>
    <row r="11">
      <c r="A11" t="inlineStr">
        <is>
          <t>American Airlines</t>
        </is>
      </c>
      <c r="B11" t="inlineStr">
        <is>
          <t>2016-09</t>
        </is>
      </c>
      <c r="C11" s="9" t="n">
        <v>18.09579118</v>
      </c>
      <c r="D11" s="9" t="n">
        <v>19.41485506</v>
      </c>
      <c r="E11" s="13" t="n">
        <v>1.319063885</v>
      </c>
    </row>
    <row r="12">
      <c r="A12" t="inlineStr">
        <is>
          <t>American Airlines</t>
        </is>
      </c>
      <c r="B12" t="inlineStr">
        <is>
          <t>2017-11</t>
        </is>
      </c>
      <c r="C12" s="9" t="n">
        <v>19.41485506</v>
      </c>
      <c r="D12" s="9" t="n">
        <v>21.02913449</v>
      </c>
      <c r="E12" s="13" t="n">
        <v>1.614279428</v>
      </c>
    </row>
    <row r="13">
      <c r="A13" t="inlineStr">
        <is>
          <t>American Airlines</t>
        </is>
      </c>
      <c r="B13" t="inlineStr">
        <is>
          <t>2018-09</t>
        </is>
      </c>
      <c r="C13" s="9" t="n">
        <v>21.02913449</v>
      </c>
      <c r="D13" s="9" t="n">
        <v>19.68862552</v>
      </c>
      <c r="E13" s="13" t="n">
        <v>-1.340508972</v>
      </c>
    </row>
    <row r="14">
      <c r="A14" t="inlineStr">
        <is>
          <t>American Airlines</t>
        </is>
      </c>
      <c r="B14" t="inlineStr">
        <is>
          <t>2019-06</t>
        </is>
      </c>
      <c r="C14" s="9" t="n">
        <v>19.68862552</v>
      </c>
      <c r="D14" s="9" t="n">
        <v>20.80600006</v>
      </c>
      <c r="E14" s="13" t="n">
        <v>1.117374545</v>
      </c>
    </row>
    <row r="15">
      <c r="A15" t="inlineStr">
        <is>
          <t>American Airlines</t>
        </is>
      </c>
      <c r="B15" t="inlineStr">
        <is>
          <t>2020-06</t>
        </is>
      </c>
      <c r="C15" s="9" t="n">
        <v>20.80600006</v>
      </c>
      <c r="D15" s="9" t="n">
        <v>17.53228036</v>
      </c>
      <c r="E15" s="13" t="n">
        <v>-3.273719701</v>
      </c>
    </row>
    <row r="16">
      <c r="A16" t="inlineStr">
        <is>
          <t>American Airlines</t>
        </is>
      </c>
      <c r="B16" t="inlineStr">
        <is>
          <t>2020-11</t>
        </is>
      </c>
      <c r="C16" s="9" t="n">
        <v>17.53228036</v>
      </c>
      <c r="D16" s="9" t="n">
        <v>21.19348004</v>
      </c>
      <c r="E16" s="13" t="n">
        <v>3.661199676</v>
      </c>
    </row>
    <row r="17">
      <c r="A17" t="inlineStr">
        <is>
          <t>American Airlines</t>
        </is>
      </c>
      <c r="B17" t="inlineStr">
        <is>
          <t>2021-02</t>
        </is>
      </c>
      <c r="C17" s="9" t="n">
        <v>21.19348004</v>
      </c>
      <c r="D17" s="9" t="n">
        <v>23.54026067</v>
      </c>
      <c r="E17" s="13" t="n">
        <v>2.34678063</v>
      </c>
    </row>
    <row r="18">
      <c r="A18" t="inlineStr">
        <is>
          <t>American Airlines</t>
        </is>
      </c>
      <c r="B18" t="inlineStr">
        <is>
          <t>2021-05</t>
        </is>
      </c>
      <c r="C18" s="9" t="n">
        <v>23.54026067</v>
      </c>
      <c r="D18" s="9" t="n">
        <v>21.37941015</v>
      </c>
      <c r="E18" s="13" t="n">
        <v>-2.160850516</v>
      </c>
    </row>
    <row r="19">
      <c r="A19" t="inlineStr">
        <is>
          <t>American Airlines</t>
        </is>
      </c>
      <c r="B19" t="inlineStr">
        <is>
          <t>2022-02</t>
        </is>
      </c>
      <c r="C19" s="9" t="n">
        <v>21.37941015</v>
      </c>
      <c r="D19" s="9" t="n">
        <v>18.17055841</v>
      </c>
      <c r="E19" s="13" t="n">
        <v>-3.208851746</v>
      </c>
    </row>
    <row r="20">
      <c r="A20" t="inlineStr">
        <is>
          <t>American Airlines</t>
        </is>
      </c>
      <c r="B20" t="inlineStr">
        <is>
          <t>2023-05</t>
        </is>
      </c>
      <c r="C20" s="9" t="n">
        <v>18.17055841</v>
      </c>
      <c r="D20" s="9" t="n">
        <v>20.66955844</v>
      </c>
      <c r="E20" s="13" t="n">
        <v>2.499000039</v>
      </c>
    </row>
    <row r="21">
      <c r="A21" t="inlineStr">
        <is>
          <t>American Airlines</t>
        </is>
      </c>
      <c r="B21" t="inlineStr">
        <is>
          <t>2024-09</t>
        </is>
      </c>
      <c r="C21" s="9" t="n">
        <v>20.66955844</v>
      </c>
      <c r="D21" s="9" t="n">
        <v>22.15934114</v>
      </c>
      <c r="E21" s="13" t="n">
        <v>1.4897827</v>
      </c>
    </row>
    <row r="22">
      <c r="A22" t="inlineStr">
        <is>
          <t>American Airlines</t>
        </is>
      </c>
      <c r="B22" t="inlineStr">
        <is>
          <t>2025-03</t>
        </is>
      </c>
      <c r="C22" s="9" t="n">
        <v>22.15934114</v>
      </c>
      <c r="D22" s="9" t="n">
        <v>20.63186203</v>
      </c>
      <c r="E22" s="13" t="n">
        <v>-1.527479111</v>
      </c>
    </row>
    <row r="23">
      <c r="A23" t="inlineStr">
        <is>
          <t>American Airlines</t>
        </is>
      </c>
      <c r="B23" t="inlineStr">
        <is>
          <t>2025-09</t>
        </is>
      </c>
      <c r="C23" s="9" t="n">
        <v>20.63186203</v>
      </c>
      <c r="D23" s="9" t="n">
        <v>22.32522065</v>
      </c>
      <c r="E23" s="13" t="n">
        <v>1.693358616</v>
      </c>
    </row>
    <row r="24">
      <c r="A24" t="inlineStr">
        <is>
          <t>American Airlines</t>
        </is>
      </c>
      <c r="B24" t="inlineStr">
        <is>
          <t>2026-02</t>
        </is>
      </c>
      <c r="C24" s="9" t="n">
        <v>22.32522065</v>
      </c>
      <c r="D24" s="9" t="n">
        <v>24.37795954</v>
      </c>
      <c r="E24" s="13" t="n">
        <v>2.052738894</v>
      </c>
    </row>
    <row r="25">
      <c r="A25" t="inlineStr">
        <is>
          <t>Alaska Airlines</t>
        </is>
      </c>
      <c r="B25" t="inlineStr">
        <is>
          <t>2015-11</t>
        </is>
      </c>
      <c r="C25" s="9" t="n">
        <v>15.64418525</v>
      </c>
      <c r="D25" s="9" t="n">
        <v>17.25213568</v>
      </c>
      <c r="E25" s="13" t="n">
        <v>1.607950425</v>
      </c>
    </row>
    <row r="26">
      <c r="A26" t="inlineStr">
        <is>
          <t>Alaska Airlines</t>
        </is>
      </c>
      <c r="B26" t="inlineStr">
        <is>
          <t>2016-03</t>
        </is>
      </c>
      <c r="C26" s="9" t="n">
        <v>17.25213568</v>
      </c>
      <c r="D26" s="9" t="n">
        <v>15.91277083</v>
      </c>
      <c r="E26" s="13" t="n">
        <v>-1.339364842</v>
      </c>
    </row>
    <row r="27">
      <c r="A27" t="inlineStr">
        <is>
          <t>Alaska Airlines</t>
        </is>
      </c>
      <c r="B27" t="inlineStr">
        <is>
          <t>2017-06</t>
        </is>
      </c>
      <c r="C27" s="9" t="n">
        <v>15.91277083</v>
      </c>
      <c r="D27" s="9" t="n">
        <v>18.16303648</v>
      </c>
      <c r="E27" s="13" t="n">
        <v>2.250265643</v>
      </c>
    </row>
    <row r="28">
      <c r="A28" t="inlineStr">
        <is>
          <t>Alaska Airlines</t>
        </is>
      </c>
      <c r="B28" t="inlineStr">
        <is>
          <t>2017-12</t>
        </is>
      </c>
      <c r="C28" s="9" t="n">
        <v>18.16303648</v>
      </c>
      <c r="D28" s="9" t="n">
        <v>19.45528719</v>
      </c>
      <c r="E28" s="13" t="n">
        <v>1.29225071</v>
      </c>
    </row>
    <row r="29">
      <c r="A29" t="inlineStr">
        <is>
          <t>Alaska Airlines</t>
        </is>
      </c>
      <c r="B29" t="inlineStr">
        <is>
          <t>2018-07</t>
        </is>
      </c>
      <c r="C29" s="9" t="n">
        <v>19.45528719</v>
      </c>
      <c r="D29" s="9" t="n">
        <v>20.65806802</v>
      </c>
      <c r="E29" s="13" t="n">
        <v>1.202780833</v>
      </c>
    </row>
    <row r="30">
      <c r="A30" t="inlineStr">
        <is>
          <t>Alaska Airlines</t>
        </is>
      </c>
      <c r="B30" t="inlineStr">
        <is>
          <t>2019-06</t>
        </is>
      </c>
      <c r="C30" s="9" t="n">
        <v>20.65806802</v>
      </c>
      <c r="D30" s="9" t="n">
        <v>22.41560214</v>
      </c>
      <c r="E30" s="13" t="n">
        <v>1.757534119</v>
      </c>
    </row>
    <row r="31">
      <c r="A31" t="inlineStr">
        <is>
          <t>Alaska Airlines</t>
        </is>
      </c>
      <c r="B31" t="inlineStr">
        <is>
          <t>2020-06</t>
        </is>
      </c>
      <c r="C31" s="9" t="n">
        <v>22.41560214</v>
      </c>
      <c r="D31" s="9" t="n">
        <v>15.32540268</v>
      </c>
      <c r="E31" s="13" t="n">
        <v>-7.090199462</v>
      </c>
    </row>
    <row r="32">
      <c r="A32" t="inlineStr">
        <is>
          <t>Alaska Airlines</t>
        </is>
      </c>
      <c r="B32" t="inlineStr">
        <is>
          <t>2020-10</t>
        </is>
      </c>
      <c r="C32" s="9" t="n">
        <v>15.32540268</v>
      </c>
      <c r="D32" s="9" t="n">
        <v>17.29927645</v>
      </c>
      <c r="E32" s="13" t="n">
        <v>1.973873773</v>
      </c>
    </row>
    <row r="33">
      <c r="A33" t="inlineStr">
        <is>
          <t>Alaska Airlines</t>
        </is>
      </c>
      <c r="B33" t="inlineStr">
        <is>
          <t>2021-03</t>
        </is>
      </c>
      <c r="C33" s="9" t="n">
        <v>17.29927645</v>
      </c>
      <c r="D33" s="9" t="n">
        <v>19.04831288</v>
      </c>
      <c r="E33" s="13" t="n">
        <v>1.749036428</v>
      </c>
    </row>
    <row r="34">
      <c r="A34" t="inlineStr">
        <is>
          <t>Alaska Airlines</t>
        </is>
      </c>
      <c r="B34" t="inlineStr">
        <is>
          <t>2021-06</t>
        </is>
      </c>
      <c r="C34" s="9" t="n">
        <v>19.04831288</v>
      </c>
      <c r="D34" s="9" t="n">
        <v>20.32958384</v>
      </c>
      <c r="E34" s="13" t="n">
        <v>1.28127096</v>
      </c>
    </row>
    <row r="35">
      <c r="A35" t="inlineStr">
        <is>
          <t>Alaska Airlines</t>
        </is>
      </c>
      <c r="B35" t="inlineStr">
        <is>
          <t>2023-07</t>
        </is>
      </c>
      <c r="C35" s="9" t="n">
        <v>20.32958384</v>
      </c>
      <c r="D35" s="9" t="n">
        <v>21.75223827</v>
      </c>
      <c r="E35" s="13" t="n">
        <v>1.422654433</v>
      </c>
    </row>
    <row r="36">
      <c r="A36" t="inlineStr">
        <is>
          <t>Alaska Airlines</t>
        </is>
      </c>
      <c r="B36" t="inlineStr">
        <is>
          <t>2025-01</t>
        </is>
      </c>
      <c r="C36" s="9" t="n">
        <v>20.81913271</v>
      </c>
      <c r="D36" s="9" t="n">
        <v>22.89539097</v>
      </c>
      <c r="E36" s="13" t="n">
        <v>2.076258258</v>
      </c>
    </row>
    <row r="37">
      <c r="A37" t="inlineStr">
        <is>
          <t>Alaska Airlines</t>
        </is>
      </c>
      <c r="B37" t="inlineStr">
        <is>
          <t>2025-08</t>
        </is>
      </c>
      <c r="C37" s="9" t="n">
        <v>22.89539097</v>
      </c>
      <c r="D37" s="9" t="n">
        <v>24.09558373</v>
      </c>
      <c r="E37" s="13" t="n">
        <v>1.200192759</v>
      </c>
    </row>
    <row r="38">
      <c r="A38" t="inlineStr">
        <is>
          <t>JetBlue Airways</t>
        </is>
      </c>
      <c r="B38" t="inlineStr">
        <is>
          <t>2016-09</t>
        </is>
      </c>
      <c r="C38" s="9" t="n">
        <v>18.41058946</v>
      </c>
      <c r="D38" s="9" t="n">
        <v>19.69324506</v>
      </c>
      <c r="E38" s="13" t="n">
        <v>1.282655605</v>
      </c>
    </row>
    <row r="39">
      <c r="A39" t="inlineStr">
        <is>
          <t>JetBlue Airways</t>
        </is>
      </c>
      <c r="B39" t="inlineStr">
        <is>
          <t>2019-04</t>
        </is>
      </c>
      <c r="C39" s="9" t="n">
        <v>20.59994268</v>
      </c>
      <c r="D39" s="9" t="n">
        <v>22.9001895</v>
      </c>
      <c r="E39" s="13" t="n">
        <v>2.300246825</v>
      </c>
    </row>
    <row r="40">
      <c r="A40" t="inlineStr">
        <is>
          <t>JetBlue Airways</t>
        </is>
      </c>
      <c r="B40" t="inlineStr">
        <is>
          <t>2019-10</t>
        </is>
      </c>
      <c r="C40" s="9" t="n">
        <v>22.9001895</v>
      </c>
      <c r="D40" s="9" t="n">
        <v>21.51982015</v>
      </c>
      <c r="E40" s="13" t="n">
        <v>-1.380369355</v>
      </c>
    </row>
    <row r="41">
      <c r="A41" t="inlineStr">
        <is>
          <t>JetBlue Airways</t>
        </is>
      </c>
      <c r="B41" t="inlineStr">
        <is>
          <t>2020-05</t>
        </is>
      </c>
      <c r="C41" s="9" t="n">
        <v>21.51982015</v>
      </c>
      <c r="D41" s="9" t="n">
        <v>12.22101009</v>
      </c>
      <c r="E41" s="13" t="n">
        <v>-9.298810056000001</v>
      </c>
    </row>
    <row r="42">
      <c r="A42" t="inlineStr">
        <is>
          <t>JetBlue Airways</t>
        </is>
      </c>
      <c r="B42" t="inlineStr">
        <is>
          <t>2020-09</t>
        </is>
      </c>
      <c r="C42" s="9" t="n">
        <v>12.22101009</v>
      </c>
      <c r="D42" s="9" t="n">
        <v>14.1610398</v>
      </c>
      <c r="E42" s="13" t="n">
        <v>1.940029708</v>
      </c>
    </row>
    <row r="43">
      <c r="A43" t="inlineStr">
        <is>
          <t>JetBlue Airways</t>
        </is>
      </c>
      <c r="B43" t="inlineStr">
        <is>
          <t>2020-12</t>
        </is>
      </c>
      <c r="C43" s="9" t="n">
        <v>14.1610398</v>
      </c>
      <c r="D43" s="9" t="n">
        <v>12.15430672</v>
      </c>
      <c r="E43" s="13" t="n">
        <v>-2.006733077</v>
      </c>
    </row>
    <row r="44">
      <c r="A44" t="inlineStr">
        <is>
          <t>JetBlue Airways</t>
        </is>
      </c>
      <c r="B44" t="inlineStr">
        <is>
          <t>2021-03</t>
        </is>
      </c>
      <c r="C44" s="9" t="n">
        <v>12.15430672</v>
      </c>
      <c r="D44" s="9" t="n">
        <v>18.86399598</v>
      </c>
      <c r="E44" s="13" t="n">
        <v>6.709689252</v>
      </c>
    </row>
    <row r="45">
      <c r="A45" t="inlineStr">
        <is>
          <t>JetBlue Airways</t>
        </is>
      </c>
      <c r="B45" t="inlineStr">
        <is>
          <t>2021-07</t>
        </is>
      </c>
      <c r="C45" s="9" t="n">
        <v>18.86399598</v>
      </c>
      <c r="D45" s="9" t="n">
        <v>20.90662295</v>
      </c>
      <c r="E45" s="13" t="n">
        <v>2.04262697</v>
      </c>
    </row>
    <row r="46">
      <c r="A46" t="inlineStr">
        <is>
          <t>JetBlue Airways</t>
        </is>
      </c>
      <c r="B46" t="inlineStr">
        <is>
          <t>2023-01</t>
        </is>
      </c>
      <c r="C46" s="9" t="n">
        <v>20.90662295</v>
      </c>
      <c r="D46" s="9" t="n">
        <v>22.83952311</v>
      </c>
      <c r="E46" s="13" t="n">
        <v>1.932900169</v>
      </c>
    </row>
    <row r="47">
      <c r="A47" t="inlineStr">
        <is>
          <t>JetBlue Airways</t>
        </is>
      </c>
      <c r="B47" t="inlineStr">
        <is>
          <t>2024-09</t>
        </is>
      </c>
      <c r="C47" s="9" t="n">
        <v>22.83952311</v>
      </c>
      <c r="D47" s="9" t="n">
        <v>24.41293974</v>
      </c>
      <c r="E47" s="13" t="n">
        <v>1.573416626</v>
      </c>
    </row>
    <row r="48">
      <c r="A48" t="inlineStr">
        <is>
          <t>JetBlue Airways</t>
        </is>
      </c>
      <c r="B48" t="inlineStr">
        <is>
          <t>2025-11</t>
        </is>
      </c>
      <c r="C48" s="9" t="n">
        <v>24.41293974</v>
      </c>
      <c r="D48" s="9" t="n">
        <v>22.96907208</v>
      </c>
      <c r="E48" s="13" t="n">
        <v>-1.443867657</v>
      </c>
    </row>
    <row r="49">
      <c r="A49" t="inlineStr">
        <is>
          <t>Delta Air Lines</t>
        </is>
      </c>
      <c r="B49" t="inlineStr">
        <is>
          <t>2015-04</t>
        </is>
      </c>
      <c r="C49" s="9" t="n">
        <v>19.01205642</v>
      </c>
      <c r="D49" s="9" t="n">
        <v>20.1847729</v>
      </c>
      <c r="E49" s="13" t="n">
        <v>1.172716483</v>
      </c>
    </row>
    <row r="50">
      <c r="A50" t="inlineStr">
        <is>
          <t>Delta Air Lines</t>
        </is>
      </c>
      <c r="B50" t="inlineStr">
        <is>
          <t>2016-04</t>
        </is>
      </c>
      <c r="C50" s="9" t="n">
        <v>20.1847729</v>
      </c>
      <c r="D50" s="9" t="n">
        <v>21.54168181</v>
      </c>
      <c r="E50" s="13" t="n">
        <v>1.356908904</v>
      </c>
    </row>
    <row r="51">
      <c r="A51" t="inlineStr">
        <is>
          <t>Delta Air Lines</t>
        </is>
      </c>
      <c r="B51" t="inlineStr">
        <is>
          <t>2018-03</t>
        </is>
      </c>
      <c r="C51" s="9" t="n">
        <v>22.43802087</v>
      </c>
      <c r="D51" s="9" t="n">
        <v>19.67316303</v>
      </c>
      <c r="E51" s="13" t="n">
        <v>-2.764857841</v>
      </c>
    </row>
    <row r="52">
      <c r="A52" t="inlineStr">
        <is>
          <t>Delta Air Lines</t>
        </is>
      </c>
      <c r="B52" t="inlineStr">
        <is>
          <t>2018-06</t>
        </is>
      </c>
      <c r="C52" s="9" t="n">
        <v>19.67316303</v>
      </c>
      <c r="D52" s="9" t="n">
        <v>20.78859927</v>
      </c>
      <c r="E52" s="13" t="n">
        <v>1.115436247</v>
      </c>
    </row>
    <row r="53">
      <c r="A53" t="inlineStr">
        <is>
          <t>Delta Air Lines</t>
        </is>
      </c>
      <c r="B53" t="inlineStr">
        <is>
          <t>2019-06</t>
        </is>
      </c>
      <c r="C53" s="9" t="n">
        <v>20.78859927</v>
      </c>
      <c r="D53" s="9" t="n">
        <v>19.35668726</v>
      </c>
      <c r="E53" s="13" t="n">
        <v>-1.431912015</v>
      </c>
    </row>
    <row r="54">
      <c r="A54" t="inlineStr">
        <is>
          <t>Delta Air Lines</t>
        </is>
      </c>
      <c r="B54" t="inlineStr">
        <is>
          <t>2020-04</t>
        </is>
      </c>
      <c r="C54" s="9" t="n">
        <v>19.35668726</v>
      </c>
      <c r="D54" s="9" t="n">
        <v>11.28871638</v>
      </c>
      <c r="E54" s="13" t="n">
        <v>-8.067970878000001</v>
      </c>
    </row>
    <row r="55">
      <c r="A55" t="inlineStr">
        <is>
          <t>Delta Air Lines</t>
        </is>
      </c>
      <c r="B55" t="inlineStr">
        <is>
          <t>2020-08</t>
        </is>
      </c>
      <c r="C55" s="9" t="n">
        <v>11.28871638</v>
      </c>
      <c r="D55" s="9" t="n">
        <v>12.78444761</v>
      </c>
      <c r="E55" s="13" t="n">
        <v>1.495731231</v>
      </c>
    </row>
    <row r="56">
      <c r="A56" t="inlineStr">
        <is>
          <t>Delta Air Lines</t>
        </is>
      </c>
      <c r="B56" t="inlineStr">
        <is>
          <t>2021-01</t>
        </is>
      </c>
      <c r="C56" s="9" t="n">
        <v>12.78444761</v>
      </c>
      <c r="D56" s="9" t="n">
        <v>15.99870939</v>
      </c>
      <c r="E56" s="13" t="n">
        <v>3.214261774</v>
      </c>
    </row>
    <row r="57">
      <c r="A57" t="inlineStr">
        <is>
          <t>Delta Air Lines</t>
        </is>
      </c>
      <c r="B57" t="inlineStr">
        <is>
          <t>2021-04</t>
        </is>
      </c>
      <c r="C57" s="9" t="n">
        <v>15.99870939</v>
      </c>
      <c r="D57" s="9" t="n">
        <v>19.39397599</v>
      </c>
      <c r="E57" s="13" t="n">
        <v>3.395266606</v>
      </c>
    </row>
    <row r="58">
      <c r="A58" t="inlineStr">
        <is>
          <t>Delta Air Lines</t>
        </is>
      </c>
      <c r="B58" t="inlineStr">
        <is>
          <t>2021-09</t>
        </is>
      </c>
      <c r="C58" s="9" t="n">
        <v>19.39397599</v>
      </c>
      <c r="D58" s="9" t="n">
        <v>17.7942553</v>
      </c>
      <c r="E58" s="13" t="n">
        <v>-1.599720692</v>
      </c>
    </row>
    <row r="59">
      <c r="A59" t="inlineStr">
        <is>
          <t>Delta Air Lines</t>
        </is>
      </c>
      <c r="B59" t="inlineStr">
        <is>
          <t>2022-04</t>
        </is>
      </c>
      <c r="C59" s="9" t="n">
        <v>17.7942553</v>
      </c>
      <c r="D59" s="9" t="n">
        <v>19.12894844</v>
      </c>
      <c r="E59" s="13" t="n">
        <v>1.334693144</v>
      </c>
    </row>
    <row r="60">
      <c r="A60" t="inlineStr">
        <is>
          <t>Delta Air Lines</t>
        </is>
      </c>
      <c r="B60" t="inlineStr">
        <is>
          <t>2023-03</t>
        </is>
      </c>
      <c r="C60" s="9" t="n">
        <v>19.12894844</v>
      </c>
      <c r="D60" s="9" t="n">
        <v>20.72330167</v>
      </c>
      <c r="E60" s="13" t="n">
        <v>1.594353229</v>
      </c>
    </row>
    <row r="61">
      <c r="A61" t="inlineStr">
        <is>
          <t>Delta Air Lines</t>
        </is>
      </c>
      <c r="B61" t="inlineStr">
        <is>
          <t>2026-05</t>
        </is>
      </c>
      <c r="C61" s="9" t="n">
        <v>20.72330167</v>
      </c>
      <c r="D61" s="9" t="n">
        <v>21.94123758</v>
      </c>
      <c r="E61" s="13" t="n">
        <v>1.21793591</v>
      </c>
    </row>
    <row r="62">
      <c r="A62" t="inlineStr">
        <is>
          <t>ExpressJet Airlines</t>
        </is>
      </c>
      <c r="B62" t="inlineStr">
        <is>
          <t>2015-06</t>
        </is>
      </c>
      <c r="C62" s="9" t="n">
        <v>12.77665788</v>
      </c>
      <c r="D62" s="9" t="n">
        <v>15.07119765</v>
      </c>
      <c r="E62" s="13" t="n">
        <v>2.29453977</v>
      </c>
    </row>
    <row r="63">
      <c r="A63" t="inlineStr">
        <is>
          <t>ExpressJet Airlines</t>
        </is>
      </c>
      <c r="B63" t="inlineStr">
        <is>
          <t>2015-09</t>
        </is>
      </c>
      <c r="C63" s="9" t="n">
        <v>15.07119765</v>
      </c>
      <c r="D63" s="9" t="n">
        <v>13.59052574</v>
      </c>
      <c r="E63" s="13" t="n">
        <v>-1.480671912</v>
      </c>
    </row>
    <row r="64">
      <c r="A64" t="inlineStr">
        <is>
          <t>ExpressJet Airlines</t>
        </is>
      </c>
      <c r="B64" t="inlineStr">
        <is>
          <t>2016-01</t>
        </is>
      </c>
      <c r="C64" s="9" t="n">
        <v>13.59052574</v>
      </c>
      <c r="D64" s="9" t="n">
        <v>14.76891803</v>
      </c>
      <c r="E64" s="13" t="n">
        <v>1.178392294</v>
      </c>
    </row>
    <row r="65">
      <c r="A65" t="inlineStr">
        <is>
          <t>ExpressJet Airlines</t>
        </is>
      </c>
      <c r="B65" t="inlineStr">
        <is>
          <t>2016-06</t>
        </is>
      </c>
      <c r="C65" s="9" t="n">
        <v>14.76891803</v>
      </c>
      <c r="D65" s="9" t="n">
        <v>17.4889522</v>
      </c>
      <c r="E65" s="13" t="n">
        <v>2.720034169</v>
      </c>
    </row>
    <row r="66">
      <c r="A66" t="inlineStr">
        <is>
          <t>ExpressJet Airlines</t>
        </is>
      </c>
      <c r="B66" t="inlineStr">
        <is>
          <t>2016-09</t>
        </is>
      </c>
      <c r="C66" s="9" t="n">
        <v>17.4889522</v>
      </c>
      <c r="D66" s="9" t="n">
        <v>16.18071731</v>
      </c>
      <c r="E66" s="13" t="n">
        <v>-1.308234888</v>
      </c>
    </row>
    <row r="67">
      <c r="A67" t="inlineStr">
        <is>
          <t>ExpressJet Airlines</t>
        </is>
      </c>
      <c r="B67" t="inlineStr">
        <is>
          <t>2017-06</t>
        </is>
      </c>
      <c r="C67" s="9" t="n">
        <v>16.18071731</v>
      </c>
      <c r="D67" s="9" t="n">
        <v>17.92747155</v>
      </c>
      <c r="E67" s="13" t="n">
        <v>1.746754238</v>
      </c>
    </row>
    <row r="68">
      <c r="A68" t="inlineStr">
        <is>
          <t>ExpressJet Airlines</t>
        </is>
      </c>
      <c r="B68" t="inlineStr">
        <is>
          <t>2017-09</t>
        </is>
      </c>
      <c r="C68" s="9" t="n">
        <v>17.92747155</v>
      </c>
      <c r="D68" s="9" t="n">
        <v>16.25915702</v>
      </c>
      <c r="E68" s="13" t="n">
        <v>-1.668314534</v>
      </c>
    </row>
    <row r="69">
      <c r="A69" t="inlineStr">
        <is>
          <t>ExpressJet Airlines</t>
        </is>
      </c>
      <c r="B69" t="inlineStr">
        <is>
          <t>2017-12</t>
        </is>
      </c>
      <c r="C69" s="9" t="n">
        <v>16.25915702</v>
      </c>
      <c r="D69" s="9" t="n">
        <v>17.59872411</v>
      </c>
      <c r="E69" s="13" t="n">
        <v>1.339567096</v>
      </c>
    </row>
    <row r="70">
      <c r="A70" t="inlineStr">
        <is>
          <t>ExpressJet Airlines</t>
        </is>
      </c>
      <c r="B70" t="inlineStr">
        <is>
          <t>2018-09</t>
        </is>
      </c>
      <c r="C70" s="9" t="n">
        <v>17.59872411</v>
      </c>
      <c r="D70" s="9" t="n">
        <v>16.12323049</v>
      </c>
      <c r="E70" s="13" t="n">
        <v>-1.475493625</v>
      </c>
    </row>
    <row r="71">
      <c r="A71" t="inlineStr">
        <is>
          <t>ExpressJet Airlines</t>
        </is>
      </c>
      <c r="B71" t="inlineStr">
        <is>
          <t>2019-01</t>
        </is>
      </c>
      <c r="C71" s="9" t="n">
        <v>16.12323049</v>
      </c>
      <c r="D71" s="9" t="n">
        <v>17.75324274</v>
      </c>
      <c r="E71" s="13" t="n">
        <v>1.630012253</v>
      </c>
    </row>
    <row r="72">
      <c r="A72" t="inlineStr">
        <is>
          <t>ExpressJet Airlines</t>
        </is>
      </c>
      <c r="B72" t="inlineStr">
        <is>
          <t>2019-09</t>
        </is>
      </c>
      <c r="C72" s="9" t="n">
        <v>17.75324274</v>
      </c>
      <c r="D72" s="9" t="n">
        <v>19.46386425</v>
      </c>
      <c r="E72" s="13" t="n">
        <v>1.710621505</v>
      </c>
    </row>
    <row r="73">
      <c r="A73" t="inlineStr">
        <is>
          <t>ExpressJet Airlines</t>
        </is>
      </c>
      <c r="B73" t="inlineStr">
        <is>
          <t>2020-06</t>
        </is>
      </c>
      <c r="C73" s="9" t="n">
        <v>19.46386425</v>
      </c>
      <c r="D73" s="9" t="n">
        <v>14.1267004</v>
      </c>
      <c r="E73" s="13" t="n">
        <v>-5.337163847</v>
      </c>
    </row>
    <row r="74">
      <c r="A74" t="inlineStr">
        <is>
          <t>Frontier Airlines</t>
        </is>
      </c>
      <c r="B74" t="inlineStr">
        <is>
          <t>2015-09</t>
        </is>
      </c>
      <c r="C74" s="9" t="n">
        <v>14.3221113</v>
      </c>
      <c r="D74" s="9" t="n">
        <v>18.21435588</v>
      </c>
      <c r="E74" s="13" t="n">
        <v>3.892244577</v>
      </c>
    </row>
    <row r="75">
      <c r="A75" t="inlineStr">
        <is>
          <t>Frontier Airlines</t>
        </is>
      </c>
      <c r="B75" t="inlineStr">
        <is>
          <t>2016-01</t>
        </is>
      </c>
      <c r="C75" s="9" t="n">
        <v>18.21435588</v>
      </c>
      <c r="D75" s="9" t="n">
        <v>23.07843156</v>
      </c>
      <c r="E75" s="13" t="n">
        <v>4.864075678</v>
      </c>
    </row>
    <row r="76">
      <c r="A76" t="inlineStr">
        <is>
          <t>Frontier Airlines</t>
        </is>
      </c>
      <c r="B76" t="inlineStr">
        <is>
          <t>2016-06</t>
        </is>
      </c>
      <c r="C76" s="9" t="n">
        <v>23.07843156</v>
      </c>
      <c r="D76" s="9" t="n">
        <v>19.82419546</v>
      </c>
      <c r="E76" s="13" t="n">
        <v>-3.254236095</v>
      </c>
    </row>
    <row r="77">
      <c r="A77" t="inlineStr">
        <is>
          <t>Frontier Airlines</t>
        </is>
      </c>
      <c r="B77" t="inlineStr">
        <is>
          <t>2016-10</t>
        </is>
      </c>
      <c r="C77" s="9" t="n">
        <v>19.82419546</v>
      </c>
      <c r="D77" s="9" t="n">
        <v>22.37097608</v>
      </c>
      <c r="E77" s="13" t="n">
        <v>2.546780623</v>
      </c>
    </row>
    <row r="78">
      <c r="A78" t="inlineStr">
        <is>
          <t>Frontier Airlines</t>
        </is>
      </c>
      <c r="B78" t="inlineStr">
        <is>
          <t>2019-02</t>
        </is>
      </c>
      <c r="C78" s="9" t="n">
        <v>22.37097608</v>
      </c>
      <c r="D78" s="9" t="n">
        <v>24.22954789</v>
      </c>
      <c r="E78" s="13" t="n">
        <v>1.858571805</v>
      </c>
    </row>
    <row r="79">
      <c r="A79" t="inlineStr">
        <is>
          <t>Frontier Airlines</t>
        </is>
      </c>
      <c r="B79" t="inlineStr">
        <is>
          <t>2020-04</t>
        </is>
      </c>
      <c r="C79" s="9" t="n">
        <v>24.22954789</v>
      </c>
      <c r="D79" s="9" t="n">
        <v>22.3408488</v>
      </c>
      <c r="E79" s="13" t="n">
        <v>-1.888699087</v>
      </c>
    </row>
    <row r="80">
      <c r="A80" t="inlineStr">
        <is>
          <t>Frontier Airlines</t>
        </is>
      </c>
      <c r="B80" t="inlineStr">
        <is>
          <t>2020-07</t>
        </is>
      </c>
      <c r="C80" s="9" t="n">
        <v>22.3408488</v>
      </c>
      <c r="D80" s="9" t="n">
        <v>20.06213389</v>
      </c>
      <c r="E80" s="13" t="n">
        <v>-2.278714911</v>
      </c>
    </row>
    <row r="81">
      <c r="A81" t="inlineStr">
        <is>
          <t>Frontier Airlines</t>
        </is>
      </c>
      <c r="B81" t="inlineStr">
        <is>
          <t>2021-05</t>
        </is>
      </c>
      <c r="C81" s="9" t="n">
        <v>20.06213389</v>
      </c>
      <c r="D81" s="9" t="n">
        <v>23.40895008</v>
      </c>
      <c r="E81" s="13" t="n">
        <v>3.346816187</v>
      </c>
    </row>
    <row r="82">
      <c r="A82" t="inlineStr">
        <is>
          <t>Frontier Airlines</t>
        </is>
      </c>
      <c r="B82" t="inlineStr">
        <is>
          <t>2022-02</t>
        </is>
      </c>
      <c r="C82" s="9" t="n">
        <v>23.40895008</v>
      </c>
      <c r="D82" s="9" t="n">
        <v>21.10133717</v>
      </c>
      <c r="E82" s="13" t="n">
        <v>-2.30761291</v>
      </c>
    </row>
    <row r="83">
      <c r="A83" t="inlineStr">
        <is>
          <t>Frontier Airlines</t>
        </is>
      </c>
      <c r="B83" t="inlineStr">
        <is>
          <t>2022-06</t>
        </is>
      </c>
      <c r="C83" s="9" t="n">
        <v>21.10133717</v>
      </c>
      <c r="D83" s="9" t="n">
        <v>23.64376087</v>
      </c>
      <c r="E83" s="13" t="n">
        <v>2.542423697</v>
      </c>
    </row>
    <row r="84">
      <c r="A84" t="inlineStr">
        <is>
          <t>Frontier Airlines</t>
        </is>
      </c>
      <c r="B84" t="inlineStr">
        <is>
          <t>2023-10</t>
        </is>
      </c>
      <c r="C84" s="9" t="n">
        <v>23.64376087</v>
      </c>
      <c r="D84" s="9" t="n">
        <v>25.35305621</v>
      </c>
      <c r="E84" s="13" t="n">
        <v>1.709295344</v>
      </c>
    </row>
    <row r="85">
      <c r="A85" t="inlineStr">
        <is>
          <t>Frontier Airlines</t>
        </is>
      </c>
      <c r="B85" t="inlineStr">
        <is>
          <t>2024-06</t>
        </is>
      </c>
      <c r="C85" s="9" t="n">
        <v>25.35305621</v>
      </c>
      <c r="D85" s="9" t="n">
        <v>23.82531966</v>
      </c>
      <c r="E85" s="13" t="n">
        <v>-1.527736546</v>
      </c>
    </row>
    <row r="86">
      <c r="A86" t="inlineStr">
        <is>
          <t>Frontier Airlines</t>
        </is>
      </c>
      <c r="B86" t="inlineStr">
        <is>
          <t>2025-02</t>
        </is>
      </c>
      <c r="C86" s="9" t="n">
        <v>23.82531966</v>
      </c>
      <c r="D86" s="9" t="n">
        <v>26.06691504</v>
      </c>
      <c r="E86" s="13" t="n">
        <v>2.241595376</v>
      </c>
    </row>
    <row r="87">
      <c r="A87" t="inlineStr">
        <is>
          <t>Frontier Airlines</t>
        </is>
      </c>
      <c r="B87" t="inlineStr">
        <is>
          <t>2026-03</t>
        </is>
      </c>
      <c r="C87" s="9" t="n">
        <v>26.06691504</v>
      </c>
      <c r="D87" s="9" t="n">
        <v>27.94252602</v>
      </c>
      <c r="E87" s="13" t="n">
        <v>1.875610981</v>
      </c>
    </row>
    <row r="88">
      <c r="A88" t="inlineStr">
        <is>
          <t>Allegiant Air</t>
        </is>
      </c>
      <c r="B88" t="inlineStr">
        <is>
          <t>2018-12</t>
        </is>
      </c>
      <c r="C88" s="9" t="n">
        <v>13.55493568</v>
      </c>
      <c r="D88" s="9" t="n">
        <v>11.59758645</v>
      </c>
      <c r="E88" s="13" t="n">
        <v>-1.95734923</v>
      </c>
    </row>
    <row r="89">
      <c r="A89" t="inlineStr">
        <is>
          <t>Allegiant Air</t>
        </is>
      </c>
      <c r="B89" t="inlineStr">
        <is>
          <t>2019-03</t>
        </is>
      </c>
      <c r="C89" s="9" t="n">
        <v>11.59758645</v>
      </c>
      <c r="D89" s="9" t="n">
        <v>13.29623262</v>
      </c>
      <c r="E89" s="13" t="n">
        <v>1.698646173</v>
      </c>
    </row>
    <row r="90">
      <c r="A90" t="inlineStr">
        <is>
          <t>Allegiant Air</t>
        </is>
      </c>
      <c r="B90" t="inlineStr">
        <is>
          <t>2019-12</t>
        </is>
      </c>
      <c r="C90" s="9" t="n">
        <v>13.29623262</v>
      </c>
      <c r="D90" s="9" t="n">
        <v>10.88423927</v>
      </c>
      <c r="E90" s="13" t="n">
        <v>-2.411993344</v>
      </c>
    </row>
    <row r="91">
      <c r="A91" t="inlineStr">
        <is>
          <t>Allegiant Air</t>
        </is>
      </c>
      <c r="B91" t="inlineStr">
        <is>
          <t>2020-06</t>
        </is>
      </c>
      <c r="C91" s="9" t="n">
        <v>10.88423927</v>
      </c>
      <c r="D91" s="9" t="n">
        <v>12.74921965</v>
      </c>
      <c r="E91" s="13" t="n">
        <v>1.864980378</v>
      </c>
    </row>
    <row r="92">
      <c r="A92" t="inlineStr">
        <is>
          <t>Allegiant Air</t>
        </is>
      </c>
      <c r="B92" t="inlineStr">
        <is>
          <t>2020-11</t>
        </is>
      </c>
      <c r="C92" s="9" t="n">
        <v>12.74921965</v>
      </c>
      <c r="D92" s="9" t="n">
        <v>11.22763033</v>
      </c>
      <c r="E92" s="13" t="n">
        <v>-1.521589318</v>
      </c>
    </row>
    <row r="93">
      <c r="A93" t="inlineStr">
        <is>
          <t>Allegiant Air</t>
        </is>
      </c>
      <c r="B93" t="inlineStr">
        <is>
          <t>2022-06</t>
        </is>
      </c>
      <c r="C93" s="9" t="n">
        <v>11.22763033</v>
      </c>
      <c r="D93" s="9" t="n">
        <v>13.28108374</v>
      </c>
      <c r="E93" s="13" t="n">
        <v>2.053453403</v>
      </c>
    </row>
    <row r="94">
      <c r="A94" t="inlineStr">
        <is>
          <t>Allegiant Air</t>
        </is>
      </c>
      <c r="B94" t="inlineStr">
        <is>
          <t>2023-01</t>
        </is>
      </c>
      <c r="C94" s="9" t="n">
        <v>13.28108374</v>
      </c>
      <c r="D94" s="9" t="n">
        <v>14.83366101</v>
      </c>
      <c r="E94" s="13" t="n">
        <v>1.552577271</v>
      </c>
    </row>
    <row r="95">
      <c r="A95" t="inlineStr">
        <is>
          <t>Allegiant Air</t>
        </is>
      </c>
      <c r="B95" t="inlineStr">
        <is>
          <t>2023-11</t>
        </is>
      </c>
      <c r="C95" s="9" t="n">
        <v>14.83366101</v>
      </c>
      <c r="D95" s="9" t="n">
        <v>18.44928037</v>
      </c>
      <c r="E95" s="13" t="n">
        <v>3.615619362</v>
      </c>
    </row>
    <row r="96">
      <c r="A96" t="inlineStr">
        <is>
          <t>Allegiant Air</t>
        </is>
      </c>
      <c r="B96" t="inlineStr">
        <is>
          <t>2024-06</t>
        </is>
      </c>
      <c r="C96" s="9" t="n">
        <v>18.44928037</v>
      </c>
      <c r="D96" s="9" t="n">
        <v>16.9671773</v>
      </c>
      <c r="E96" s="13" t="n">
        <v>-1.482103075</v>
      </c>
    </row>
    <row r="97">
      <c r="A97" t="inlineStr">
        <is>
          <t>Allegiant Air</t>
        </is>
      </c>
      <c r="B97" t="inlineStr">
        <is>
          <t>2024-12</t>
        </is>
      </c>
      <c r="C97" s="9" t="n">
        <v>16.9671773</v>
      </c>
      <c r="D97" s="9" t="n">
        <v>18.6982549</v>
      </c>
      <c r="E97" s="13" t="n">
        <v>1.731077599</v>
      </c>
    </row>
    <row r="98">
      <c r="A98" t="inlineStr">
        <is>
          <t>Allegiant Air</t>
        </is>
      </c>
      <c r="B98" t="inlineStr">
        <is>
          <t>2025-04</t>
        </is>
      </c>
      <c r="C98" s="9" t="n">
        <v>18.6982549</v>
      </c>
      <c r="D98" s="9" t="n">
        <v>16.14634714</v>
      </c>
      <c r="E98" s="13" t="n">
        <v>-2.551907755</v>
      </c>
    </row>
    <row r="99">
      <c r="A99" t="inlineStr">
        <is>
          <t>Allegiant Air</t>
        </is>
      </c>
      <c r="B99" t="inlineStr">
        <is>
          <t>2026-01</t>
        </is>
      </c>
      <c r="C99" s="9" t="n">
        <v>16.14634714</v>
      </c>
      <c r="D99" s="9" t="n">
        <v>17.41584394</v>
      </c>
      <c r="E99" s="13" t="n">
        <v>1.269496795</v>
      </c>
    </row>
    <row r="100">
      <c r="A100" t="inlineStr">
        <is>
          <t>Hawaiian Airlines</t>
        </is>
      </c>
      <c r="B100" t="inlineStr">
        <is>
          <t>2015-07</t>
        </is>
      </c>
      <c r="C100" s="9" t="n">
        <v>5.507960922</v>
      </c>
      <c r="D100" s="9" t="n">
        <v>7.072468893</v>
      </c>
      <c r="E100" s="13" t="n">
        <v>1.564507971</v>
      </c>
    </row>
    <row r="101">
      <c r="A101" t="inlineStr">
        <is>
          <t>Hawaiian Airlines</t>
        </is>
      </c>
      <c r="B101" t="inlineStr">
        <is>
          <t>2015-11</t>
        </is>
      </c>
      <c r="C101" s="9" t="n">
        <v>7.072468893</v>
      </c>
      <c r="D101" s="9" t="n">
        <v>8.327991822</v>
      </c>
      <c r="E101" s="13" t="n">
        <v>1.255522929</v>
      </c>
    </row>
    <row r="102">
      <c r="A102" t="inlineStr">
        <is>
          <t>Hawaiian Airlines</t>
        </is>
      </c>
      <c r="B102" t="inlineStr">
        <is>
          <t>2016-11</t>
        </is>
      </c>
      <c r="C102" s="9" t="n">
        <v>9.029000623</v>
      </c>
      <c r="D102" s="9" t="n">
        <v>7.754230797</v>
      </c>
      <c r="E102" s="13" t="n">
        <v>-1.274769827</v>
      </c>
    </row>
    <row r="103">
      <c r="A103" t="inlineStr">
        <is>
          <t>Hawaiian Airlines</t>
        </is>
      </c>
      <c r="B103" t="inlineStr">
        <is>
          <t>2017-06</t>
        </is>
      </c>
      <c r="C103" s="9" t="n">
        <v>7.754230797</v>
      </c>
      <c r="D103" s="9" t="n">
        <v>9.541869213</v>
      </c>
      <c r="E103" s="13" t="n">
        <v>1.787638416</v>
      </c>
    </row>
    <row r="104">
      <c r="A104" t="inlineStr">
        <is>
          <t>Hawaiian Airlines</t>
        </is>
      </c>
      <c r="B104" t="inlineStr">
        <is>
          <t>2020-06</t>
        </is>
      </c>
      <c r="C104" s="9" t="n">
        <v>10.95344284</v>
      </c>
      <c r="D104" s="9" t="n">
        <v>8.729900733999999</v>
      </c>
      <c r="E104" s="13" t="n">
        <v>-2.223542105</v>
      </c>
    </row>
    <row r="105">
      <c r="A105" t="inlineStr">
        <is>
          <t>Hawaiian Airlines</t>
        </is>
      </c>
      <c r="B105" t="inlineStr">
        <is>
          <t>2021-01</t>
        </is>
      </c>
      <c r="C105" s="9" t="n">
        <v>8.729900733999999</v>
      </c>
      <c r="D105" s="9" t="n">
        <v>11.06036322</v>
      </c>
      <c r="E105" s="13" t="n">
        <v>2.33046249</v>
      </c>
    </row>
    <row r="106">
      <c r="A106" t="inlineStr">
        <is>
          <t>Hawaiian Airlines</t>
        </is>
      </c>
      <c r="B106" t="inlineStr">
        <is>
          <t>2024-06</t>
        </is>
      </c>
      <c r="C106" s="9" t="n">
        <v>11.30066962</v>
      </c>
      <c r="D106" s="9" t="n">
        <v>10.12755863</v>
      </c>
      <c r="E106" s="13" t="n">
        <v>-1.173110987</v>
      </c>
    </row>
    <row r="107">
      <c r="A107" t="inlineStr">
        <is>
          <t>Hawaiian Airlines</t>
        </is>
      </c>
      <c r="B107" t="inlineStr">
        <is>
          <t>2025-02</t>
        </is>
      </c>
      <c r="C107" s="9" t="n">
        <v>11.02210689</v>
      </c>
      <c r="D107" s="9" t="n">
        <v>9.777463405000001</v>
      </c>
      <c r="E107" s="13" t="n">
        <v>-1.244643482</v>
      </c>
    </row>
    <row r="108">
      <c r="A108" t="inlineStr">
        <is>
          <t>Hawaiian Airlines</t>
        </is>
      </c>
      <c r="B108" t="inlineStr">
        <is>
          <t>2025-10</t>
        </is>
      </c>
      <c r="C108" s="9" t="n">
        <v>9.777463405000001</v>
      </c>
      <c r="D108" s="9" t="n">
        <v>10.91819772</v>
      </c>
      <c r="E108" s="13" t="n">
        <v>1.140734311</v>
      </c>
    </row>
    <row r="109">
      <c r="A109" t="inlineStr">
        <is>
          <t>Envoy Air</t>
        </is>
      </c>
      <c r="B109" t="inlineStr">
        <is>
          <t>2015-04</t>
        </is>
      </c>
      <c r="C109" s="9" t="n">
        <v>11.27255136</v>
      </c>
      <c r="D109" s="9" t="n">
        <v>15.62687529</v>
      </c>
      <c r="E109" s="13" t="n">
        <v>4.354323935</v>
      </c>
    </row>
    <row r="110">
      <c r="A110" t="inlineStr">
        <is>
          <t>Envoy Air</t>
        </is>
      </c>
      <c r="B110" t="inlineStr">
        <is>
          <t>2019-06</t>
        </is>
      </c>
      <c r="C110" s="9" t="n">
        <v>15.62687529</v>
      </c>
      <c r="D110" s="9" t="n">
        <v>16.68095099</v>
      </c>
      <c r="E110" s="13" t="n">
        <v>1.054075695</v>
      </c>
    </row>
    <row r="111">
      <c r="A111" t="inlineStr">
        <is>
          <t>Envoy Air</t>
        </is>
      </c>
      <c r="B111" t="inlineStr">
        <is>
          <t>2020-06</t>
        </is>
      </c>
      <c r="C111" s="9" t="n">
        <v>16.68095099</v>
      </c>
      <c r="D111" s="9" t="n">
        <v>12.91229675</v>
      </c>
      <c r="E111" s="13" t="n">
        <v>-3.768654241</v>
      </c>
    </row>
    <row r="112">
      <c r="A112" t="inlineStr">
        <is>
          <t>Envoy Air</t>
        </is>
      </c>
      <c r="B112" t="inlineStr">
        <is>
          <t>2020-10</t>
        </is>
      </c>
      <c r="C112" s="9" t="n">
        <v>12.91229675</v>
      </c>
      <c r="D112" s="9" t="n">
        <v>15.68755504</v>
      </c>
      <c r="E112" s="13" t="n">
        <v>2.775258292</v>
      </c>
    </row>
    <row r="113">
      <c r="A113" t="inlineStr">
        <is>
          <t>Envoy Air</t>
        </is>
      </c>
      <c r="B113" t="inlineStr">
        <is>
          <t>2021-01</t>
        </is>
      </c>
      <c r="C113" s="9" t="n">
        <v>15.68755504</v>
      </c>
      <c r="D113" s="9" t="n">
        <v>20.52882732</v>
      </c>
      <c r="E113" s="13" t="n">
        <v>4.841272279</v>
      </c>
    </row>
    <row r="114">
      <c r="A114" t="inlineStr">
        <is>
          <t>Envoy Air</t>
        </is>
      </c>
      <c r="B114" t="inlineStr">
        <is>
          <t>2021-05</t>
        </is>
      </c>
      <c r="C114" s="9" t="n">
        <v>20.52882732</v>
      </c>
      <c r="D114" s="9" t="n">
        <v>17.9942941</v>
      </c>
      <c r="E114" s="13" t="n">
        <v>-2.53453322</v>
      </c>
    </row>
    <row r="115">
      <c r="A115" t="inlineStr">
        <is>
          <t>Envoy Air</t>
        </is>
      </c>
      <c r="B115" t="inlineStr">
        <is>
          <t>2022-04</t>
        </is>
      </c>
      <c r="C115" s="9" t="n">
        <v>17.9942941</v>
      </c>
      <c r="D115" s="9" t="n">
        <v>16.06976999</v>
      </c>
      <c r="E115" s="13" t="n">
        <v>-1.924524113</v>
      </c>
    </row>
    <row r="116">
      <c r="A116" t="inlineStr">
        <is>
          <t>Envoy Air</t>
        </is>
      </c>
      <c r="B116" t="inlineStr">
        <is>
          <t>2023-08</t>
        </is>
      </c>
      <c r="C116" s="9" t="n">
        <v>16.06976999</v>
      </c>
      <c r="D116" s="9" t="n">
        <v>18.48076296</v>
      </c>
      <c r="E116" s="13" t="n">
        <v>2.410992975</v>
      </c>
    </row>
    <row r="117">
      <c r="A117" t="inlineStr">
        <is>
          <t>Envoy Air</t>
        </is>
      </c>
      <c r="B117" t="inlineStr">
        <is>
          <t>2024-01</t>
        </is>
      </c>
      <c r="C117" s="9" t="n">
        <v>18.48076296</v>
      </c>
      <c r="D117" s="9" t="n">
        <v>17.2184426</v>
      </c>
      <c r="E117" s="13" t="n">
        <v>-1.262320358</v>
      </c>
    </row>
    <row r="118">
      <c r="A118" t="inlineStr">
        <is>
          <t>Envoy Air</t>
        </is>
      </c>
      <c r="B118" t="inlineStr">
        <is>
          <t>2024-09</t>
        </is>
      </c>
      <c r="C118" s="9" t="n">
        <v>17.2184426</v>
      </c>
      <c r="D118" s="9" t="n">
        <v>18.51040726</v>
      </c>
      <c r="E118" s="13" t="n">
        <v>1.291964655</v>
      </c>
    </row>
    <row r="119">
      <c r="A119" t="inlineStr">
        <is>
          <t>Envoy Air</t>
        </is>
      </c>
      <c r="B119" t="inlineStr">
        <is>
          <t>2025-02</t>
        </is>
      </c>
      <c r="C119" s="9" t="n">
        <v>18.51040726</v>
      </c>
      <c r="D119" s="9" t="n">
        <v>17.2381942</v>
      </c>
      <c r="E119" s="13" t="n">
        <v>-1.272213056</v>
      </c>
    </row>
    <row r="120">
      <c r="A120" t="inlineStr">
        <is>
          <t>Envoy Air</t>
        </is>
      </c>
      <c r="B120" t="inlineStr">
        <is>
          <t>2025-07</t>
        </is>
      </c>
      <c r="C120" s="9" t="n">
        <v>17.2381942</v>
      </c>
      <c r="D120" s="9" t="n">
        <v>19.3204263</v>
      </c>
      <c r="E120" s="13" t="n">
        <v>2.082232097</v>
      </c>
    </row>
    <row r="121">
      <c r="A121" t="inlineStr">
        <is>
          <t>Envoy Air</t>
        </is>
      </c>
      <c r="B121" t="inlineStr">
        <is>
          <t>2026-01</t>
        </is>
      </c>
      <c r="C121" s="9" t="n">
        <v>19.3204263</v>
      </c>
      <c r="D121" s="9" t="n">
        <v>20.98456472</v>
      </c>
      <c r="E121" s="13" t="n">
        <v>1.664138417</v>
      </c>
    </row>
    <row r="122">
      <c r="A122" t="inlineStr">
        <is>
          <t>Envoy Air</t>
        </is>
      </c>
      <c r="B122" t="inlineStr">
        <is>
          <t>2026-04</t>
        </is>
      </c>
      <c r="C122" s="9" t="n">
        <v>20.98456472</v>
      </c>
      <c r="D122" s="9" t="n">
        <v>23.08960952</v>
      </c>
      <c r="E122" s="13" t="n">
        <v>2.105044805</v>
      </c>
    </row>
    <row r="123">
      <c r="A123" t="inlineStr">
        <is>
          <t>Spirit Airlines</t>
        </is>
      </c>
      <c r="B123" t="inlineStr">
        <is>
          <t>2016-05</t>
        </is>
      </c>
      <c r="C123" s="9" t="n">
        <v>15.35582827</v>
      </c>
      <c r="D123" s="9" t="n">
        <v>16.98263078</v>
      </c>
      <c r="E123" s="13" t="n">
        <v>1.626802515</v>
      </c>
    </row>
    <row r="124">
      <c r="A124" t="inlineStr">
        <is>
          <t>Spirit Airlines</t>
        </is>
      </c>
      <c r="B124" t="inlineStr">
        <is>
          <t>2017-09</t>
        </is>
      </c>
      <c r="C124" s="9" t="n">
        <v>16.98263078</v>
      </c>
      <c r="D124" s="9" t="n">
        <v>19.26004035</v>
      </c>
      <c r="E124" s="13" t="n">
        <v>2.277409571</v>
      </c>
    </row>
    <row r="125">
      <c r="A125" t="inlineStr">
        <is>
          <t>Spirit Airlines</t>
        </is>
      </c>
      <c r="B125" t="inlineStr">
        <is>
          <t>2018-06</t>
        </is>
      </c>
      <c r="C125" s="9" t="n">
        <v>19.26004035</v>
      </c>
      <c r="D125" s="9" t="n">
        <v>17.6969884</v>
      </c>
      <c r="E125" s="13" t="n">
        <v>-1.56305195</v>
      </c>
    </row>
    <row r="126">
      <c r="A126" t="inlineStr">
        <is>
          <t>Spirit Airlines</t>
        </is>
      </c>
      <c r="B126" t="inlineStr">
        <is>
          <t>2018-10</t>
        </is>
      </c>
      <c r="C126" s="9" t="n">
        <v>17.6969884</v>
      </c>
      <c r="D126" s="9" t="n">
        <v>20.35165425</v>
      </c>
      <c r="E126" s="13" t="n">
        <v>2.654665843</v>
      </c>
    </row>
    <row r="127">
      <c r="A127" t="inlineStr">
        <is>
          <t>Spirit Airlines</t>
        </is>
      </c>
      <c r="B127" t="inlineStr">
        <is>
          <t>2020-06</t>
        </is>
      </c>
      <c r="C127" s="9" t="n">
        <v>20.35165425</v>
      </c>
      <c r="D127" s="9" t="n">
        <v>18.4041251</v>
      </c>
      <c r="E127" s="13" t="n">
        <v>-1.947529147</v>
      </c>
    </row>
    <row r="128">
      <c r="A128" t="inlineStr">
        <is>
          <t>Spirit Airlines</t>
        </is>
      </c>
      <c r="B128" t="inlineStr">
        <is>
          <t>2020-09</t>
        </is>
      </c>
      <c r="C128" s="9" t="n">
        <v>18.4041251</v>
      </c>
      <c r="D128" s="9" t="n">
        <v>14.5408151</v>
      </c>
      <c r="E128" s="13" t="n">
        <v>-3.863309999</v>
      </c>
    </row>
    <row r="129">
      <c r="A129" t="inlineStr">
        <is>
          <t>Spirit Airlines</t>
        </is>
      </c>
      <c r="B129" t="inlineStr">
        <is>
          <t>2021-05</t>
        </is>
      </c>
      <c r="C129" s="9" t="n">
        <v>14.5408151</v>
      </c>
      <c r="D129" s="9" t="n">
        <v>19.34288781</v>
      </c>
      <c r="E129" s="13" t="n">
        <v>4.802072708</v>
      </c>
    </row>
    <row r="130">
      <c r="A130" t="inlineStr">
        <is>
          <t>Spirit Airlines</t>
        </is>
      </c>
      <c r="B130" t="inlineStr">
        <is>
          <t>2022-01</t>
        </is>
      </c>
      <c r="C130" s="9" t="n">
        <v>19.34288781</v>
      </c>
      <c r="D130" s="9" t="n">
        <v>16.63799503</v>
      </c>
      <c r="E130" s="13" t="n">
        <v>-2.704892775</v>
      </c>
    </row>
    <row r="131">
      <c r="A131" t="inlineStr">
        <is>
          <t>Spirit Airlines</t>
        </is>
      </c>
      <c r="B131" t="inlineStr">
        <is>
          <t>2022-06</t>
        </is>
      </c>
      <c r="C131" s="9" t="n">
        <v>16.63799503</v>
      </c>
      <c r="D131" s="9" t="n">
        <v>21.57308855</v>
      </c>
      <c r="E131" s="13" t="n">
        <v>4.935093519</v>
      </c>
    </row>
    <row r="132">
      <c r="A132" t="inlineStr">
        <is>
          <t>Spirit Airlines</t>
        </is>
      </c>
      <c r="B132" t="inlineStr">
        <is>
          <t>2022-09</t>
        </is>
      </c>
      <c r="C132" s="9" t="n">
        <v>21.57308855</v>
      </c>
      <c r="D132" s="9" t="n">
        <v>19.46394045</v>
      </c>
      <c r="E132" s="13" t="n">
        <v>-2.109148105</v>
      </c>
    </row>
    <row r="133">
      <c r="A133" t="inlineStr">
        <is>
          <t>Spirit Airlines</t>
        </is>
      </c>
      <c r="B133" t="inlineStr">
        <is>
          <t>2023-09</t>
        </is>
      </c>
      <c r="C133" s="9" t="n">
        <v>19.46394045</v>
      </c>
      <c r="D133" s="9" t="n">
        <v>21.59018652</v>
      </c>
      <c r="E133" s="13" t="n">
        <v>2.126246072</v>
      </c>
    </row>
    <row r="134">
      <c r="A134" t="inlineStr">
        <is>
          <t>Spirit Airlines</t>
        </is>
      </c>
      <c r="B134" t="inlineStr">
        <is>
          <t>2025-05</t>
        </is>
      </c>
      <c r="C134" s="9" t="n">
        <v>21.59018652</v>
      </c>
      <c r="D134" s="9" t="n">
        <v>20.58320947</v>
      </c>
      <c r="E134" s="13" t="n">
        <v>-1.006977047</v>
      </c>
    </row>
    <row r="135">
      <c r="A135" t="inlineStr">
        <is>
          <t>Spirit Airlines</t>
        </is>
      </c>
      <c r="B135" t="inlineStr">
        <is>
          <t>2026-03</t>
        </is>
      </c>
      <c r="C135" s="9" t="n">
        <v>20.58320947</v>
      </c>
      <c r="D135" s="9" t="n">
        <v>18.27266829</v>
      </c>
      <c r="E135" s="13" t="n">
        <v>-2.310541182</v>
      </c>
    </row>
    <row r="136">
      <c r="A136" t="inlineStr">
        <is>
          <t>PSA Airlines</t>
        </is>
      </c>
      <c r="B136" t="inlineStr">
        <is>
          <t>2018-06</t>
        </is>
      </c>
      <c r="C136" s="9" t="n">
        <v>14.89521607</v>
      </c>
      <c r="D136" s="9" t="n">
        <v>16.87062362</v>
      </c>
      <c r="E136" s="13" t="n">
        <v>1.97540755</v>
      </c>
    </row>
    <row r="137">
      <c r="A137" t="inlineStr">
        <is>
          <t>PSA Airlines</t>
        </is>
      </c>
      <c r="B137" t="inlineStr">
        <is>
          <t>2019-08</t>
        </is>
      </c>
      <c r="C137" s="9" t="n">
        <v>16.87062362</v>
      </c>
      <c r="D137" s="9" t="n">
        <v>18.13419421</v>
      </c>
      <c r="E137" s="13" t="n">
        <v>1.263570592</v>
      </c>
    </row>
    <row r="138">
      <c r="A138" t="inlineStr">
        <is>
          <t>PSA Airlines</t>
        </is>
      </c>
      <c r="B138" t="inlineStr">
        <is>
          <t>2020-06</t>
        </is>
      </c>
      <c r="C138" s="9" t="n">
        <v>18.13419421</v>
      </c>
      <c r="D138" s="9" t="n">
        <v>15.08818039</v>
      </c>
      <c r="E138" s="13" t="n">
        <v>-3.046013818</v>
      </c>
    </row>
    <row r="139">
      <c r="A139" t="inlineStr">
        <is>
          <t>PSA Airlines</t>
        </is>
      </c>
      <c r="B139" t="inlineStr">
        <is>
          <t>2020-11</t>
        </is>
      </c>
      <c r="C139" s="9" t="n">
        <v>15.08818039</v>
      </c>
      <c r="D139" s="9" t="n">
        <v>17.81189381</v>
      </c>
      <c r="E139" s="13" t="n">
        <v>2.723713413</v>
      </c>
    </row>
    <row r="140">
      <c r="A140" t="inlineStr">
        <is>
          <t>PSA Airlines</t>
        </is>
      </c>
      <c r="B140" t="inlineStr">
        <is>
          <t>2021-02</t>
        </is>
      </c>
      <c r="C140" s="9" t="n">
        <v>17.81189381</v>
      </c>
      <c r="D140" s="9" t="n">
        <v>21.85391559</v>
      </c>
      <c r="E140" s="13" t="n">
        <v>4.042021782</v>
      </c>
    </row>
    <row r="141">
      <c r="A141" t="inlineStr">
        <is>
          <t>PSA Airlines</t>
        </is>
      </c>
      <c r="B141" t="inlineStr">
        <is>
          <t>2021-05</t>
        </is>
      </c>
      <c r="C141" s="9" t="n">
        <v>21.85391559</v>
      </c>
      <c r="D141" s="9" t="n">
        <v>18.81584491</v>
      </c>
      <c r="E141" s="13" t="n">
        <v>-3.038070675</v>
      </c>
    </row>
    <row r="142">
      <c r="A142" t="inlineStr">
        <is>
          <t>PSA Airlines</t>
        </is>
      </c>
      <c r="B142" t="inlineStr">
        <is>
          <t>2022-02</t>
        </is>
      </c>
      <c r="C142" s="9" t="n">
        <v>18.81584491</v>
      </c>
      <c r="D142" s="9" t="n">
        <v>17.69654003</v>
      </c>
      <c r="E142" s="13" t="n">
        <v>-1.119304881</v>
      </c>
    </row>
    <row r="143">
      <c r="A143" t="inlineStr">
        <is>
          <t>PSA Airlines</t>
        </is>
      </c>
      <c r="B143" t="inlineStr">
        <is>
          <t>2022-12</t>
        </is>
      </c>
      <c r="C143" s="9" t="n">
        <v>17.69654003</v>
      </c>
      <c r="D143" s="9" t="n">
        <v>19.14126166</v>
      </c>
      <c r="E143" s="13" t="n">
        <v>1.444721628</v>
      </c>
    </row>
    <row r="144">
      <c r="A144" t="inlineStr">
        <is>
          <t>PSA Airlines</t>
        </is>
      </c>
      <c r="B144" t="inlineStr">
        <is>
          <t>2023-08</t>
        </is>
      </c>
      <c r="C144" s="9" t="n">
        <v>19.14126166</v>
      </c>
      <c r="D144" s="9" t="n">
        <v>20.45471821</v>
      </c>
      <c r="E144" s="13" t="n">
        <v>1.313456552</v>
      </c>
    </row>
    <row r="145">
      <c r="A145" t="inlineStr">
        <is>
          <t>PSA Airlines</t>
        </is>
      </c>
      <c r="B145" t="inlineStr">
        <is>
          <t>2024-03</t>
        </is>
      </c>
      <c r="C145" s="9" t="n">
        <v>20.45471821</v>
      </c>
      <c r="D145" s="9" t="n">
        <v>18.95274155</v>
      </c>
      <c r="E145" s="13" t="n">
        <v>-1.501976662</v>
      </c>
    </row>
    <row r="146">
      <c r="A146" t="inlineStr">
        <is>
          <t>PSA Airlines</t>
        </is>
      </c>
      <c r="B146" t="inlineStr">
        <is>
          <t>2024-06</t>
        </is>
      </c>
      <c r="C146" s="9" t="n">
        <v>18.95274155</v>
      </c>
      <c r="D146" s="9" t="n">
        <v>21.17082358</v>
      </c>
      <c r="E146" s="13" t="n">
        <v>2.21808203</v>
      </c>
    </row>
    <row r="147">
      <c r="A147" t="inlineStr">
        <is>
          <t>PSA Airlines</t>
        </is>
      </c>
      <c r="B147" t="inlineStr">
        <is>
          <t>2025-02</t>
        </is>
      </c>
      <c r="C147" s="9" t="n">
        <v>21.17082358</v>
      </c>
      <c r="D147" s="9" t="n">
        <v>19.29562914</v>
      </c>
      <c r="E147" s="13" t="n">
        <v>-1.875194437</v>
      </c>
    </row>
    <row r="148">
      <c r="A148" t="inlineStr">
        <is>
          <t>PSA Airlines</t>
        </is>
      </c>
      <c r="B148" t="inlineStr">
        <is>
          <t>2025-07</t>
        </is>
      </c>
      <c r="C148" s="9" t="n">
        <v>19.29562914</v>
      </c>
      <c r="D148" s="9" t="n">
        <v>21.38136786</v>
      </c>
      <c r="E148" s="13" t="n">
        <v>2.085738719</v>
      </c>
    </row>
    <row r="149">
      <c r="A149" t="inlineStr">
        <is>
          <t>PSA Airlines</t>
        </is>
      </c>
      <c r="B149" t="inlineStr">
        <is>
          <t>2026-01</t>
        </is>
      </c>
      <c r="C149" s="9" t="n">
        <v>21.38136786</v>
      </c>
      <c r="D149" s="9" t="n">
        <v>22.83803593</v>
      </c>
      <c r="E149" s="13" t="n">
        <v>1.456668069</v>
      </c>
    </row>
    <row r="150">
      <c r="A150" t="inlineStr">
        <is>
          <t>PSA Airlines</t>
        </is>
      </c>
      <c r="B150" t="inlineStr">
        <is>
          <t>2026-05</t>
        </is>
      </c>
      <c r="C150" s="9" t="n">
        <v>22.83803593</v>
      </c>
      <c r="D150" s="9" t="n">
        <v>24.43422273</v>
      </c>
      <c r="E150" s="13" t="n">
        <v>1.5961868</v>
      </c>
    </row>
    <row r="151">
      <c r="A151" t="inlineStr">
        <is>
          <t>SkyWest Airlines</t>
        </is>
      </c>
      <c r="B151" t="inlineStr">
        <is>
          <t>2015-04</t>
        </is>
      </c>
      <c r="C151" s="9" t="n">
        <v>13.36214944</v>
      </c>
      <c r="D151" s="9" t="n">
        <v>15.44158471</v>
      </c>
      <c r="E151" s="13" t="n">
        <v>2.079435278</v>
      </c>
    </row>
    <row r="152">
      <c r="A152" t="inlineStr">
        <is>
          <t>SkyWest Airlines</t>
        </is>
      </c>
      <c r="B152" t="inlineStr">
        <is>
          <t>2016-04</t>
        </is>
      </c>
      <c r="C152" s="9" t="n">
        <v>14.60820037</v>
      </c>
      <c r="D152" s="9" t="n">
        <v>16.81284654</v>
      </c>
      <c r="E152" s="13" t="n">
        <v>2.20464617</v>
      </c>
    </row>
    <row r="153">
      <c r="A153" t="inlineStr">
        <is>
          <t>SkyWest Airlines</t>
        </is>
      </c>
      <c r="B153" t="inlineStr">
        <is>
          <t>2017-08</t>
        </is>
      </c>
      <c r="C153" s="9" t="n">
        <v>17.65575931</v>
      </c>
      <c r="D153" s="9" t="n">
        <v>18.81668141</v>
      </c>
      <c r="E153" s="13" t="n">
        <v>1.160922099</v>
      </c>
    </row>
    <row r="154">
      <c r="A154" t="inlineStr">
        <is>
          <t>SkyWest Airlines</t>
        </is>
      </c>
      <c r="B154" t="inlineStr">
        <is>
          <t>2018-12</t>
        </is>
      </c>
      <c r="C154" s="9" t="n">
        <v>18.81668141</v>
      </c>
      <c r="D154" s="9" t="n">
        <v>20.06210041</v>
      </c>
      <c r="E154" s="13" t="n">
        <v>1.245418997</v>
      </c>
    </row>
    <row r="155">
      <c r="A155" t="inlineStr">
        <is>
          <t>SkyWest Airlines</t>
        </is>
      </c>
      <c r="B155" t="inlineStr">
        <is>
          <t>2019-12</t>
        </is>
      </c>
      <c r="C155" s="9" t="n">
        <v>20.06210041</v>
      </c>
      <c r="D155" s="9" t="n">
        <v>21.38673328</v>
      </c>
      <c r="E155" s="13" t="n">
        <v>1.32463287</v>
      </c>
    </row>
    <row r="156">
      <c r="A156" t="inlineStr">
        <is>
          <t>SkyWest Airlines</t>
        </is>
      </c>
      <c r="B156" t="inlineStr">
        <is>
          <t>2020-04</t>
        </is>
      </c>
      <c r="C156" s="9" t="n">
        <v>21.38673328</v>
      </c>
      <c r="D156" s="9" t="n">
        <v>16.3640657</v>
      </c>
      <c r="E156" s="13" t="n">
        <v>-5.022667574</v>
      </c>
    </row>
    <row r="157">
      <c r="A157" t="inlineStr">
        <is>
          <t>SkyWest Airlines</t>
        </is>
      </c>
      <c r="B157" t="inlineStr">
        <is>
          <t>2021-01</t>
        </is>
      </c>
      <c r="C157" s="9" t="n">
        <v>16.3640657</v>
      </c>
      <c r="D157" s="9" t="n">
        <v>18.63886585</v>
      </c>
      <c r="E157" s="13" t="n">
        <v>2.274800149</v>
      </c>
    </row>
    <row r="158">
      <c r="A158" t="inlineStr">
        <is>
          <t>SkyWest Airlines</t>
        </is>
      </c>
      <c r="B158" t="inlineStr">
        <is>
          <t>2021-06</t>
        </is>
      </c>
      <c r="C158" s="9" t="n">
        <v>18.63886585</v>
      </c>
      <c r="D158" s="9" t="n">
        <v>17.50934598</v>
      </c>
      <c r="E158" s="13" t="n">
        <v>-1.129519878</v>
      </c>
    </row>
    <row r="159">
      <c r="A159" t="inlineStr">
        <is>
          <t>SkyWest Airlines</t>
        </is>
      </c>
      <c r="B159" t="inlineStr">
        <is>
          <t>2021-11</t>
        </is>
      </c>
      <c r="C159" s="9" t="n">
        <v>17.50934598</v>
      </c>
      <c r="D159" s="9" t="n">
        <v>18.67931764</v>
      </c>
      <c r="E159" s="13" t="n">
        <v>1.169971661</v>
      </c>
    </row>
    <row r="160">
      <c r="A160" t="inlineStr">
        <is>
          <t>SkyWest Airlines</t>
        </is>
      </c>
      <c r="B160" t="inlineStr">
        <is>
          <t>2023-05</t>
        </is>
      </c>
      <c r="C160" s="9" t="n">
        <v>18.67931764</v>
      </c>
      <c r="D160" s="9" t="n">
        <v>19.81386947</v>
      </c>
      <c r="E160" s="13" t="n">
        <v>1.134551831</v>
      </c>
    </row>
    <row r="161">
      <c r="A161" t="inlineStr">
        <is>
          <t>SkyWest Airlines</t>
        </is>
      </c>
      <c r="B161" t="inlineStr">
        <is>
          <t>2024-12</t>
        </is>
      </c>
      <c r="C161" s="9" t="n">
        <v>20.74394852</v>
      </c>
      <c r="D161" s="9" t="n">
        <v>21.9565862</v>
      </c>
      <c r="E161" s="13" t="n">
        <v>1.212637681</v>
      </c>
    </row>
    <row r="162">
      <c r="A162" t="inlineStr">
        <is>
          <t>SkyWest Airlines</t>
        </is>
      </c>
      <c r="B162" t="inlineStr">
        <is>
          <t>2025-08</t>
        </is>
      </c>
      <c r="C162" s="9" t="n">
        <v>21.9565862</v>
      </c>
      <c r="D162" s="9" t="n">
        <v>23.15550253</v>
      </c>
      <c r="E162" s="13" t="n">
        <v>1.198916326</v>
      </c>
    </row>
    <row r="163">
      <c r="A163" t="inlineStr">
        <is>
          <t>SkyWest Airlines</t>
        </is>
      </c>
      <c r="B163" t="inlineStr">
        <is>
          <t>2026-01</t>
        </is>
      </c>
      <c r="C163" s="9" t="n">
        <v>23.15550253</v>
      </c>
      <c r="D163" s="9" t="n">
        <v>24.19285336</v>
      </c>
      <c r="E163" s="13" t="n">
        <v>1.03735083</v>
      </c>
    </row>
    <row r="164">
      <c r="A164" t="inlineStr">
        <is>
          <t>SkyWest Airlines</t>
        </is>
      </c>
      <c r="B164" t="inlineStr">
        <is>
          <t>2026-04</t>
        </is>
      </c>
      <c r="C164" s="9" t="n">
        <v>24.19285336</v>
      </c>
      <c r="D164" s="9" t="n">
        <v>25.56721194</v>
      </c>
      <c r="E164" s="13" t="n">
        <v>1.374358585</v>
      </c>
    </row>
    <row r="165">
      <c r="A165" t="inlineStr">
        <is>
          <t>United Airlines</t>
        </is>
      </c>
      <c r="B165" t="inlineStr">
        <is>
          <t>2015-07</t>
        </is>
      </c>
      <c r="C165" s="9" t="n">
        <v>20.83317486</v>
      </c>
      <c r="D165" s="9" t="n">
        <v>22.57213381</v>
      </c>
      <c r="E165" s="13" t="n">
        <v>1.738958945</v>
      </c>
    </row>
    <row r="166">
      <c r="A166" t="inlineStr">
        <is>
          <t>United Airlines</t>
        </is>
      </c>
      <c r="B166" t="inlineStr">
        <is>
          <t>2016-09</t>
        </is>
      </c>
      <c r="C166" s="9" t="n">
        <v>22.57213381</v>
      </c>
      <c r="D166" s="9" t="n">
        <v>21.03739313</v>
      </c>
      <c r="E166" s="13" t="n">
        <v>-1.534740677</v>
      </c>
    </row>
    <row r="167">
      <c r="A167" t="inlineStr">
        <is>
          <t>United Airlines</t>
        </is>
      </c>
      <c r="B167" t="inlineStr">
        <is>
          <t>2018-04</t>
        </is>
      </c>
      <c r="C167" s="9" t="n">
        <v>21.77331707</v>
      </c>
      <c r="D167" s="9" t="n">
        <v>18.8702817</v>
      </c>
      <c r="E167" s="13" t="n">
        <v>-2.903035377</v>
      </c>
    </row>
    <row r="168">
      <c r="A168" t="inlineStr">
        <is>
          <t>United Airlines</t>
        </is>
      </c>
      <c r="B168" t="inlineStr">
        <is>
          <t>2018-09</t>
        </is>
      </c>
      <c r="C168" s="9" t="n">
        <v>18.8702817</v>
      </c>
      <c r="D168" s="9" t="n">
        <v>17.79597403</v>
      </c>
      <c r="E168" s="13" t="n">
        <v>-1.074307668</v>
      </c>
    </row>
    <row r="169">
      <c r="A169" t="inlineStr">
        <is>
          <t>United Airlines</t>
        </is>
      </c>
      <c r="B169" t="inlineStr">
        <is>
          <t>2019-01</t>
        </is>
      </c>
      <c r="C169" s="9" t="n">
        <v>17.79597403</v>
      </c>
      <c r="D169" s="9" t="n">
        <v>19.47947675</v>
      </c>
      <c r="E169" s="13" t="n">
        <v>1.683502722</v>
      </c>
    </row>
    <row r="170">
      <c r="A170" t="inlineStr">
        <is>
          <t>United Airlines</t>
        </is>
      </c>
      <c r="B170" t="inlineStr">
        <is>
          <t>2019-06</t>
        </is>
      </c>
      <c r="C170" s="9" t="n">
        <v>19.47947675</v>
      </c>
      <c r="D170" s="9" t="n">
        <v>20.85318521</v>
      </c>
      <c r="E170" s="13" t="n">
        <v>1.373708463</v>
      </c>
    </row>
    <row r="171">
      <c r="A171" t="inlineStr">
        <is>
          <t>United Airlines</t>
        </is>
      </c>
      <c r="B171" t="inlineStr">
        <is>
          <t>2020-01</t>
        </is>
      </c>
      <c r="C171" s="9" t="n">
        <v>20.85318521</v>
      </c>
      <c r="D171" s="9" t="n">
        <v>21.86412651</v>
      </c>
      <c r="E171" s="13" t="n">
        <v>1.010941295</v>
      </c>
    </row>
    <row r="172">
      <c r="A172" t="inlineStr">
        <is>
          <t>United Airlines</t>
        </is>
      </c>
      <c r="B172" t="inlineStr">
        <is>
          <t>2020-06</t>
        </is>
      </c>
      <c r="C172" s="9" t="n">
        <v>21.86412651</v>
      </c>
      <c r="D172" s="9" t="n">
        <v>20.44804034</v>
      </c>
      <c r="E172" s="13" t="n">
        <v>-1.416086167</v>
      </c>
    </row>
    <row r="173">
      <c r="A173" t="inlineStr">
        <is>
          <t>United Airlines</t>
        </is>
      </c>
      <c r="B173" t="inlineStr">
        <is>
          <t>2020-11</t>
        </is>
      </c>
      <c r="C173" s="9" t="n">
        <v>20.44804034</v>
      </c>
      <c r="D173" s="9" t="n">
        <v>18.22562452</v>
      </c>
      <c r="E173" s="13" t="n">
        <v>-2.22241582</v>
      </c>
    </row>
    <row r="174">
      <c r="A174" t="inlineStr">
        <is>
          <t>United Airlines</t>
        </is>
      </c>
      <c r="B174" t="inlineStr">
        <is>
          <t>2021-06</t>
        </is>
      </c>
      <c r="C174" s="9" t="n">
        <v>18.22562452</v>
      </c>
      <c r="D174" s="9" t="n">
        <v>16.53798829</v>
      </c>
      <c r="E174" s="13" t="n">
        <v>-1.687636226</v>
      </c>
    </row>
    <row r="175">
      <c r="A175" t="inlineStr">
        <is>
          <t>United Airlines</t>
        </is>
      </c>
      <c r="B175" t="inlineStr">
        <is>
          <t>2021-09</t>
        </is>
      </c>
      <c r="C175" s="9" t="n">
        <v>16.53798829</v>
      </c>
      <c r="D175" s="9" t="n">
        <v>21.56685882</v>
      </c>
      <c r="E175" s="13" t="n">
        <v>5.028870527</v>
      </c>
    </row>
    <row r="176">
      <c r="A176" t="inlineStr">
        <is>
          <t>United Airlines</t>
        </is>
      </c>
      <c r="B176" t="inlineStr">
        <is>
          <t>2023-08</t>
        </is>
      </c>
      <c r="C176" s="9" t="n">
        <v>21.56685882</v>
      </c>
      <c r="D176" s="9" t="n">
        <v>23.31729623</v>
      </c>
      <c r="E176" s="13" t="n">
        <v>1.750437406</v>
      </c>
    </row>
    <row r="177">
      <c r="A177" t="inlineStr">
        <is>
          <t>United Airlines</t>
        </is>
      </c>
      <c r="B177" t="inlineStr">
        <is>
          <t>2024-11</t>
        </is>
      </c>
      <c r="C177" s="9" t="n">
        <v>23.31729623</v>
      </c>
      <c r="D177" s="9" t="n">
        <v>25.00573353</v>
      </c>
      <c r="E177" s="13" t="n">
        <v>1.688437302</v>
      </c>
    </row>
    <row r="178">
      <c r="A178" t="inlineStr">
        <is>
          <t>United Airlines</t>
        </is>
      </c>
      <c r="B178" t="inlineStr">
        <is>
          <t>2025-12</t>
        </is>
      </c>
      <c r="C178" s="9" t="n">
        <v>25.00573353</v>
      </c>
      <c r="D178" s="9" t="n">
        <v>26.16758412</v>
      </c>
      <c r="E178" s="13" t="n">
        <v>1.161850596</v>
      </c>
    </row>
    <row r="179">
      <c r="A179" t="inlineStr">
        <is>
          <t>United Airlines</t>
        </is>
      </c>
      <c r="B179" t="inlineStr">
        <is>
          <t>2026-04</t>
        </is>
      </c>
      <c r="C179" s="9" t="n">
        <v>26.16758412</v>
      </c>
      <c r="D179" s="9" t="n">
        <v>27.43163386</v>
      </c>
      <c r="E179" s="13" t="n">
        <v>1.264049738</v>
      </c>
    </row>
    <row r="180">
      <c r="A180" t="inlineStr">
        <is>
          <t>Virgin America</t>
        </is>
      </c>
      <c r="B180" t="inlineStr">
        <is>
          <t>2016-10</t>
        </is>
      </c>
      <c r="C180" s="9" t="n">
        <v>18.09390763</v>
      </c>
      <c r="D180" s="9" t="n">
        <v>16.58071709</v>
      </c>
      <c r="E180" s="13" t="n">
        <v>-1.513190536</v>
      </c>
    </row>
    <row r="181">
      <c r="A181" t="inlineStr">
        <is>
          <t>Virgin America</t>
        </is>
      </c>
      <c r="B181" t="inlineStr">
        <is>
          <t>2017-05</t>
        </is>
      </c>
      <c r="C181" s="9" t="n">
        <v>16.58071709</v>
      </c>
      <c r="D181" s="9" t="n">
        <v>20.17587681</v>
      </c>
      <c r="E181" s="13" t="n">
        <v>3.59515972</v>
      </c>
    </row>
    <row r="182">
      <c r="A182" t="inlineStr">
        <is>
          <t>Virgin America</t>
        </is>
      </c>
      <c r="B182" t="inlineStr">
        <is>
          <t>2018-01</t>
        </is>
      </c>
      <c r="C182" s="9" t="n">
        <v>20.17587681</v>
      </c>
      <c r="D182" s="9" t="n">
        <v>23.26370871</v>
      </c>
      <c r="E182" s="13" t="n">
        <v>3.087831897</v>
      </c>
    </row>
    <row r="183">
      <c r="A183" t="inlineStr">
        <is>
          <t>Southwest Airlines</t>
        </is>
      </c>
      <c r="B183" t="inlineStr">
        <is>
          <t>2016-03</t>
        </is>
      </c>
      <c r="C183" s="9" t="n">
        <v>15.05948258</v>
      </c>
      <c r="D183" s="9" t="n">
        <v>13.96550678</v>
      </c>
      <c r="E183" s="13" t="n">
        <v>-1.093975804</v>
      </c>
    </row>
    <row r="184">
      <c r="A184" t="inlineStr">
        <is>
          <t>Southwest Airlines</t>
        </is>
      </c>
      <c r="B184" t="inlineStr">
        <is>
          <t>2017-01</t>
        </is>
      </c>
      <c r="C184" s="9" t="n">
        <v>14.70109202</v>
      </c>
      <c r="D184" s="9" t="n">
        <v>13.59224894</v>
      </c>
      <c r="E184" s="13" t="n">
        <v>-1.108843089</v>
      </c>
    </row>
    <row r="185">
      <c r="A185" t="inlineStr">
        <is>
          <t>Southwest Airlines</t>
        </is>
      </c>
      <c r="B185" t="inlineStr">
        <is>
          <t>2017-05</t>
        </is>
      </c>
      <c r="C185" s="9" t="n">
        <v>13.59224894</v>
      </c>
      <c r="D185" s="9" t="n">
        <v>15.16272594</v>
      </c>
      <c r="E185" s="13" t="n">
        <v>1.570477006</v>
      </c>
    </row>
    <row r="186">
      <c r="A186" t="inlineStr">
        <is>
          <t>Southwest Airlines</t>
        </is>
      </c>
      <c r="B186" t="inlineStr">
        <is>
          <t>2019-01</t>
        </is>
      </c>
      <c r="C186" s="9" t="n">
        <v>15.4897437</v>
      </c>
      <c r="D186" s="9" t="n">
        <v>16.83945811</v>
      </c>
      <c r="E186" s="13" t="n">
        <v>1.349714409</v>
      </c>
    </row>
    <row r="187">
      <c r="A187" t="inlineStr">
        <is>
          <t>Southwest Airlines</t>
        </is>
      </c>
      <c r="B187" t="inlineStr">
        <is>
          <t>2026-01</t>
        </is>
      </c>
      <c r="C187" s="9" t="n">
        <v>18.21853674</v>
      </c>
      <c r="D187" s="9" t="n">
        <v>19.32054939</v>
      </c>
      <c r="E187" s="13" t="n">
        <v>1.102012645</v>
      </c>
    </row>
    <row r="188">
      <c r="A188" t="inlineStr">
        <is>
          <t>Mesa Airlines</t>
        </is>
      </c>
      <c r="B188" t="inlineStr">
        <is>
          <t>2018-09</t>
        </is>
      </c>
      <c r="C188" s="9" t="n">
        <v>16.15398338</v>
      </c>
      <c r="D188" s="9" t="n">
        <v>14.59346604</v>
      </c>
      <c r="E188" s="13" t="n">
        <v>-1.560517336</v>
      </c>
    </row>
    <row r="189">
      <c r="A189" t="inlineStr">
        <is>
          <t>Mesa Airlines</t>
        </is>
      </c>
      <c r="B189" t="inlineStr">
        <is>
          <t>2019-06</t>
        </is>
      </c>
      <c r="C189" s="9" t="n">
        <v>14.59346604</v>
      </c>
      <c r="D189" s="9" t="n">
        <v>16.47064254</v>
      </c>
      <c r="E189" s="13" t="n">
        <v>1.8771765</v>
      </c>
    </row>
    <row r="190">
      <c r="A190" t="inlineStr">
        <is>
          <t>Mesa Airlines</t>
        </is>
      </c>
      <c r="B190" t="inlineStr">
        <is>
          <t>2020-06</t>
        </is>
      </c>
      <c r="C190" s="9" t="n">
        <v>16.47064254</v>
      </c>
      <c r="D190" s="9" t="n">
        <v>13.60471117</v>
      </c>
      <c r="E190" s="13" t="n">
        <v>-2.865931372</v>
      </c>
    </row>
    <row r="191">
      <c r="A191" t="inlineStr">
        <is>
          <t>Mesa Airlines</t>
        </is>
      </c>
      <c r="B191" t="inlineStr">
        <is>
          <t>2020-09</t>
        </is>
      </c>
      <c r="C191" s="9" t="n">
        <v>13.60471117</v>
      </c>
      <c r="D191" s="9" t="n">
        <v>16.77074286</v>
      </c>
      <c r="E191" s="13" t="n">
        <v>3.166031692</v>
      </c>
    </row>
    <row r="192">
      <c r="A192" t="inlineStr">
        <is>
          <t>Mesa Airlines</t>
        </is>
      </c>
      <c r="B192" t="inlineStr">
        <is>
          <t>2021-01</t>
        </is>
      </c>
      <c r="C192" s="9" t="n">
        <v>16.77074286</v>
      </c>
      <c r="D192" s="9" t="n">
        <v>18.83589739</v>
      </c>
      <c r="E192" s="13" t="n">
        <v>2.065154531</v>
      </c>
    </row>
    <row r="193">
      <c r="A193" t="inlineStr">
        <is>
          <t>Mesa Airlines</t>
        </is>
      </c>
      <c r="B193" t="inlineStr">
        <is>
          <t>2021-05</t>
        </is>
      </c>
      <c r="C193" s="9" t="n">
        <v>18.83589739</v>
      </c>
      <c r="D193" s="9" t="n">
        <v>17.43625151</v>
      </c>
      <c r="E193" s="13" t="n">
        <v>-1.399645887</v>
      </c>
    </row>
    <row r="194">
      <c r="A194" t="inlineStr">
        <is>
          <t>Mesa Airlines</t>
        </is>
      </c>
      <c r="B194" t="inlineStr">
        <is>
          <t>2022-06</t>
        </is>
      </c>
      <c r="C194" s="9" t="n">
        <v>17.43625151</v>
      </c>
      <c r="D194" s="9" t="n">
        <v>18.7663089</v>
      </c>
      <c r="E194" s="13" t="n">
        <v>1.330057395</v>
      </c>
    </row>
    <row r="195">
      <c r="A195" t="inlineStr">
        <is>
          <t>Mesa Airlines</t>
        </is>
      </c>
      <c r="B195" t="inlineStr">
        <is>
          <t>2022-09</t>
        </is>
      </c>
      <c r="C195" s="9" t="n">
        <v>18.7663089</v>
      </c>
      <c r="D195" s="9" t="n">
        <v>17.29081819</v>
      </c>
      <c r="E195" s="13" t="n">
        <v>-1.475490708</v>
      </c>
    </row>
    <row r="196">
      <c r="A196" t="inlineStr">
        <is>
          <t>Republic Airways</t>
        </is>
      </c>
      <c r="B196" t="inlineStr">
        <is>
          <t>2020-05</t>
        </is>
      </c>
      <c r="C196" s="9" t="n">
        <v>22.27132838</v>
      </c>
      <c r="D196" s="9" t="n">
        <v>19.61078744</v>
      </c>
      <c r="E196" s="13" t="n">
        <v>-2.660540942</v>
      </c>
    </row>
    <row r="197">
      <c r="A197" t="inlineStr">
        <is>
          <t>Republic Airways</t>
        </is>
      </c>
      <c r="B197" t="inlineStr">
        <is>
          <t>2021-01</t>
        </is>
      </c>
      <c r="C197" s="9" t="n">
        <v>19.61078744</v>
      </c>
      <c r="D197" s="9" t="n">
        <v>21.6007132</v>
      </c>
      <c r="E197" s="13" t="n">
        <v>1.989925758</v>
      </c>
    </row>
    <row r="198">
      <c r="A198" t="inlineStr">
        <is>
          <t>Republic Airways</t>
        </is>
      </c>
      <c r="B198" t="inlineStr">
        <is>
          <t>2021-06</t>
        </is>
      </c>
      <c r="C198" s="9" t="n">
        <v>21.6007132</v>
      </c>
      <c r="D198" s="9" t="n">
        <v>18.72101395</v>
      </c>
      <c r="E198" s="13" t="n">
        <v>-2.87969925</v>
      </c>
    </row>
    <row r="199">
      <c r="A199" t="inlineStr">
        <is>
          <t>Republic Airways</t>
        </is>
      </c>
      <c r="B199" t="inlineStr">
        <is>
          <t>2021-09</t>
        </is>
      </c>
      <c r="C199" s="9" t="n">
        <v>18.72101395</v>
      </c>
      <c r="D199" s="9" t="n">
        <v>20.00681449</v>
      </c>
      <c r="E199" s="13" t="n">
        <v>1.285800542</v>
      </c>
    </row>
    <row r="200">
      <c r="A200" t="inlineStr">
        <is>
          <t>Republic Airways</t>
        </is>
      </c>
      <c r="B200" t="inlineStr">
        <is>
          <t>2022-02</t>
        </is>
      </c>
      <c r="C200" s="9" t="n">
        <v>20.00681449</v>
      </c>
      <c r="D200" s="9" t="n">
        <v>21.03633882</v>
      </c>
      <c r="E200" s="13" t="n">
        <v>1.02952433</v>
      </c>
    </row>
    <row r="201">
      <c r="A201" t="inlineStr">
        <is>
          <t>Republic Airways</t>
        </is>
      </c>
      <c r="B201" t="inlineStr">
        <is>
          <t>2022-08</t>
        </is>
      </c>
      <c r="C201" s="9" t="n">
        <v>21.03633882</v>
      </c>
      <c r="D201" s="9" t="n">
        <v>22.47968393</v>
      </c>
      <c r="E201" s="13" t="n">
        <v>1.443345109</v>
      </c>
    </row>
    <row r="202">
      <c r="A202" t="inlineStr">
        <is>
          <t>Republic Airways</t>
        </is>
      </c>
      <c r="B202" t="inlineStr">
        <is>
          <t>2023-05</t>
        </is>
      </c>
      <c r="C202" s="9" t="n">
        <v>22.47968393</v>
      </c>
      <c r="D202" s="9" t="n">
        <v>23.71642769</v>
      </c>
      <c r="E202" s="13" t="n">
        <v>1.236743754</v>
      </c>
    </row>
    <row r="203">
      <c r="A203" t="inlineStr">
        <is>
          <t>Republic Airways</t>
        </is>
      </c>
      <c r="B203" t="inlineStr">
        <is>
          <t>2024-01</t>
        </is>
      </c>
      <c r="C203" s="9" t="n">
        <v>23.71642769</v>
      </c>
      <c r="D203" s="9" t="n">
        <v>22.37345778</v>
      </c>
      <c r="E203" s="13" t="n">
        <v>-1.34296991</v>
      </c>
    </row>
    <row r="204">
      <c r="A204" t="inlineStr">
        <is>
          <t>Republic Airways</t>
        </is>
      </c>
      <c r="B204" t="inlineStr">
        <is>
          <t>2025-07</t>
        </is>
      </c>
      <c r="C204" s="9" t="n">
        <v>22.37345778</v>
      </c>
      <c r="D204" s="9" t="n">
        <v>24.20594386</v>
      </c>
      <c r="E204" s="13" t="n">
        <v>1.832486083</v>
      </c>
    </row>
    <row r="205">
      <c r="A205" t="inlineStr">
        <is>
          <t>Republic Airways</t>
        </is>
      </c>
      <c r="B205" t="inlineStr">
        <is>
          <t>2026-04</t>
        </is>
      </c>
      <c r="C205" s="9" t="n">
        <v>24.20594386</v>
      </c>
      <c r="D205" s="9" t="n">
        <v>26.39857294</v>
      </c>
      <c r="E205" s="13" t="n">
        <v>2.192629083</v>
      </c>
    </row>
    <row r="207">
      <c r="A207" t="inlineStr">
        <is>
          <t>Source: BTS Reporting Carrier On-Time Performance, model: PELT changepoints, every scheduled flight, 2015 to 2026-07, as of 2026-10-01.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0" t="inlineStr">
        <is>
          <t>Carrier</t>
        </is>
      </c>
      <c r="B1" s="11" t="inlineStr">
        <is>
          <t>Padding 2015</t>
        </is>
      </c>
      <c r="C1" s="11" t="inlineStr">
        <is>
          <t>Padding 2025</t>
        </is>
      </c>
    </row>
    <row r="2">
      <c r="A2" t="inlineStr">
        <is>
          <t>American Airlines</t>
        </is>
      </c>
      <c r="B2" s="9" t="n">
        <v>19.28354877</v>
      </c>
      <c r="C2" s="9" t="n">
        <v>21.04357119</v>
      </c>
    </row>
    <row r="3">
      <c r="A3" t="inlineStr">
        <is>
          <t>Alaska Airlines</t>
        </is>
      </c>
      <c r="B3" s="9" t="n">
        <v>14.40439897</v>
      </c>
      <c r="C3" s="9" t="n">
        <v>23.91882605</v>
      </c>
    </row>
    <row r="4">
      <c r="A4" t="inlineStr">
        <is>
          <t>JetBlue Airways</t>
        </is>
      </c>
      <c r="B4" s="9" t="n">
        <v>17.88149617</v>
      </c>
      <c r="C4" s="9" t="n">
        <v>24.78503291</v>
      </c>
    </row>
    <row r="5">
      <c r="A5" t="inlineStr">
        <is>
          <t>Delta Air Lines</t>
        </is>
      </c>
      <c r="B5" s="9" t="n">
        <v>19.44903117</v>
      </c>
      <c r="C5" s="9" t="n">
        <v>20.98551845</v>
      </c>
    </row>
    <row r="6">
      <c r="A6" t="inlineStr">
        <is>
          <t>ExpressJet Airlines</t>
        </is>
      </c>
      <c r="B6" s="9" t="n">
        <v>13.56110677</v>
      </c>
    </row>
    <row r="7">
      <c r="A7" t="inlineStr">
        <is>
          <t>Frontier Airlines</t>
        </is>
      </c>
      <c r="B7" s="9" t="n">
        <v>14.89702444</v>
      </c>
      <c r="C7" s="9" t="n">
        <v>26.52307721</v>
      </c>
    </row>
    <row r="8">
      <c r="A8" t="inlineStr">
        <is>
          <t>Allegiant Air</t>
        </is>
      </c>
      <c r="C8" s="9" t="n">
        <v>16.98582127</v>
      </c>
    </row>
    <row r="9">
      <c r="A9" t="inlineStr">
        <is>
          <t>Hawaiian Airlines</t>
        </is>
      </c>
      <c r="B9" s="9" t="n">
        <v>5.403791693</v>
      </c>
      <c r="C9" s="9" t="n">
        <v>11.18794646</v>
      </c>
    </row>
    <row r="10">
      <c r="A10" t="inlineStr">
        <is>
          <t>Envoy Air</t>
        </is>
      </c>
      <c r="B10" s="9" t="n">
        <v>14.2501049</v>
      </c>
      <c r="C10" s="9" t="n">
        <v>18.64134085</v>
      </c>
    </row>
    <row r="11">
      <c r="A11" t="inlineStr">
        <is>
          <t>Spirit Airlines</t>
        </is>
      </c>
      <c r="B11" s="9" t="n">
        <v>14.27415154</v>
      </c>
      <c r="C11" s="9" t="n">
        <v>21.25534006</v>
      </c>
    </row>
    <row r="12">
      <c r="A12" t="inlineStr">
        <is>
          <t>PSA Airlines</t>
        </is>
      </c>
      <c r="C12" s="9" t="n">
        <v>21.06835904</v>
      </c>
    </row>
    <row r="13">
      <c r="A13" t="inlineStr">
        <is>
          <t>SkyWest Airlines</t>
        </is>
      </c>
      <c r="B13" s="9" t="n">
        <v>14.38636999</v>
      </c>
      <c r="C13" s="9" t="n">
        <v>22.51563349</v>
      </c>
    </row>
    <row r="14">
      <c r="A14" t="inlineStr">
        <is>
          <t>United Airlines</t>
        </is>
      </c>
      <c r="B14" s="9" t="n">
        <v>22.54471797</v>
      </c>
      <c r="C14" s="9" t="n">
        <v>24.73046261</v>
      </c>
    </row>
    <row r="15">
      <c r="A15" t="inlineStr">
        <is>
          <t>US Airways</t>
        </is>
      </c>
      <c r="B15" s="9" t="n">
        <v>16.95735201</v>
      </c>
    </row>
    <row r="16">
      <c r="A16" t="inlineStr">
        <is>
          <t>Virgin America</t>
        </is>
      </c>
      <c r="B16" s="9" t="n">
        <v>17.44683731</v>
      </c>
    </row>
    <row r="17">
      <c r="A17" t="inlineStr">
        <is>
          <t>Southwest Airlines</t>
        </is>
      </c>
      <c r="B17" s="9" t="n">
        <v>15.42931164</v>
      </c>
      <c r="C17" s="9" t="n">
        <v>18.60144086</v>
      </c>
    </row>
    <row r="18">
      <c r="A18" t="inlineStr">
        <is>
          <t>Republic Airways</t>
        </is>
      </c>
      <c r="C18" s="9" t="n">
        <v>23.76189542</v>
      </c>
    </row>
    <row r="20">
      <c r="A20" t="inlineStr">
        <is>
          <t>Source: BTS Reporting Carrier On-Time Performance, model: PELT changepoints, every scheduled flight, 2015 to 2026-07, as of 2026-10-01.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Carrier</t>
        </is>
      </c>
      <c r="B1" s="11" t="inlineStr">
        <is>
          <t>Flights</t>
        </is>
      </c>
      <c r="C1" s="11" t="inlineStr">
        <is>
          <t>Excess below the line</t>
        </is>
      </c>
      <c r="D1" s="11" t="inlineStr">
        <is>
          <t>z against placebos</t>
        </is>
      </c>
      <c r="E1" s="11" t="inlineStr">
        <is>
          <t>p</t>
        </is>
      </c>
      <c r="F1" s="11" t="inlineStr">
        <is>
          <t>q (BH)</t>
        </is>
      </c>
      <c r="G1" s="11" t="inlineStr">
        <is>
          <t>Verdict</t>
        </is>
      </c>
    </row>
    <row r="2">
      <c r="A2" t="inlineStr">
        <is>
          <t>Endeavor Air</t>
        </is>
      </c>
      <c r="B2" s="6" t="n">
        <v>387398</v>
      </c>
      <c r="C2" s="8" t="n">
        <v>-0.034331896</v>
      </c>
      <c r="D2" s="14" t="n">
        <v>-0.6169884739</v>
      </c>
      <c r="E2" s="15" t="n">
        <v>0.7313788359</v>
      </c>
      <c r="F2" s="15" t="n">
        <v>0.9008505452</v>
      </c>
      <c r="G2" t="inlineStr">
        <is>
          <t>no evidence</t>
        </is>
      </c>
    </row>
    <row r="3">
      <c r="A3" t="inlineStr">
        <is>
          <t>American Airlines</t>
        </is>
      </c>
      <c r="B3" s="6" t="n">
        <v>3332776</v>
      </c>
      <c r="C3" s="8" t="n">
        <v>-0.03168968251</v>
      </c>
      <c r="D3" s="14" t="n">
        <v>-1.01166235</v>
      </c>
      <c r="E3" s="15" t="n">
        <v>0.8441502384</v>
      </c>
      <c r="F3" s="15" t="n">
        <v>0.9008505452</v>
      </c>
      <c r="G3" t="inlineStr">
        <is>
          <t>no evidence</t>
        </is>
      </c>
    </row>
    <row r="4">
      <c r="A4" t="inlineStr">
        <is>
          <t>Alaska Airlines</t>
        </is>
      </c>
      <c r="B4" s="6" t="n">
        <v>911872</v>
      </c>
      <c r="C4" s="8" t="n">
        <v>-0.04472585038</v>
      </c>
      <c r="D4" s="14" t="n">
        <v>-0.8589008712</v>
      </c>
      <c r="E4" s="15" t="n">
        <v>0.8048023956</v>
      </c>
      <c r="F4" s="15" t="n">
        <v>0.9008505452</v>
      </c>
      <c r="G4" t="inlineStr">
        <is>
          <t>no evidence</t>
        </is>
      </c>
    </row>
    <row r="5">
      <c r="A5" t="inlineStr">
        <is>
          <t>JetBlue Airways</t>
        </is>
      </c>
      <c r="B5" s="6" t="n">
        <v>844465</v>
      </c>
      <c r="C5" s="8" t="n">
        <v>-0.02067663496</v>
      </c>
      <c r="D5" s="14" t="n">
        <v>0.523768614</v>
      </c>
      <c r="E5" s="15" t="n">
        <v>0.3002197429</v>
      </c>
      <c r="F5" s="15" t="n">
        <v>0.9008505452</v>
      </c>
      <c r="G5" t="inlineStr">
        <is>
          <t>no evidence</t>
        </is>
      </c>
    </row>
    <row r="6">
      <c r="A6" t="inlineStr">
        <is>
          <t>Delta Air Lines</t>
        </is>
      </c>
      <c r="B6" s="6" t="n">
        <v>3523945</v>
      </c>
      <c r="C6" s="8" t="n">
        <v>-0.03645085238</v>
      </c>
      <c r="D6" s="14" t="n">
        <v>-1.286413155</v>
      </c>
      <c r="E6" s="15" t="n">
        <v>0.9008505452</v>
      </c>
      <c r="F6" s="15" t="n">
        <v>0.9008505452</v>
      </c>
      <c r="G6" t="inlineStr">
        <is>
          <t>no evidence</t>
        </is>
      </c>
    </row>
    <row r="7">
      <c r="A7" t="inlineStr">
        <is>
          <t>Frontier Airlines</t>
        </is>
      </c>
      <c r="B7" s="6" t="n">
        <v>678896</v>
      </c>
      <c r="C7" s="8" t="n">
        <v>-0.0187468653</v>
      </c>
      <c r="D7" s="14" t="n">
        <v>1.23443059</v>
      </c>
      <c r="E7" s="15" t="n">
        <v>0.1085212481</v>
      </c>
      <c r="F7" s="15" t="n">
        <v>0.9008505452</v>
      </c>
      <c r="G7" t="inlineStr">
        <is>
          <t>no evidence</t>
        </is>
      </c>
    </row>
    <row r="8">
      <c r="A8" t="inlineStr">
        <is>
          <t>Allegiant Air</t>
        </is>
      </c>
      <c r="B8" s="6" t="n">
        <v>425967</v>
      </c>
      <c r="C8" s="8" t="n">
        <v>-0.02457101923</v>
      </c>
      <c r="D8" s="14" t="n">
        <v>0.3657992543</v>
      </c>
      <c r="E8" s="15" t="n">
        <v>0.3572574382</v>
      </c>
      <c r="F8" s="15" t="n">
        <v>0.9008505452</v>
      </c>
      <c r="G8" t="inlineStr">
        <is>
          <t>no evidence</t>
        </is>
      </c>
    </row>
    <row r="9">
      <c r="A9" t="inlineStr">
        <is>
          <t>Hawaiian Airlines</t>
        </is>
      </c>
      <c r="B9" s="6" t="n">
        <v>235487</v>
      </c>
      <c r="C9" s="8" t="n">
        <v>-0.1666333343</v>
      </c>
      <c r="D9" s="14" t="n">
        <v>-0.8055417131</v>
      </c>
      <c r="E9" s="15" t="n">
        <v>0.7897464273</v>
      </c>
      <c r="F9" s="15" t="n">
        <v>0.9008505452</v>
      </c>
      <c r="G9" t="inlineStr">
        <is>
          <t>no evidence</t>
        </is>
      </c>
    </row>
    <row r="10">
      <c r="A10" t="inlineStr">
        <is>
          <t>Envoy Air</t>
        </is>
      </c>
      <c r="B10" s="6" t="n">
        <v>964863</v>
      </c>
      <c r="C10" s="8" t="n">
        <v>-0.04210879673</v>
      </c>
      <c r="D10" s="14" t="n">
        <v>-1.129405366</v>
      </c>
      <c r="E10" s="15" t="n">
        <v>0.8706365648</v>
      </c>
      <c r="F10" s="15" t="n">
        <v>0.9008505452</v>
      </c>
      <c r="G10" t="inlineStr">
        <is>
          <t>no evidence</t>
        </is>
      </c>
    </row>
    <row r="11">
      <c r="A11" t="inlineStr">
        <is>
          <t>Spirit Airlines</t>
        </is>
      </c>
      <c r="B11" s="6" t="n">
        <v>735456</v>
      </c>
      <c r="C11" s="8" t="n">
        <v>-0.03203479968</v>
      </c>
      <c r="D11" s="14" t="n">
        <v>-0.05646960054</v>
      </c>
      <c r="E11" s="15" t="n">
        <v>0.5225161439</v>
      </c>
      <c r="F11" s="15" t="n">
        <v>0.9008505452</v>
      </c>
      <c r="G11" t="inlineStr">
        <is>
          <t>no evidence</t>
        </is>
      </c>
    </row>
    <row r="12">
      <c r="A12" t="inlineStr">
        <is>
          <t>PSA Airlines</t>
        </is>
      </c>
      <c r="B12" s="6" t="n">
        <v>766415</v>
      </c>
      <c r="C12" s="8" t="n">
        <v>-0.01909155958</v>
      </c>
      <c r="D12" s="14" t="n">
        <v>-0.6634875948</v>
      </c>
      <c r="E12" s="15" t="n">
        <v>0.7464908391</v>
      </c>
      <c r="F12" s="15" t="n">
        <v>0.9008505452</v>
      </c>
      <c r="G12" t="inlineStr">
        <is>
          <t>no evidence</t>
        </is>
      </c>
    </row>
    <row r="13">
      <c r="A13" t="inlineStr">
        <is>
          <t>SkyWest Airlines</t>
        </is>
      </c>
      <c r="B13" s="6" t="n">
        <v>2665217</v>
      </c>
      <c r="C13" s="8" t="n">
        <v>-0.06335657996999999</v>
      </c>
      <c r="D13" s="14" t="n">
        <v>-0.6489373194</v>
      </c>
      <c r="E13" s="15" t="n">
        <v>0.7418105542</v>
      </c>
      <c r="F13" s="15" t="n">
        <v>0.9008505452</v>
      </c>
      <c r="G13" t="inlineStr">
        <is>
          <t>no evidence</t>
        </is>
      </c>
    </row>
    <row r="14">
      <c r="A14" t="inlineStr">
        <is>
          <t>United Airlines</t>
        </is>
      </c>
      <c r="B14" s="6" t="n">
        <v>2685323</v>
      </c>
      <c r="C14" s="8" t="n">
        <v>-0.03807612308</v>
      </c>
      <c r="D14" s="14" t="n">
        <v>-1.062159983</v>
      </c>
      <c r="E14" s="15" t="n">
        <v>0.8559184685</v>
      </c>
      <c r="F14" s="15" t="n">
        <v>0.9008505452</v>
      </c>
      <c r="G14" t="inlineStr">
        <is>
          <t>no evidence</t>
        </is>
      </c>
    </row>
    <row r="15">
      <c r="A15" t="inlineStr">
        <is>
          <t>Southwest Airlines</t>
        </is>
      </c>
      <c r="B15" s="6" t="n">
        <v>4966276</v>
      </c>
      <c r="C15" s="8" t="n">
        <v>-0.03309088454</v>
      </c>
      <c r="D15" s="14" t="n">
        <v>-1.243088822</v>
      </c>
      <c r="E15" s="15" t="n">
        <v>0.8930824479</v>
      </c>
      <c r="F15" s="15" t="n">
        <v>0.9008505452</v>
      </c>
      <c r="G15" t="inlineStr">
        <is>
          <t>no evidence</t>
        </is>
      </c>
    </row>
    <row r="16">
      <c r="A16" t="inlineStr">
        <is>
          <t>Republic Airways</t>
        </is>
      </c>
      <c r="B16" s="6" t="n">
        <v>1106683</v>
      </c>
      <c r="C16" s="8" t="n">
        <v>-0.02688123196</v>
      </c>
      <c r="D16" s="14" t="n">
        <v>0.3211496126</v>
      </c>
      <c r="E16" s="15" t="n">
        <v>0.3740485072</v>
      </c>
      <c r="F16" s="15" t="n">
        <v>0.9008505452</v>
      </c>
      <c r="G16" t="inlineStr">
        <is>
          <t>no evidence</t>
        </is>
      </c>
    </row>
    <row r="18">
      <c r="A18" t="inlineStr">
        <is>
          <t>Source: BTS Reporting Carrier On-Time Performance, model: the density test with placebos, scheduled flights 2023 to 2026-07, as of 2026-10-01.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7" customWidth="1" min="3" max="3"/>
    <col width="12" customWidth="1" min="4" max="4"/>
    <col width="12" customWidth="1" min="5" max="5"/>
  </cols>
  <sheetData>
    <row r="1">
      <c r="A1" s="10" t="inlineStr">
        <is>
          <t>Scheduled turn</t>
        </is>
      </c>
      <c r="B1" s="11" t="inlineStr">
        <is>
          <t>Legs</t>
        </is>
      </c>
      <c r="C1" s="11" t="inlineStr">
        <is>
          <t>Minutes passed on per late minute</t>
        </is>
      </c>
      <c r="D1" s="11" t="inlineStr">
        <is>
          <t>Low</t>
        </is>
      </c>
      <c r="E1" s="11" t="inlineStr">
        <is>
          <t>High</t>
        </is>
      </c>
    </row>
    <row r="2">
      <c r="A2" t="inlineStr">
        <is>
          <t>0 to 30 min</t>
        </is>
      </c>
      <c r="B2" s="6" t="n">
        <v>223551</v>
      </c>
      <c r="C2" s="14" t="n">
        <v>1.503945788</v>
      </c>
      <c r="D2" s="14" t="n">
        <v>1.482062171</v>
      </c>
      <c r="E2" s="14" t="n">
        <v>1.525829405</v>
      </c>
    </row>
    <row r="3">
      <c r="A3" t="inlineStr">
        <is>
          <t>30 to 40 min</t>
        </is>
      </c>
      <c r="B3" s="6" t="n">
        <v>1747421</v>
      </c>
      <c r="C3" s="14" t="n">
        <v>1.092817541</v>
      </c>
      <c r="D3" s="14" t="n">
        <v>1.088171102</v>
      </c>
      <c r="E3" s="14" t="n">
        <v>1.097463979</v>
      </c>
    </row>
    <row r="4">
      <c r="A4" t="inlineStr">
        <is>
          <t>40 to 50 min</t>
        </is>
      </c>
      <c r="B4" s="6" t="n">
        <v>3901417</v>
      </c>
      <c r="C4" s="14" t="n">
        <v>1.04462338</v>
      </c>
      <c r="D4" s="14" t="n">
        <v>1.041664089</v>
      </c>
      <c r="E4" s="14" t="n">
        <v>1.04758267</v>
      </c>
    </row>
    <row r="5">
      <c r="A5" t="inlineStr">
        <is>
          <t>50 to 60 min</t>
        </is>
      </c>
      <c r="B5" s="6" t="n">
        <v>3970697</v>
      </c>
      <c r="C5" s="14" t="n">
        <v>1.038436425</v>
      </c>
      <c r="D5" s="14" t="n">
        <v>1.035215448</v>
      </c>
      <c r="E5" s="14" t="n">
        <v>1.041657403</v>
      </c>
    </row>
    <row r="6">
      <c r="A6" t="inlineStr">
        <is>
          <t>60 to 75 min</t>
        </is>
      </c>
      <c r="B6" s="6" t="n">
        <v>4338922</v>
      </c>
      <c r="C6" s="14" t="n">
        <v>0.9578326914</v>
      </c>
      <c r="D6" s="14" t="n">
        <v>0.9547183843</v>
      </c>
      <c r="E6" s="14" t="n">
        <v>0.9609469985</v>
      </c>
    </row>
    <row r="7">
      <c r="A7" t="inlineStr">
        <is>
          <t>75 to 90 min</t>
        </is>
      </c>
      <c r="B7" s="6" t="n">
        <v>1573575</v>
      </c>
      <c r="C7" s="14" t="n">
        <v>0.8114892412</v>
      </c>
      <c r="D7" s="14" t="n">
        <v>0.8064588682</v>
      </c>
      <c r="E7" s="14" t="n">
        <v>0.8165196142</v>
      </c>
    </row>
    <row r="8">
      <c r="A8" t="inlineStr">
        <is>
          <t>90 to 120 min</t>
        </is>
      </c>
      <c r="B8" s="6" t="n">
        <v>1111771</v>
      </c>
      <c r="C8" s="14" t="n">
        <v>0.6511626304</v>
      </c>
      <c r="D8" s="14" t="n">
        <v>0.6455043008</v>
      </c>
      <c r="E8" s="14" t="n">
        <v>0.65682096</v>
      </c>
    </row>
    <row r="9">
      <c r="A9" t="inlineStr">
        <is>
          <t>120 to 180 min</t>
        </is>
      </c>
      <c r="B9" s="6" t="n">
        <v>712102</v>
      </c>
      <c r="C9" s="14" t="n">
        <v>0.4338759125</v>
      </c>
      <c r="D9" s="14" t="n">
        <v>0.428208751</v>
      </c>
      <c r="E9" s="14" t="n">
        <v>0.439543074</v>
      </c>
    </row>
    <row r="10">
      <c r="A10" t="inlineStr">
        <is>
          <t>180 to 300 min</t>
        </is>
      </c>
      <c r="B10" s="6" t="n">
        <v>428630</v>
      </c>
      <c r="C10" s="14" t="n">
        <v>0.2565116329</v>
      </c>
      <c r="D10" s="14" t="n">
        <v>0.2513523461</v>
      </c>
      <c r="E10" s="14" t="n">
        <v>0.2616709197</v>
      </c>
    </row>
    <row r="12">
      <c r="A12" t="inlineStr">
        <is>
          <t>Source: BTS Reporting Carrier On-Time Performance, model: the propagation model, scheduled flights 2023 to 2026-07, as of 2026-10-01.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9" customWidth="1" min="6" max="6"/>
    <col width="12" customWidth="1" min="7" max="7"/>
    <col width="12" customWidth="1" min="8" max="8"/>
  </cols>
  <sheetData>
    <row r="1">
      <c r="A1" s="10" t="inlineStr">
        <is>
          <t>Carrier</t>
        </is>
      </c>
      <c r="B1" s="11" t="inlineStr">
        <is>
          <t>Flights</t>
        </is>
      </c>
      <c r="C1" s="11" t="inlineStr">
        <is>
          <t>Raw rank</t>
        </is>
      </c>
      <c r="D1" s="11" t="inlineStr">
        <is>
          <t>Raw effect</t>
        </is>
      </c>
      <c r="E1" s="11" t="inlineStr">
        <is>
          <t>Adjusted rank</t>
        </is>
      </c>
      <c r="F1" s="11" t="inlineStr">
        <is>
          <t>Adjusted effect</t>
        </is>
      </c>
      <c r="G1" s="11" t="inlineStr">
        <is>
          <t>Interval</t>
        </is>
      </c>
      <c r="H1" s="11" t="inlineStr">
        <is>
          <t>Moved</t>
        </is>
      </c>
    </row>
    <row r="2">
      <c r="A2" t="inlineStr">
        <is>
          <t>Endeavor Air</t>
        </is>
      </c>
      <c r="B2" s="6" t="n">
        <v>391977</v>
      </c>
      <c r="C2" s="6" t="n">
        <v>1</v>
      </c>
      <c r="D2" s="12" t="n">
        <v>-7.385004246</v>
      </c>
      <c r="E2" s="6" t="n">
        <v>1</v>
      </c>
      <c r="F2" s="12" t="n">
        <v>-13.13607673</v>
      </c>
      <c r="G2" t="inlineStr">
        <is>
          <t>-14.14 to -12.14 min</t>
        </is>
      </c>
      <c r="H2" t="inlineStr">
        <is>
          <t>same</t>
        </is>
      </c>
    </row>
    <row r="3">
      <c r="A3" t="inlineStr">
        <is>
          <t>Republic Airways</t>
        </is>
      </c>
      <c r="B3" s="6" t="n">
        <v>1119192</v>
      </c>
      <c r="C3" s="6" t="n">
        <v>2</v>
      </c>
      <c r="D3" s="12" t="n">
        <v>-6.261901746</v>
      </c>
      <c r="E3" s="6" t="n">
        <v>2</v>
      </c>
      <c r="F3" s="12" t="n">
        <v>-8.696707879</v>
      </c>
      <c r="G3" t="inlineStr">
        <is>
          <t>-9.36 to -8.03 min</t>
        </is>
      </c>
      <c r="H3" t="inlineStr">
        <is>
          <t>same</t>
        </is>
      </c>
    </row>
    <row r="4">
      <c r="A4" t="inlineStr">
        <is>
          <t>Envoy Air</t>
        </is>
      </c>
      <c r="B4" s="6" t="n">
        <v>975162</v>
      </c>
      <c r="C4" s="6" t="n">
        <v>5</v>
      </c>
      <c r="D4" s="12" t="n">
        <v>-2.360492026</v>
      </c>
      <c r="E4" s="6" t="n">
        <v>3</v>
      </c>
      <c r="F4" s="12" t="n">
        <v>-6.100930428</v>
      </c>
      <c r="G4" t="inlineStr">
        <is>
          <t>-6.78 to -5.42 min</t>
        </is>
      </c>
      <c r="H4" t="inlineStr">
        <is>
          <t>up 2</t>
        </is>
      </c>
    </row>
    <row r="5">
      <c r="A5" t="inlineStr">
        <is>
          <t>Delta Air Lines</t>
        </is>
      </c>
      <c r="B5" s="6" t="n">
        <v>3572228</v>
      </c>
      <c r="C5" s="6" t="n">
        <v>4</v>
      </c>
      <c r="D5" s="12" t="n">
        <v>-3.625342927</v>
      </c>
      <c r="E5" s="6" t="n">
        <v>4</v>
      </c>
      <c r="F5" s="12" t="n">
        <v>-2.917841679</v>
      </c>
      <c r="G5" t="inlineStr">
        <is>
          <t>-3.26 to -2.58 min</t>
        </is>
      </c>
      <c r="H5" t="inlineStr">
        <is>
          <t>same</t>
        </is>
      </c>
    </row>
    <row r="6">
      <c r="A6" t="inlineStr">
        <is>
          <t>United Airlines</t>
        </is>
      </c>
      <c r="B6" s="6" t="n">
        <v>2729655</v>
      </c>
      <c r="C6" s="6" t="n">
        <v>7</v>
      </c>
      <c r="D6" s="12" t="n">
        <v>-1.175518648</v>
      </c>
      <c r="E6" s="6" t="n">
        <v>5</v>
      </c>
      <c r="F6" s="12" t="n">
        <v>-2.553162618</v>
      </c>
      <c r="G6" t="inlineStr">
        <is>
          <t>-2.90 to -2.21 min</t>
        </is>
      </c>
      <c r="H6" t="inlineStr">
        <is>
          <t>up 2</t>
        </is>
      </c>
    </row>
    <row r="7">
      <c r="A7" t="inlineStr">
        <is>
          <t>SkyWest Airlines</t>
        </is>
      </c>
      <c r="B7" s="6" t="n">
        <v>2713958</v>
      </c>
      <c r="C7" s="6" t="n">
        <v>9</v>
      </c>
      <c r="D7" s="12" t="n">
        <v>0.1611846892</v>
      </c>
      <c r="E7" s="6" t="n">
        <v>6</v>
      </c>
      <c r="F7" s="12" t="n">
        <v>-2.381812718</v>
      </c>
      <c r="G7" t="inlineStr">
        <is>
          <t>-3.00 to -1.76 min</t>
        </is>
      </c>
      <c r="H7" t="inlineStr">
        <is>
          <t>up 3</t>
        </is>
      </c>
    </row>
    <row r="8">
      <c r="A8" t="inlineStr">
        <is>
          <t>PSA Airlines</t>
        </is>
      </c>
      <c r="B8" s="6" t="n">
        <v>784660</v>
      </c>
      <c r="C8" s="6" t="n">
        <v>11</v>
      </c>
      <c r="D8" s="12" t="n">
        <v>4.189724014</v>
      </c>
      <c r="E8" s="6" t="n">
        <v>7</v>
      </c>
      <c r="F8" s="12" t="n">
        <v>-1.575681137</v>
      </c>
      <c r="G8" t="inlineStr">
        <is>
          <t>-2.44 to -0.71 min</t>
        </is>
      </c>
      <c r="H8" t="inlineStr">
        <is>
          <t>up 4</t>
        </is>
      </c>
    </row>
    <row r="9">
      <c r="A9" t="inlineStr">
        <is>
          <t>Southwest Airlines</t>
        </is>
      </c>
      <c r="B9" s="6" t="n">
        <v>5003261</v>
      </c>
      <c r="C9" s="6" t="n">
        <v>6</v>
      </c>
      <c r="D9" s="12" t="n">
        <v>-1.631221046</v>
      </c>
      <c r="E9" s="6" t="n">
        <v>8</v>
      </c>
      <c r="F9" s="12" t="n">
        <v>1.708629477</v>
      </c>
      <c r="G9" t="inlineStr">
        <is>
          <t>+1.40 to +2.02 min</t>
        </is>
      </c>
      <c r="H9" t="inlineStr">
        <is>
          <t>down 2</t>
        </is>
      </c>
    </row>
    <row r="10">
      <c r="A10" t="inlineStr">
        <is>
          <t>Alaska Airlines</t>
        </is>
      </c>
      <c r="B10" s="6" t="n">
        <v>918478</v>
      </c>
      <c r="C10" s="6" t="n">
        <v>3</v>
      </c>
      <c r="D10" s="12" t="n">
        <v>-3.978677817</v>
      </c>
      <c r="E10" s="6" t="n">
        <v>9</v>
      </c>
      <c r="F10" s="12" t="n">
        <v>2.776736684</v>
      </c>
      <c r="G10" t="inlineStr">
        <is>
          <t>+2.39 to +3.16 min</t>
        </is>
      </c>
      <c r="H10" t="inlineStr">
        <is>
          <t>down 6</t>
        </is>
      </c>
    </row>
    <row r="11">
      <c r="A11" t="inlineStr">
        <is>
          <t>Spirit Airlines</t>
        </is>
      </c>
      <c r="B11" s="6" t="n">
        <v>749263</v>
      </c>
      <c r="C11" s="6" t="n">
        <v>10</v>
      </c>
      <c r="D11" s="12" t="n">
        <v>3.136776621</v>
      </c>
      <c r="E11" s="6" t="n">
        <v>10</v>
      </c>
      <c r="F11" s="12" t="n">
        <v>3.09081625</v>
      </c>
      <c r="G11" t="inlineStr">
        <is>
          <t>+2.52 to +3.66 min</t>
        </is>
      </c>
      <c r="H11" t="inlineStr">
        <is>
          <t>same</t>
        </is>
      </c>
    </row>
    <row r="12">
      <c r="A12" t="inlineStr">
        <is>
          <t>JetBlue Airways</t>
        </is>
      </c>
      <c r="B12" s="6" t="n">
        <v>866026</v>
      </c>
      <c r="C12" s="6" t="n">
        <v>13</v>
      </c>
      <c r="D12" s="12" t="n">
        <v>5.987845965</v>
      </c>
      <c r="E12" s="6" t="n">
        <v>11</v>
      </c>
      <c r="F12" s="12" t="n">
        <v>3.75969119</v>
      </c>
      <c r="G12" t="inlineStr">
        <is>
          <t>+3.17 to +4.35 min</t>
        </is>
      </c>
      <c r="H12" t="inlineStr">
        <is>
          <t>up 2</t>
        </is>
      </c>
    </row>
    <row r="13">
      <c r="A13" t="inlineStr">
        <is>
          <t>American Airlines</t>
        </is>
      </c>
      <c r="B13" s="6" t="n">
        <v>3411235</v>
      </c>
      <c r="C13" s="6" t="n">
        <v>14</v>
      </c>
      <c r="D13" s="12" t="n">
        <v>6.177306557</v>
      </c>
      <c r="E13" s="6" t="n">
        <v>12</v>
      </c>
      <c r="F13" s="12" t="n">
        <v>5.165920613</v>
      </c>
      <c r="G13" t="inlineStr">
        <is>
          <t>+4.83 to +5.50 min</t>
        </is>
      </c>
      <c r="H13" t="inlineStr">
        <is>
          <t>up 2</t>
        </is>
      </c>
    </row>
    <row r="14">
      <c r="A14" t="inlineStr">
        <is>
          <t>Allegiant Air</t>
        </is>
      </c>
      <c r="B14" s="6" t="n">
        <v>435740</v>
      </c>
      <c r="C14" s="6" t="n">
        <v>12</v>
      </c>
      <c r="D14" s="12" t="n">
        <v>5.56222168</v>
      </c>
      <c r="E14" s="6" t="n">
        <v>13</v>
      </c>
      <c r="F14" s="12" t="n">
        <v>6.860150021</v>
      </c>
      <c r="G14" t="inlineStr">
        <is>
          <t>+5.71 to +8.01 min</t>
        </is>
      </c>
      <c r="H14" t="inlineStr">
        <is>
          <t>down 1</t>
        </is>
      </c>
    </row>
    <row r="15">
      <c r="A15" t="inlineStr">
        <is>
          <t>Frontier Airlines</t>
        </is>
      </c>
      <c r="B15" s="6" t="n">
        <v>695137</v>
      </c>
      <c r="C15" s="6" t="n">
        <v>15</v>
      </c>
      <c r="D15" s="12" t="n">
        <v>8.027119934</v>
      </c>
      <c r="E15" s="6" t="n">
        <v>14</v>
      </c>
      <c r="F15" s="12" t="n">
        <v>8.541634011999999</v>
      </c>
      <c r="G15" t="inlineStr">
        <is>
          <t>+7.99 to +9.10 min</t>
        </is>
      </c>
      <c r="H15" t="inlineStr">
        <is>
          <t>up 1</t>
        </is>
      </c>
    </row>
    <row r="16">
      <c r="A16" t="inlineStr">
        <is>
          <t>Hawaiian Airlines</t>
        </is>
      </c>
      <c r="B16" s="6" t="n">
        <v>236810</v>
      </c>
      <c r="C16" s="6" t="n">
        <v>8</v>
      </c>
      <c r="D16" s="12" t="n">
        <v>-0.6620679876</v>
      </c>
      <c r="E16" s="6" t="n">
        <v>15</v>
      </c>
      <c r="F16" s="12" t="n">
        <v>11.42161084</v>
      </c>
      <c r="G16" t="inlineStr">
        <is>
          <t>+10.61 to +12.24 min</t>
        </is>
      </c>
      <c r="H16" t="inlineStr">
        <is>
          <t>down 7</t>
        </is>
      </c>
    </row>
    <row r="18">
      <c r="A18" t="inlineStr">
        <is>
          <t>Source: BTS on time files joined to the FAA aircraft registry, model: fixed effects on weighted cells, scheduled flights 2023 to 2026-07, as of 2026-10-01.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2" customWidth="1" min="4" max="4"/>
    <col width="12" customWidth="1" min="5" max="5"/>
    <col width="12" customWidth="1" min="6" max="6"/>
  </cols>
  <sheetData>
    <row r="1">
      <c r="A1" s="10" t="inlineStr">
        <is>
          <t>Year</t>
        </is>
      </c>
      <c r="B1" s="11" t="inlineStr">
        <is>
          <t>Late aircraft</t>
        </is>
      </c>
      <c r="C1" s="11" t="inlineStr">
        <is>
          <t>Carrier</t>
        </is>
      </c>
      <c r="D1" s="11" t="inlineStr">
        <is>
          <t>Air traffic system</t>
        </is>
      </c>
      <c r="E1" s="11" t="inlineStr">
        <is>
          <t>Weather</t>
        </is>
      </c>
      <c r="F1" s="11" t="inlineStr">
        <is>
          <t>Security</t>
        </is>
      </c>
    </row>
    <row r="2">
      <c r="A2" t="inlineStr">
        <is>
          <t>2015</t>
        </is>
      </c>
      <c r="B2" s="7" t="n">
        <v>0</v>
      </c>
      <c r="C2" s="7" t="n">
        <v>0</v>
      </c>
      <c r="D2" s="7" t="n">
        <v>0</v>
      </c>
      <c r="E2" s="7" t="n">
        <v>0</v>
      </c>
      <c r="F2" s="8" t="n">
        <v>0</v>
      </c>
    </row>
    <row r="3">
      <c r="A3" t="inlineStr">
        <is>
          <t>2016</t>
        </is>
      </c>
      <c r="B3" s="7" t="n">
        <v>0</v>
      </c>
      <c r="C3" s="7" t="n">
        <v>0</v>
      </c>
      <c r="D3" s="7" t="n">
        <v>0</v>
      </c>
      <c r="E3" s="7" t="n">
        <v>0</v>
      </c>
      <c r="F3" s="8" t="n">
        <v>0</v>
      </c>
    </row>
    <row r="4">
      <c r="A4" t="inlineStr">
        <is>
          <t>2017</t>
        </is>
      </c>
      <c r="B4" s="7" t="n">
        <v>0</v>
      </c>
      <c r="C4" s="7" t="n">
        <v>0</v>
      </c>
      <c r="D4" s="7" t="n">
        <v>0</v>
      </c>
      <c r="E4" s="7" t="n">
        <v>0</v>
      </c>
      <c r="F4" s="8" t="n">
        <v>0</v>
      </c>
    </row>
    <row r="5">
      <c r="A5" t="inlineStr">
        <is>
          <t>2018</t>
        </is>
      </c>
      <c r="B5" s="7" t="n">
        <v>0</v>
      </c>
      <c r="C5" s="7" t="n">
        <v>0</v>
      </c>
      <c r="D5" s="7" t="n">
        <v>0</v>
      </c>
      <c r="E5" s="7" t="n">
        <v>0</v>
      </c>
      <c r="F5" s="8" t="n">
        <v>0</v>
      </c>
    </row>
    <row r="6">
      <c r="A6" t="inlineStr">
        <is>
          <t>2019</t>
        </is>
      </c>
      <c r="B6" s="7" t="n">
        <v>0</v>
      </c>
      <c r="C6" s="7" t="n">
        <v>0</v>
      </c>
      <c r="D6" s="7" t="n">
        <v>0</v>
      </c>
      <c r="E6" s="7" t="n">
        <v>0</v>
      </c>
      <c r="F6" s="8" t="n">
        <v>0</v>
      </c>
    </row>
    <row r="7">
      <c r="A7" t="inlineStr">
        <is>
          <t>2020</t>
        </is>
      </c>
      <c r="B7" s="7" t="n">
        <v>0</v>
      </c>
      <c r="C7" s="7" t="n">
        <v>0</v>
      </c>
      <c r="D7" s="7" t="n">
        <v>0</v>
      </c>
      <c r="E7" s="7" t="n">
        <v>0</v>
      </c>
      <c r="F7" s="8" t="n">
        <v>0</v>
      </c>
    </row>
    <row r="8">
      <c r="A8" t="inlineStr">
        <is>
          <t>2021</t>
        </is>
      </c>
      <c r="B8" s="7" t="n">
        <v>0</v>
      </c>
      <c r="C8" s="7" t="n">
        <v>0</v>
      </c>
      <c r="D8" s="7" t="n">
        <v>0</v>
      </c>
      <c r="E8" s="7" t="n">
        <v>0</v>
      </c>
      <c r="F8" s="8" t="n">
        <v>0</v>
      </c>
    </row>
    <row r="9">
      <c r="A9" t="inlineStr">
        <is>
          <t>2022</t>
        </is>
      </c>
      <c r="B9" s="7" t="n">
        <v>0</v>
      </c>
      <c r="C9" s="7" t="n">
        <v>0</v>
      </c>
      <c r="D9" s="7" t="n">
        <v>0</v>
      </c>
      <c r="E9" s="7" t="n">
        <v>0</v>
      </c>
      <c r="F9" s="8" t="n">
        <v>0</v>
      </c>
    </row>
    <row r="10">
      <c r="A10" t="inlineStr">
        <is>
          <t>2023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8" t="n">
        <v>0</v>
      </c>
    </row>
    <row r="11">
      <c r="A11" t="inlineStr">
        <is>
          <t>2024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8" t="n">
        <v>0</v>
      </c>
    </row>
    <row r="12">
      <c r="A12" t="inlineStr">
        <is>
          <t>2025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8" t="n">
        <v>0</v>
      </c>
    </row>
    <row r="13">
      <c r="A13" t="inlineStr">
        <is>
          <t>2026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8" t="n">
        <v>0</v>
      </c>
    </row>
    <row r="15">
      <c r="A15" t="inlineStr">
        <is>
          <t>Source: BTS on time files with Open-Meteo weather, model: the weather fixed effects model, scheduled flights 2023 to 2026-07, flights between two Core 30 airports for the weather model, as of 2026-10-01.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4" customWidth="1" min="4" max="4"/>
  </cols>
  <sheetData>
    <row r="1">
      <c r="A1" s="10" t="inlineStr">
        <is>
          <t>Airport</t>
        </is>
      </c>
      <c r="B1" s="11" t="inlineStr">
        <is>
          <t>Flights</t>
        </is>
      </c>
      <c r="C1" s="11" t="inlineStr">
        <is>
          <t>Air traffic system share of cause minutes</t>
        </is>
      </c>
      <c r="D1" s="11" t="inlineStr">
        <is>
          <t>Air traffic minutes per flight</t>
        </is>
      </c>
    </row>
    <row r="2">
      <c r="A2" t="inlineStr">
        <is>
          <t>EWR</t>
        </is>
      </c>
      <c r="B2" s="6" t="n">
        <v>443734</v>
      </c>
      <c r="C2" s="7" t="n">
        <v>0.4225094933</v>
      </c>
      <c r="D2" s="16" t="n">
        <v>8.009595838999999</v>
      </c>
    </row>
    <row r="3">
      <c r="A3" t="inlineStr">
        <is>
          <t>SFO</t>
        </is>
      </c>
      <c r="B3" s="6" t="n">
        <v>495273</v>
      </c>
      <c r="C3" s="7" t="n">
        <v>0.3743447927</v>
      </c>
      <c r="D3" s="16" t="n">
        <v>6.86871483</v>
      </c>
    </row>
    <row r="4">
      <c r="A4" t="inlineStr">
        <is>
          <t>LGA</t>
        </is>
      </c>
      <c r="B4" s="6" t="n">
        <v>520330</v>
      </c>
      <c r="C4" s="7" t="n">
        <v>0.3360849248</v>
      </c>
      <c r="D4" s="16" t="n">
        <v>5.760507755</v>
      </c>
    </row>
    <row r="5">
      <c r="A5" t="inlineStr">
        <is>
          <t>BOS</t>
        </is>
      </c>
      <c r="B5" s="6" t="n">
        <v>500000</v>
      </c>
      <c r="C5" s="7" t="n">
        <v>0.2794742148</v>
      </c>
      <c r="D5" s="16" t="n">
        <v>5.19724</v>
      </c>
    </row>
    <row r="6">
      <c r="A6" t="inlineStr">
        <is>
          <t>FLL</t>
        </is>
      </c>
      <c r="B6" s="6" t="n">
        <v>317257</v>
      </c>
      <c r="C6" s="7" t="n">
        <v>0.2754277999</v>
      </c>
      <c r="D6" s="16" t="n">
        <v>5.244435899</v>
      </c>
    </row>
    <row r="7">
      <c r="A7" t="inlineStr">
        <is>
          <t>DEN</t>
        </is>
      </c>
      <c r="B7" s="6" t="n">
        <v>1084241</v>
      </c>
      <c r="C7" s="7" t="n">
        <v>0.2609473129</v>
      </c>
      <c r="D7" s="16" t="n">
        <v>3.971339398</v>
      </c>
    </row>
    <row r="8">
      <c r="A8" t="inlineStr">
        <is>
          <t>LAS</t>
        </is>
      </c>
      <c r="B8" s="6" t="n">
        <v>655655</v>
      </c>
      <c r="C8" s="7" t="n">
        <v>0.2585800709</v>
      </c>
      <c r="D8" s="16" t="n">
        <v>3.77177479</v>
      </c>
    </row>
    <row r="9">
      <c r="A9" t="inlineStr">
        <is>
          <t>JFK</t>
        </is>
      </c>
      <c r="B9" s="6" t="n">
        <v>407827</v>
      </c>
      <c r="C9" s="7" t="n">
        <v>0.2557166139</v>
      </c>
      <c r="D9" s="16" t="n">
        <v>4.823856684</v>
      </c>
    </row>
    <row r="10">
      <c r="A10" t="inlineStr">
        <is>
          <t>MCO</t>
        </is>
      </c>
      <c r="B10" s="6" t="n">
        <v>568263</v>
      </c>
      <c r="C10" s="7" t="n">
        <v>0.2547605891</v>
      </c>
      <c r="D10" s="16" t="n">
        <v>4.728286022</v>
      </c>
    </row>
    <row r="11">
      <c r="A11" t="inlineStr">
        <is>
          <t>ORD</t>
        </is>
      </c>
      <c r="B11" s="6" t="n">
        <v>1054904</v>
      </c>
      <c r="C11" s="7" t="n">
        <v>0.2527197616</v>
      </c>
      <c r="D11" s="16" t="n">
        <v>4.843346883</v>
      </c>
    </row>
    <row r="13">
      <c r="A13" t="inlineStr">
        <is>
          <t>Source: BTS on time files with Open-Meteo weather, model: the weather fixed effects model, scheduled flights 2023 to 2026-07, flights between two Core 30 airports for the weather model, as of 2026-10-01.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</cols>
  <sheetData>
    <row r="1">
      <c r="A1" s="10" t="inlineStr">
        <is>
          <t>Event</t>
        </is>
      </c>
      <c r="B1" s="11" t="inlineStr">
        <is>
          <t>Onset</t>
        </is>
      </c>
      <c r="C1" s="11" t="inlineStr">
        <is>
          <t>Window</t>
        </is>
      </c>
      <c r="D1" s="11" t="inlineStr">
        <is>
          <t>Units</t>
        </is>
      </c>
      <c r="E1" s="11" t="inlineStr">
        <is>
          <t>Flagged</t>
        </is>
      </c>
      <c r="F1" s="11" t="inlineStr">
        <is>
          <t>First alert</t>
        </is>
      </c>
      <c r="G1" s="11" t="inlineStr">
        <is>
          <t>Days after onset</t>
        </is>
      </c>
    </row>
    <row r="2">
      <c r="A2" t="inlineStr">
        <is>
          <t>Boeing 737 MAX grounding</t>
        </is>
      </c>
      <c r="B2" t="inlineStr">
        <is>
          <t>2019-03-13</t>
        </is>
      </c>
      <c r="C2" t="inlineStr">
        <is>
          <t>fitting</t>
        </is>
      </c>
      <c r="D2" t="inlineStr">
        <is>
          <t>WN;AA;UA</t>
        </is>
      </c>
      <c r="E2" t="inlineStr">
        <is>
          <t>yes</t>
        </is>
      </c>
      <c r="F2" t="inlineStr">
        <is>
          <t>2019-03-13</t>
        </is>
      </c>
      <c r="G2" s="6" t="n">
        <v>0</v>
      </c>
    </row>
    <row r="3">
      <c r="A3" t="inlineStr">
        <is>
          <t>COVID-19 collapse in air travel</t>
        </is>
      </c>
      <c r="B3" t="inlineStr">
        <is>
          <t>2020-03-15</t>
        </is>
      </c>
      <c r="C3" t="inlineStr">
        <is>
          <t>fitting</t>
        </is>
      </c>
      <c r="D3" t="inlineStr">
        <is>
          <t>all</t>
        </is>
      </c>
      <c r="E3" t="inlineStr">
        <is>
          <t>yes</t>
        </is>
      </c>
      <c r="F3" t="inlineStr">
        <is>
          <t>2020-03-17</t>
        </is>
      </c>
      <c r="G3" s="6" t="n">
        <v>2</v>
      </c>
    </row>
    <row r="4">
      <c r="A4" t="inlineStr">
        <is>
          <t>Winter Storm Uri in Texas</t>
        </is>
      </c>
      <c r="B4" t="inlineStr">
        <is>
          <t>2021-02-14</t>
        </is>
      </c>
      <c r="C4" t="inlineStr">
        <is>
          <t>fitting</t>
        </is>
      </c>
      <c r="D4" t="inlineStr">
        <is>
          <t>DFW;DAL;IAH;HOU;AUS;SAT</t>
        </is>
      </c>
      <c r="E4" t="inlineStr">
        <is>
          <t>yes</t>
        </is>
      </c>
      <c r="F4" t="inlineStr">
        <is>
          <t>2021-02-14</t>
        </is>
      </c>
      <c r="G4" s="6" t="n">
        <v>0</v>
      </c>
    </row>
    <row r="5">
      <c r="A5" t="inlineStr">
        <is>
          <t>Southwest scheduling crisis</t>
        </is>
      </c>
      <c r="B5" t="inlineStr">
        <is>
          <t>2022-12-21</t>
        </is>
      </c>
      <c r="C5" t="inlineStr">
        <is>
          <t>fitting</t>
        </is>
      </c>
      <c r="D5" t="inlineStr">
        <is>
          <t>WN</t>
        </is>
      </c>
      <c r="E5" t="inlineStr">
        <is>
          <t>yes</t>
        </is>
      </c>
      <c r="F5" t="inlineStr">
        <is>
          <t>2022-12-22</t>
        </is>
      </c>
      <c r="G5" s="6" t="n">
        <v>1</v>
      </c>
    </row>
    <row r="6">
      <c r="A6" t="inlineStr">
        <is>
          <t>Winter Storm Elliott</t>
        </is>
      </c>
      <c r="B6" t="inlineStr">
        <is>
          <t>2022-12-21</t>
        </is>
      </c>
      <c r="C6" t="inlineStr">
        <is>
          <t>fitting</t>
        </is>
      </c>
      <c r="D6" t="inlineStr">
        <is>
          <t>all</t>
        </is>
      </c>
      <c r="E6" t="inlineStr">
        <is>
          <t>yes</t>
        </is>
      </c>
      <c r="F6" t="inlineStr">
        <is>
          <t>2022-12-22</t>
        </is>
      </c>
      <c r="G6" s="6" t="n">
        <v>1</v>
      </c>
    </row>
    <row r="7">
      <c r="A7" t="inlineStr">
        <is>
          <t>FAA NOTAM system outage</t>
        </is>
      </c>
      <c r="B7" t="inlineStr">
        <is>
          <t>2023-01-11</t>
        </is>
      </c>
      <c r="C7" t="inlineStr">
        <is>
          <t>reporting</t>
        </is>
      </c>
      <c r="D7" t="inlineStr">
        <is>
          <t>all</t>
        </is>
      </c>
      <c r="E7" t="inlineStr">
        <is>
          <t>yes</t>
        </is>
      </c>
      <c r="F7" t="inlineStr">
        <is>
          <t>2023-01-11</t>
        </is>
      </c>
      <c r="G7" s="6" t="n">
        <v>0</v>
      </c>
    </row>
    <row r="8">
      <c r="A8" t="inlineStr">
        <is>
          <t>Alaska 1282 and the 737-9 grounding</t>
        </is>
      </c>
      <c r="B8" t="inlineStr">
        <is>
          <t>2024-01-06</t>
        </is>
      </c>
      <c r="C8" t="inlineStr">
        <is>
          <t>reporting</t>
        </is>
      </c>
      <c r="D8" t="inlineStr">
        <is>
          <t>AS;UA</t>
        </is>
      </c>
      <c r="E8" t="inlineStr">
        <is>
          <t>yes</t>
        </is>
      </c>
      <c r="F8" t="inlineStr">
        <is>
          <t>2024-01-06</t>
        </is>
      </c>
      <c r="G8" s="6" t="n">
        <v>0</v>
      </c>
    </row>
    <row r="9">
      <c r="A9" t="inlineStr">
        <is>
          <t>CrowdStrike outage and Delta's recovery</t>
        </is>
      </c>
      <c r="B9" t="inlineStr">
        <is>
          <t>2024-07-19</t>
        </is>
      </c>
      <c r="C9" t="inlineStr">
        <is>
          <t>reporting</t>
        </is>
      </c>
      <c r="D9" t="inlineStr">
        <is>
          <t>DL</t>
        </is>
      </c>
      <c r="E9" t="inlineStr">
        <is>
          <t>yes</t>
        </is>
      </c>
      <c r="F9" t="inlineStr">
        <is>
          <t>2024-07-19</t>
        </is>
      </c>
      <c r="G9" s="6" t="n">
        <v>0</v>
      </c>
    </row>
    <row r="10">
      <c r="A10" t="inlineStr">
        <is>
          <t>Hurricane Milton</t>
        </is>
      </c>
      <c r="B10" t="inlineStr">
        <is>
          <t>2024-10-08</t>
        </is>
      </c>
      <c r="C10" t="inlineStr">
        <is>
          <t>reporting</t>
        </is>
      </c>
      <c r="D10" t="inlineStr">
        <is>
          <t>TPA;MCO;SRQ;RSW;PIE;SFB</t>
        </is>
      </c>
      <c r="E10" t="inlineStr">
        <is>
          <t>yes</t>
        </is>
      </c>
      <c r="F10" t="inlineStr">
        <is>
          <t>2024-10-08</t>
        </is>
      </c>
      <c r="G10" s="6" t="n">
        <v>0</v>
      </c>
    </row>
    <row r="11">
      <c r="A11" t="inlineStr">
        <is>
          <t>Newark radar outages and flight caps</t>
        </is>
      </c>
      <c r="B11" t="inlineStr">
        <is>
          <t>2025-04-28</t>
        </is>
      </c>
      <c r="C11" t="inlineStr">
        <is>
          <t>reporting</t>
        </is>
      </c>
      <c r="D11" t="inlineStr">
        <is>
          <t>EWR</t>
        </is>
      </c>
      <c r="E11" t="inlineStr">
        <is>
          <t>yes</t>
        </is>
      </c>
      <c r="F11" t="inlineStr">
        <is>
          <t>2025-05-01</t>
        </is>
      </c>
      <c r="G11" s="6" t="n">
        <v>3</v>
      </c>
    </row>
    <row r="12">
      <c r="A12" t="inlineStr">
        <is>
          <t>Alaska Airlines IT outage and ground stop</t>
        </is>
      </c>
      <c r="B12" t="inlineStr">
        <is>
          <t>2025-10-23</t>
        </is>
      </c>
      <c r="C12" t="inlineStr">
        <is>
          <t>reporting</t>
        </is>
      </c>
      <c r="D12" t="inlineStr">
        <is>
          <t>AS</t>
        </is>
      </c>
      <c r="E12" t="inlineStr">
        <is>
          <t>yes</t>
        </is>
      </c>
      <c r="F12" t="inlineStr">
        <is>
          <t>2025-10-23</t>
        </is>
      </c>
      <c r="G12" s="6" t="n">
        <v>0</v>
      </c>
    </row>
    <row r="13">
      <c r="A13" t="inlineStr">
        <is>
          <t>FAA flight reductions during the federal shutdown</t>
        </is>
      </c>
      <c r="B13" t="inlineStr">
        <is>
          <t>2025-11-07</t>
        </is>
      </c>
      <c r="C13" t="inlineStr">
        <is>
          <t>reporting</t>
        </is>
      </c>
      <c r="D13" t="inlineStr">
        <is>
          <t>all</t>
        </is>
      </c>
      <c r="E13" t="inlineStr">
        <is>
          <t>yes</t>
        </is>
      </c>
      <c r="F13" t="inlineStr">
        <is>
          <t>2025-11-08</t>
        </is>
      </c>
      <c r="G13" s="6" t="n">
        <v>1</v>
      </c>
    </row>
    <row r="14">
      <c r="A14" t="inlineStr">
        <is>
          <t>January 2026 winter storm</t>
        </is>
      </c>
      <c r="B14" t="inlineStr">
        <is>
          <t>2026-01-24</t>
        </is>
      </c>
      <c r="C14" t="inlineStr">
        <is>
          <t>reporting</t>
        </is>
      </c>
      <c r="D14" t="inlineStr">
        <is>
          <t>all</t>
        </is>
      </c>
      <c r="E14" t="inlineStr">
        <is>
          <t>yes</t>
        </is>
      </c>
      <c r="F14" t="inlineStr">
        <is>
          <t>2026-01-24</t>
        </is>
      </c>
      <c r="G14" s="6" t="n">
        <v>0</v>
      </c>
    </row>
    <row r="16">
      <c r="A16" t="inlineStr">
        <is>
          <t>Source: BTS Reporting Carrier On-Time Performance, model: the disruption detector, every scheduled flight, 2015 to 2026-07, as of 2026-10-01.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12" customWidth="1" min="5" max="5"/>
  </cols>
  <sheetData>
    <row r="1">
      <c r="A1" s="10" t="inlineStr">
        <is>
          <t>Carrier</t>
        </is>
      </c>
      <c r="B1" s="11" t="inlineStr">
        <is>
          <t>Alert episodes</t>
        </is>
      </c>
      <c r="C1" s="11" t="inlineStr">
        <is>
          <t>Median days</t>
        </is>
      </c>
      <c r="D1" s="11" t="inlineStr">
        <is>
          <t>Mean days</t>
        </is>
      </c>
      <c r="E1" s="11" t="inlineStr">
        <is>
          <t>Longest</t>
        </is>
      </c>
    </row>
    <row r="2">
      <c r="A2" t="inlineStr">
        <is>
          <t>US Airways</t>
        </is>
      </c>
      <c r="B2" s="6" t="n">
        <v>1</v>
      </c>
      <c r="C2" t="n">
        <v>1</v>
      </c>
      <c r="D2" t="n">
        <v>1</v>
      </c>
      <c r="E2" s="6" t="n">
        <v>1</v>
      </c>
    </row>
    <row r="3">
      <c r="A3" t="inlineStr">
        <is>
          <t>Virgin America</t>
        </is>
      </c>
      <c r="B3" s="6" t="n">
        <v>4</v>
      </c>
      <c r="C3" t="n">
        <v>1</v>
      </c>
      <c r="D3" t="n">
        <v>1.25</v>
      </c>
      <c r="E3" s="6" t="n">
        <v>2</v>
      </c>
    </row>
    <row r="4">
      <c r="A4" t="inlineStr">
        <is>
          <t>Endeavor Air</t>
        </is>
      </c>
      <c r="B4" s="6" t="n">
        <v>34</v>
      </c>
      <c r="C4" t="n">
        <v>1</v>
      </c>
      <c r="D4" t="n">
        <v>1.676470588</v>
      </c>
      <c r="E4" s="6" t="n">
        <v>10</v>
      </c>
    </row>
    <row r="5">
      <c r="A5" t="inlineStr">
        <is>
          <t>Republic Airways</t>
        </is>
      </c>
      <c r="B5" s="6" t="n">
        <v>42</v>
      </c>
      <c r="C5" t="n">
        <v>1</v>
      </c>
      <c r="D5" t="n">
        <v>1.857142857</v>
      </c>
      <c r="E5" s="6" t="n">
        <v>11</v>
      </c>
    </row>
    <row r="6">
      <c r="A6" t="inlineStr">
        <is>
          <t>Envoy Air</t>
        </is>
      </c>
      <c r="B6" s="6" t="n">
        <v>25</v>
      </c>
      <c r="C6" t="n">
        <v>1</v>
      </c>
      <c r="D6" t="n">
        <v>1.96</v>
      </c>
      <c r="E6" s="6" t="n">
        <v>10</v>
      </c>
    </row>
    <row r="7">
      <c r="A7" t="inlineStr">
        <is>
          <t>Alaska Airlines</t>
        </is>
      </c>
      <c r="B7" s="6" t="n">
        <v>9</v>
      </c>
      <c r="C7" t="n">
        <v>1</v>
      </c>
      <c r="D7" t="n">
        <v>2.444444444</v>
      </c>
      <c r="E7" s="6" t="n">
        <v>10</v>
      </c>
    </row>
    <row r="8">
      <c r="A8" t="inlineStr">
        <is>
          <t>ExpressJet Airlines</t>
        </is>
      </c>
      <c r="B8" s="6" t="n">
        <v>10</v>
      </c>
      <c r="C8" t="n">
        <v>1</v>
      </c>
      <c r="D8" t="n">
        <v>2.5</v>
      </c>
      <c r="E8" s="6" t="n">
        <v>11</v>
      </c>
    </row>
    <row r="9">
      <c r="A9" t="inlineStr">
        <is>
          <t>American Airlines</t>
        </is>
      </c>
      <c r="B9" s="6" t="n">
        <v>14</v>
      </c>
      <c r="C9" t="n">
        <v>1.5</v>
      </c>
      <c r="D9" t="n">
        <v>2.571428571</v>
      </c>
      <c r="E9" s="6" t="n">
        <v>9</v>
      </c>
    </row>
    <row r="10">
      <c r="A10" t="inlineStr">
        <is>
          <t>JetBlue Airways</t>
        </is>
      </c>
      <c r="B10" s="6" t="n">
        <v>34</v>
      </c>
      <c r="C10" t="n">
        <v>2</v>
      </c>
      <c r="D10" t="n">
        <v>1.970588235</v>
      </c>
      <c r="E10" s="6" t="n">
        <v>6</v>
      </c>
    </row>
    <row r="11">
      <c r="A11" t="inlineStr">
        <is>
          <t>PSA Airlines</t>
        </is>
      </c>
      <c r="B11" s="6" t="n">
        <v>23</v>
      </c>
      <c r="C11" t="n">
        <v>2</v>
      </c>
      <c r="D11" t="n">
        <v>2.391304348</v>
      </c>
      <c r="E11" s="6" t="n">
        <v>11</v>
      </c>
    </row>
    <row r="12">
      <c r="A12" t="inlineStr">
        <is>
          <t>Delta Air Lines</t>
        </is>
      </c>
      <c r="B12" s="6" t="n">
        <v>20</v>
      </c>
      <c r="C12" t="n">
        <v>2</v>
      </c>
      <c r="D12" t="n">
        <v>2.5</v>
      </c>
      <c r="E12" s="6" t="n">
        <v>12</v>
      </c>
    </row>
    <row r="13">
      <c r="A13" t="inlineStr">
        <is>
          <t>United Airlines</t>
        </is>
      </c>
      <c r="B13" s="6" t="n">
        <v>20</v>
      </c>
      <c r="C13" t="n">
        <v>2</v>
      </c>
      <c r="D13" t="n">
        <v>2.7</v>
      </c>
      <c r="E13" s="6" t="n">
        <v>13</v>
      </c>
    </row>
    <row r="14">
      <c r="A14" t="inlineStr">
        <is>
          <t>Frontier Airlines</t>
        </is>
      </c>
      <c r="B14" s="6" t="n">
        <v>13</v>
      </c>
      <c r="C14" t="n">
        <v>2</v>
      </c>
      <c r="D14" t="n">
        <v>2.846153846</v>
      </c>
      <c r="E14" s="6" t="n">
        <v>14</v>
      </c>
    </row>
    <row r="15">
      <c r="A15" t="inlineStr">
        <is>
          <t>Southwest Airlines</t>
        </is>
      </c>
      <c r="B15" s="6" t="n">
        <v>9</v>
      </c>
      <c r="C15" t="n">
        <v>2</v>
      </c>
      <c r="D15" t="n">
        <v>2.888888889</v>
      </c>
      <c r="E15" s="6" t="n">
        <v>8</v>
      </c>
    </row>
    <row r="16">
      <c r="A16" t="inlineStr">
        <is>
          <t>Allegiant Air</t>
        </is>
      </c>
      <c r="B16" s="6" t="n">
        <v>13</v>
      </c>
      <c r="C16" t="n">
        <v>2</v>
      </c>
      <c r="D16" t="n">
        <v>3.153846154</v>
      </c>
      <c r="E16" s="6" t="n">
        <v>14</v>
      </c>
    </row>
    <row r="17">
      <c r="A17" t="inlineStr">
        <is>
          <t>SkyWest Airlines</t>
        </is>
      </c>
      <c r="B17" s="6" t="n">
        <v>4</v>
      </c>
      <c r="C17" t="n">
        <v>2</v>
      </c>
      <c r="D17" t="n">
        <v>3.75</v>
      </c>
      <c r="E17" s="6" t="n">
        <v>10</v>
      </c>
    </row>
    <row r="18">
      <c r="A18" t="inlineStr">
        <is>
          <t>Spirit Airlines</t>
        </is>
      </c>
      <c r="B18" s="6" t="n">
        <v>16</v>
      </c>
      <c r="C18" t="n">
        <v>2.5</v>
      </c>
      <c r="D18" t="n">
        <v>2.75</v>
      </c>
      <c r="E18" s="6" t="n">
        <v>7</v>
      </c>
    </row>
    <row r="19">
      <c r="A19" t="inlineStr">
        <is>
          <t>Horizon Air</t>
        </is>
      </c>
      <c r="B19" s="6" t="n">
        <v>2</v>
      </c>
      <c r="C19" t="n">
        <v>3</v>
      </c>
      <c r="D19" t="n">
        <v>3</v>
      </c>
      <c r="E19" s="6" t="n">
        <v>3</v>
      </c>
    </row>
    <row r="20">
      <c r="A20" t="inlineStr">
        <is>
          <t>Mesa Airlines</t>
        </is>
      </c>
      <c r="B20" s="6" t="n">
        <v>4</v>
      </c>
      <c r="C20" t="n">
        <v>4</v>
      </c>
      <c r="D20" t="n">
        <v>5.25</v>
      </c>
      <c r="E20" s="6" t="n">
        <v>12</v>
      </c>
    </row>
    <row r="21">
      <c r="A21" t="inlineStr">
        <is>
          <t>Hawaiian Airlines</t>
        </is>
      </c>
      <c r="B21" s="6" t="n">
        <v>6</v>
      </c>
      <c r="C21" t="n">
        <v>5</v>
      </c>
      <c r="D21" t="n">
        <v>6.5</v>
      </c>
      <c r="E21" s="6" t="n">
        <v>14</v>
      </c>
    </row>
    <row r="23">
      <c r="A23" t="inlineStr">
        <is>
          <t>Source: BTS Reporting Carrier On-Time Performance, model: the disruption detector, every scheduled flight, 2015 to 2026-07, as of 2026-10-01.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2" customWidth="1" min="4" max="4"/>
  </cols>
  <sheetData>
    <row r="1">
      <c r="A1" s="10" t="inlineStr">
        <is>
          <t>Scheduled departure hour</t>
        </is>
      </c>
      <c r="B1" s="11" t="inlineStr">
        <is>
          <t>Flights</t>
        </is>
      </c>
      <c r="C1" s="11" t="inlineStr">
        <is>
          <t>On time</t>
        </is>
      </c>
      <c r="D1" s="11" t="inlineStr">
        <is>
          <t>Mean arrival delay</t>
        </is>
      </c>
    </row>
    <row r="2">
      <c r="A2" t="inlineStr">
        <is>
          <t>00:00</t>
        </is>
      </c>
      <c r="B2" s="6" t="n">
        <v>39810</v>
      </c>
      <c r="C2" s="7" t="n">
        <v>0.8096960563</v>
      </c>
      <c r="D2" s="13" t="n">
        <v>3.93896006</v>
      </c>
    </row>
    <row r="3">
      <c r="A3" t="inlineStr">
        <is>
          <t>01:00</t>
        </is>
      </c>
      <c r="B3" s="6" t="n">
        <v>13241</v>
      </c>
      <c r="C3" s="7" t="n">
        <v>0.7887621781</v>
      </c>
      <c r="D3" s="13" t="n">
        <v>7.159202477</v>
      </c>
    </row>
    <row r="4">
      <c r="A4" t="inlineStr">
        <is>
          <t>02:00</t>
        </is>
      </c>
      <c r="B4" s="6" t="n">
        <v>5206</v>
      </c>
      <c r="C4" s="7" t="n">
        <v>0.7865923934</v>
      </c>
      <c r="D4" s="13" t="n">
        <v>4.740683826</v>
      </c>
    </row>
    <row r="5">
      <c r="A5" t="inlineStr">
        <is>
          <t>03:00</t>
        </is>
      </c>
      <c r="B5" s="6" t="n">
        <v>2823</v>
      </c>
      <c r="C5" s="7" t="n">
        <v>0.7902940134999999</v>
      </c>
      <c r="D5" s="13" t="n">
        <v>5.584130358</v>
      </c>
    </row>
    <row r="6">
      <c r="A6" t="inlineStr">
        <is>
          <t>04:00</t>
        </is>
      </c>
      <c r="B6" s="6" t="n">
        <v>1338</v>
      </c>
      <c r="C6" s="7" t="n">
        <v>0.8101644245</v>
      </c>
      <c r="D6" s="13" t="n">
        <v>5.603886398</v>
      </c>
    </row>
    <row r="7">
      <c r="A7" t="inlineStr">
        <is>
          <t>05:00</t>
        </is>
      </c>
      <c r="B7" s="6" t="n">
        <v>697963</v>
      </c>
      <c r="C7" s="7" t="n">
        <v>0.911680132</v>
      </c>
      <c r="D7" s="13" t="n">
        <v>-2.468734016</v>
      </c>
    </row>
    <row r="8">
      <c r="A8" t="inlineStr">
        <is>
          <t>06:00</t>
        </is>
      </c>
      <c r="B8" s="6" t="n">
        <v>1723394</v>
      </c>
      <c r="C8" s="7" t="n">
        <v>0.9009564847</v>
      </c>
      <c r="D8" s="13" t="n">
        <v>-2.006197654</v>
      </c>
    </row>
    <row r="9">
      <c r="A9" t="inlineStr">
        <is>
          <t>07:00</t>
        </is>
      </c>
      <c r="B9" s="6" t="n">
        <v>1746305</v>
      </c>
      <c r="C9" s="7" t="n">
        <v>0.8745854819</v>
      </c>
      <c r="D9" s="13" t="n">
        <v>-0.4768897758</v>
      </c>
    </row>
    <row r="10">
      <c r="A10" t="inlineStr">
        <is>
          <t>08:00</t>
        </is>
      </c>
      <c r="B10" s="6" t="n">
        <v>1678437</v>
      </c>
      <c r="C10" s="7" t="n">
        <v>0.8584355564</v>
      </c>
      <c r="D10" s="13" t="n">
        <v>0.2220184612</v>
      </c>
    </row>
    <row r="11">
      <c r="A11" t="inlineStr">
        <is>
          <t>09:00</t>
        </is>
      </c>
      <c r="B11" s="6" t="n">
        <v>1386438</v>
      </c>
      <c r="C11" s="7" t="n">
        <v>0.8437535613</v>
      </c>
      <c r="D11" s="13" t="n">
        <v>1.480752114</v>
      </c>
    </row>
    <row r="12">
      <c r="A12" t="inlineStr">
        <is>
          <t>10:00</t>
        </is>
      </c>
      <c r="B12" s="6" t="n">
        <v>1539031</v>
      </c>
      <c r="C12" s="7" t="n">
        <v>0.8314121028</v>
      </c>
      <c r="D12" s="13" t="n">
        <v>2.65368209</v>
      </c>
    </row>
    <row r="13">
      <c r="A13" t="inlineStr">
        <is>
          <t>11:00</t>
        </is>
      </c>
      <c r="B13" s="6" t="n">
        <v>1530312</v>
      </c>
      <c r="C13" s="7" t="n">
        <v>0.814678314</v>
      </c>
      <c r="D13" s="13" t="n">
        <v>4.261508111</v>
      </c>
    </row>
    <row r="14">
      <c r="A14" t="inlineStr">
        <is>
          <t>12:00</t>
        </is>
      </c>
      <c r="B14" s="6" t="n">
        <v>1463645</v>
      </c>
      <c r="C14" s="7" t="n">
        <v>0.7980022478</v>
      </c>
      <c r="D14" s="13" t="n">
        <v>6.162648046</v>
      </c>
    </row>
    <row r="15">
      <c r="A15" t="inlineStr">
        <is>
          <t>13:00</t>
        </is>
      </c>
      <c r="B15" s="6" t="n">
        <v>1469118</v>
      </c>
      <c r="C15" s="7" t="n">
        <v>0.7781914046</v>
      </c>
      <c r="D15" s="13" t="n">
        <v>8.082955896</v>
      </c>
    </row>
    <row r="16">
      <c r="A16" t="inlineStr">
        <is>
          <t>14:00</t>
        </is>
      </c>
      <c r="B16" s="6" t="n">
        <v>1404527</v>
      </c>
      <c r="C16" s="7" t="n">
        <v>0.7545785877</v>
      </c>
      <c r="D16" s="13" t="n">
        <v>10.6129964</v>
      </c>
    </row>
    <row r="17">
      <c r="A17" t="inlineStr">
        <is>
          <t>15:00</t>
        </is>
      </c>
      <c r="B17" s="6" t="n">
        <v>1412408</v>
      </c>
      <c r="C17" s="7" t="n">
        <v>0.7377910632</v>
      </c>
      <c r="D17" s="13" t="n">
        <v>11.94984381</v>
      </c>
    </row>
    <row r="18">
      <c r="A18" t="inlineStr">
        <is>
          <t>16:00</t>
        </is>
      </c>
      <c r="B18" s="6" t="n">
        <v>1409368</v>
      </c>
      <c r="C18" s="7" t="n">
        <v>0.7183134568</v>
      </c>
      <c r="D18" s="13" t="n">
        <v>13.92109868</v>
      </c>
    </row>
    <row r="19">
      <c r="A19" t="inlineStr">
        <is>
          <t>17:00</t>
        </is>
      </c>
      <c r="B19" s="6" t="n">
        <v>1531812</v>
      </c>
      <c r="C19" s="7" t="n">
        <v>0.7079622042</v>
      </c>
      <c r="D19" s="13" t="n">
        <v>15.133833</v>
      </c>
    </row>
    <row r="20">
      <c r="A20" t="inlineStr">
        <is>
          <t>18:00</t>
        </is>
      </c>
      <c r="B20" s="6" t="n">
        <v>1481515</v>
      </c>
      <c r="C20" s="7" t="n">
        <v>0.6976709652</v>
      </c>
      <c r="D20" s="13" t="n">
        <v>15.81380344</v>
      </c>
    </row>
    <row r="21">
      <c r="A21" t="inlineStr">
        <is>
          <t>19:00</t>
        </is>
      </c>
      <c r="B21" s="6" t="n">
        <v>1339271</v>
      </c>
      <c r="C21" s="7" t="n">
        <v>0.6905868939000001</v>
      </c>
      <c r="D21" s="13" t="n">
        <v>16.25849884</v>
      </c>
    </row>
    <row r="22">
      <c r="A22" t="inlineStr">
        <is>
          <t>20:00</t>
        </is>
      </c>
      <c r="B22" s="6" t="n">
        <v>1101173</v>
      </c>
      <c r="C22" s="7" t="n">
        <v>0.6883605028000001</v>
      </c>
      <c r="D22" s="13" t="n">
        <v>16.17726279</v>
      </c>
    </row>
    <row r="23">
      <c r="A23" t="inlineStr">
        <is>
          <t>21:00</t>
        </is>
      </c>
      <c r="B23" s="6" t="n">
        <v>830489</v>
      </c>
      <c r="C23" s="7" t="n">
        <v>0.7105392124</v>
      </c>
      <c r="D23" s="13" t="n">
        <v>14.46885269</v>
      </c>
    </row>
    <row r="24">
      <c r="A24" t="inlineStr">
        <is>
          <t>22:00</t>
        </is>
      </c>
      <c r="B24" s="6" t="n">
        <v>584916</v>
      </c>
      <c r="C24" s="7" t="n">
        <v>0.7189989674</v>
      </c>
      <c r="D24" s="13" t="n">
        <v>13.98124004</v>
      </c>
    </row>
    <row r="25">
      <c r="A25" t="inlineStr">
        <is>
          <t>23:00</t>
        </is>
      </c>
      <c r="B25" s="6" t="n">
        <v>210242</v>
      </c>
      <c r="C25" s="7" t="n">
        <v>0.784172525</v>
      </c>
      <c r="D25" s="13" t="n">
        <v>6.765903102</v>
      </c>
    </row>
    <row r="27">
      <c r="A27" t="inlineStr">
        <is>
          <t>Source: BTS Reporting Carrier On-Time Performance, model: the misconnect curve, scheduled flights 2023 to 2026-07, as of 2026-10-01.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</cols>
  <sheetData>
    <row r="1">
      <c r="A1" s="10" t="inlineStr">
        <is>
          <t>Day</t>
        </is>
      </c>
      <c r="B1" s="11" t="inlineStr">
        <is>
          <t>Flights</t>
        </is>
      </c>
      <c r="C1" s="11" t="inlineStr">
        <is>
          <t>On time</t>
        </is>
      </c>
      <c r="D1" s="11" t="inlineStr">
        <is>
          <t>Mean arrival delay</t>
        </is>
      </c>
    </row>
    <row r="2">
      <c r="A2" t="inlineStr">
        <is>
          <t>Monday</t>
        </is>
      </c>
      <c r="B2" s="6" t="n">
        <v>3671692</v>
      </c>
      <c r="C2" s="7" t="n">
        <v>0.7792938514</v>
      </c>
      <c r="D2" s="13" t="n">
        <v>8.531315263</v>
      </c>
    </row>
    <row r="3">
      <c r="A3" t="inlineStr">
        <is>
          <t>Tuesday</t>
        </is>
      </c>
      <c r="B3" s="6" t="n">
        <v>3366061</v>
      </c>
      <c r="C3" s="7" t="n">
        <v>0.8178369317</v>
      </c>
      <c r="D3" s="13" t="n">
        <v>4.101525195</v>
      </c>
    </row>
    <row r="4">
      <c r="A4" t="inlineStr">
        <is>
          <t>Wednesday</t>
        </is>
      </c>
      <c r="B4" s="6" t="n">
        <v>3414732</v>
      </c>
      <c r="C4" s="7" t="n">
        <v>0.8073418353</v>
      </c>
      <c r="D4" s="13" t="n">
        <v>5.091361196</v>
      </c>
    </row>
    <row r="5">
      <c r="A5" t="inlineStr">
        <is>
          <t>Thursday</t>
        </is>
      </c>
      <c r="B5" s="6" t="n">
        <v>3665969</v>
      </c>
      <c r="C5" s="7" t="n">
        <v>0.7748636172</v>
      </c>
      <c r="D5" s="13" t="n">
        <v>8.362471969</v>
      </c>
    </row>
    <row r="6">
      <c r="A6" t="inlineStr">
        <is>
          <t>Friday</t>
        </is>
      </c>
      <c r="B6" s="6" t="n">
        <v>3687043</v>
      </c>
      <c r="C6" s="7" t="n">
        <v>0.76746569</v>
      </c>
      <c r="D6" s="13" t="n">
        <v>9.431532803</v>
      </c>
    </row>
    <row r="7">
      <c r="A7" t="inlineStr">
        <is>
          <t>Saturday</t>
        </is>
      </c>
      <c r="B7" s="6" t="n">
        <v>3175920</v>
      </c>
      <c r="C7" s="7" t="n">
        <v>0.7932438475</v>
      </c>
      <c r="D7" s="13" t="n">
        <v>6.652635772</v>
      </c>
    </row>
    <row r="8">
      <c r="A8" t="inlineStr">
        <is>
          <t>Sunday</t>
        </is>
      </c>
      <c r="B8" s="6" t="n">
        <v>3621365</v>
      </c>
      <c r="C8" s="7" t="n">
        <v>0.7579048232</v>
      </c>
      <c r="D8" s="13" t="n">
        <v>10.59178431</v>
      </c>
    </row>
    <row r="10">
      <c r="A10" t="inlineStr">
        <is>
          <t>Source: BTS Reporting Carrier On-Time Performance, model: the misconnect curve, scheduled flights 2023 to 2026-07, as of 2026-10-01.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</cols>
  <sheetData>
    <row r="1">
      <c r="A1" s="10" t="inlineStr">
        <is>
          <t>Month</t>
        </is>
      </c>
      <c r="B1" s="11" t="inlineStr">
        <is>
          <t>Flights</t>
        </is>
      </c>
      <c r="C1" s="11" t="inlineStr">
        <is>
          <t>On time</t>
        </is>
      </c>
      <c r="D1" s="11" t="inlineStr">
        <is>
          <t>Mean arrival delay</t>
        </is>
      </c>
    </row>
    <row r="2">
      <c r="A2" t="inlineStr">
        <is>
          <t>January</t>
        </is>
      </c>
      <c r="B2" s="6" t="n">
        <v>2092057</v>
      </c>
      <c r="C2" s="7" t="n">
        <v>0.7855091902</v>
      </c>
      <c r="D2" s="13" t="n">
        <v>7.081546057</v>
      </c>
    </row>
    <row r="3">
      <c r="A3" t="inlineStr">
        <is>
          <t>February</t>
        </is>
      </c>
      <c r="B3" s="6" t="n">
        <v>2006887</v>
      </c>
      <c r="C3" s="7" t="n">
        <v>0.8119689848</v>
      </c>
      <c r="D3" s="13" t="n">
        <v>3.650398353</v>
      </c>
    </row>
    <row r="4">
      <c r="A4" t="inlineStr">
        <is>
          <t>March</t>
        </is>
      </c>
      <c r="B4" s="6" t="n">
        <v>2341501</v>
      </c>
      <c r="C4" s="7" t="n">
        <v>0.7787145938</v>
      </c>
      <c r="D4" s="13" t="n">
        <v>7.888732484</v>
      </c>
    </row>
    <row r="5">
      <c r="A5" t="inlineStr">
        <is>
          <t>April</t>
        </is>
      </c>
      <c r="B5" s="6" t="n">
        <v>2296099</v>
      </c>
      <c r="C5" s="7" t="n">
        <v>0.7958058429</v>
      </c>
      <c r="D5" s="13" t="n">
        <v>6.187693562</v>
      </c>
    </row>
    <row r="6">
      <c r="A6" t="inlineStr">
        <is>
          <t>May</t>
        </is>
      </c>
      <c r="B6" s="6" t="n">
        <v>2376574</v>
      </c>
      <c r="C6" s="7" t="n">
        <v>0.7757515651</v>
      </c>
      <c r="D6" s="13" t="n">
        <v>8.61007568</v>
      </c>
    </row>
    <row r="7">
      <c r="A7" t="inlineStr">
        <is>
          <t>June</t>
        </is>
      </c>
      <c r="B7" s="6" t="n">
        <v>2358739</v>
      </c>
      <c r="C7" s="7" t="n">
        <v>0.7351758715</v>
      </c>
      <c r="D7" s="13" t="n">
        <v>13.35673849</v>
      </c>
    </row>
    <row r="8">
      <c r="A8" t="inlineStr">
        <is>
          <t>July</t>
        </is>
      </c>
      <c r="B8" s="6" t="n">
        <v>2423845</v>
      </c>
      <c r="C8" s="7" t="n">
        <v>0.7114427696</v>
      </c>
      <c r="D8" s="13" t="n">
        <v>16.92497788</v>
      </c>
    </row>
    <row r="9">
      <c r="A9" t="inlineStr">
        <is>
          <t>August</t>
        </is>
      </c>
      <c r="B9" s="6" t="n">
        <v>1790178</v>
      </c>
      <c r="C9" s="7" t="n">
        <v>0.7742285963</v>
      </c>
      <c r="D9" s="13" t="n">
        <v>9.431098472</v>
      </c>
    </row>
    <row r="10">
      <c r="A10" t="inlineStr">
        <is>
          <t>September</t>
        </is>
      </c>
      <c r="B10" s="6" t="n">
        <v>1697477</v>
      </c>
      <c r="C10" s="7" t="n">
        <v>0.8307865142999999</v>
      </c>
      <c r="D10" s="13" t="n">
        <v>2.883710943</v>
      </c>
    </row>
    <row r="11">
      <c r="A11" t="inlineStr">
        <is>
          <t>October</t>
        </is>
      </c>
      <c r="B11" s="6" t="n">
        <v>1806087</v>
      </c>
      <c r="C11" s="7" t="n">
        <v>0.8363428783</v>
      </c>
      <c r="D11" s="13" t="n">
        <v>1.819705252</v>
      </c>
    </row>
    <row r="12">
      <c r="A12" t="inlineStr">
        <is>
          <t>November</t>
        </is>
      </c>
      <c r="B12" s="6" t="n">
        <v>1689641</v>
      </c>
      <c r="C12" s="7" t="n">
        <v>0.8375885765</v>
      </c>
      <c r="D12" s="13" t="n">
        <v>1.566225015</v>
      </c>
    </row>
    <row r="13">
      <c r="A13" t="inlineStr">
        <is>
          <t>December</t>
        </is>
      </c>
      <c r="B13" s="6" t="n">
        <v>1723697</v>
      </c>
      <c r="C13" s="7" t="n">
        <v>0.7876732396</v>
      </c>
      <c r="D13" s="13" t="n">
        <v>6.909365161</v>
      </c>
    </row>
    <row r="15">
      <c r="A15" t="inlineStr">
        <is>
          <t>Source: BTS Reporting Carrier On-Time Performance, model: the misconnect curve, scheduled flights 2023 to 2026-07, as of 2026-10-01.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22" customWidth="1" min="4" max="4"/>
  </cols>
  <sheetData>
    <row r="1">
      <c r="A1" s="10" t="inlineStr">
        <is>
          <t>Leg of the aircraft's day</t>
        </is>
      </c>
      <c r="B1" s="11" t="inlineStr">
        <is>
          <t>Flights</t>
        </is>
      </c>
      <c r="C1" s="11" t="inlineStr">
        <is>
          <t>On time</t>
        </is>
      </c>
      <c r="D1" s="11" t="inlineStr">
        <is>
          <t>Mean arrival delay</t>
        </is>
      </c>
    </row>
    <row r="2">
      <c r="A2" t="inlineStr">
        <is>
          <t>first</t>
        </is>
      </c>
      <c r="B2" s="6" t="n">
        <v>6125514</v>
      </c>
      <c r="C2" s="7" t="n">
        <v>0.8579391052000001</v>
      </c>
      <c r="D2" s="13" t="n">
        <v>1.586670604</v>
      </c>
    </row>
    <row r="3">
      <c r="A3" t="inlineStr">
        <is>
          <t>2</t>
        </is>
      </c>
      <c r="B3" s="6" t="n">
        <v>5652823</v>
      </c>
      <c r="C3" s="7" t="n">
        <v>0.8073909266</v>
      </c>
      <c r="D3" s="13" t="n">
        <v>5.09286882</v>
      </c>
    </row>
    <row r="4">
      <c r="A4" t="inlineStr">
        <is>
          <t>3</t>
        </is>
      </c>
      <c r="B4" s="6" t="n">
        <v>4813482</v>
      </c>
      <c r="C4" s="7" t="n">
        <v>0.7716586454</v>
      </c>
      <c r="D4" s="13" t="n">
        <v>8.520090445999999</v>
      </c>
    </row>
    <row r="5">
      <c r="A5" t="inlineStr">
        <is>
          <t>4</t>
        </is>
      </c>
      <c r="B5" s="6" t="n">
        <v>3809323</v>
      </c>
      <c r="C5" s="7" t="n">
        <v>0.734153024</v>
      </c>
      <c r="D5" s="13" t="n">
        <v>11.9208169</v>
      </c>
    </row>
    <row r="6">
      <c r="A6" t="inlineStr">
        <is>
          <t>5</t>
        </is>
      </c>
      <c r="B6" s="6" t="n">
        <v>2289445</v>
      </c>
      <c r="C6" s="7" t="n">
        <v>0.7108032733</v>
      </c>
      <c r="D6" s="13" t="n">
        <v>14.34072319</v>
      </c>
    </row>
    <row r="7">
      <c r="A7" t="inlineStr">
        <is>
          <t>sixth or later</t>
        </is>
      </c>
      <c r="B7" s="6" t="n">
        <v>1912195</v>
      </c>
      <c r="C7" s="7" t="n">
        <v>0.7047471623</v>
      </c>
      <c r="D7" s="13" t="n">
        <v>15.51612989</v>
      </c>
    </row>
    <row r="9">
      <c r="A9" t="inlineStr">
        <is>
          <t>Source: BTS Reporting Carrier On-Time Performance, model: the misconnect curve, scheduled flights 2023 to 2026-07, as of 2026-10-01.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9" customWidth="1" min="4" max="4"/>
    <col width="12" customWidth="1" min="5" max="5"/>
    <col width="12" customWidth="1" min="6" max="6"/>
  </cols>
  <sheetData>
    <row r="1">
      <c r="A1" s="10" t="inlineStr">
        <is>
          <t>Hub</t>
        </is>
      </c>
      <c r="B1" s="11" t="inlineStr">
        <is>
          <t>Days</t>
        </is>
      </c>
      <c r="C1" s="11" t="inlineStr">
        <is>
          <t>Inbound flights</t>
        </is>
      </c>
      <c r="D1" s="11" t="inlineStr">
        <is>
          <t>Buffer for under the line</t>
        </is>
      </c>
      <c r="E1" s="11" t="inlineStr">
        <is>
          <t>Interval</t>
        </is>
      </c>
      <c r="F1" s="11" t="inlineStr">
        <is>
          <t>Interior</t>
        </is>
      </c>
    </row>
    <row r="2">
      <c r="A2" t="inlineStr">
        <is>
          <t>ATL</t>
        </is>
      </c>
      <c r="B2" s="6" t="n">
        <v>1308</v>
      </c>
      <c r="C2" s="6" t="n">
        <v>1157986</v>
      </c>
      <c r="D2" s="17" t="n">
        <v>65</v>
      </c>
      <c r="E2" t="inlineStr">
        <is>
          <t>60 to 65 min</t>
        </is>
      </c>
      <c r="F2" t="inlineStr">
        <is>
          <t>yes</t>
        </is>
      </c>
    </row>
    <row r="3">
      <c r="A3" t="inlineStr">
        <is>
          <t>DEN</t>
        </is>
      </c>
      <c r="B3" s="6" t="n">
        <v>1308</v>
      </c>
      <c r="C3" s="6" t="n">
        <v>1084241</v>
      </c>
      <c r="D3" s="17" t="n">
        <v>70</v>
      </c>
      <c r="E3" t="inlineStr">
        <is>
          <t>65 to 70 min</t>
        </is>
      </c>
      <c r="F3" t="inlineStr">
        <is>
          <t>yes</t>
        </is>
      </c>
    </row>
    <row r="4">
      <c r="A4" t="inlineStr">
        <is>
          <t>DFW</t>
        </is>
      </c>
      <c r="B4" s="6" t="n">
        <v>1308</v>
      </c>
      <c r="C4" s="6" t="n">
        <v>1065628</v>
      </c>
      <c r="D4" s="17" t="n">
        <v>90</v>
      </c>
      <c r="E4" t="inlineStr">
        <is>
          <t>85 to 95 min</t>
        </is>
      </c>
      <c r="F4" t="inlineStr">
        <is>
          <t>yes</t>
        </is>
      </c>
    </row>
    <row r="5">
      <c r="A5" t="inlineStr">
        <is>
          <t>ORD</t>
        </is>
      </c>
      <c r="B5" s="6" t="n">
        <v>1308</v>
      </c>
      <c r="C5" s="6" t="n">
        <v>1054904</v>
      </c>
      <c r="D5" s="17" t="n">
        <v>85</v>
      </c>
      <c r="E5" t="inlineStr">
        <is>
          <t>80 to 90 min</t>
        </is>
      </c>
      <c r="F5" t="inlineStr">
        <is>
          <t>yes</t>
        </is>
      </c>
    </row>
    <row r="6">
      <c r="A6" t="inlineStr">
        <is>
          <t>CLT</t>
        </is>
      </c>
      <c r="B6" s="6" t="n">
        <v>1308</v>
      </c>
      <c r="C6" s="6" t="n">
        <v>699850</v>
      </c>
      <c r="D6" s="17" t="n">
        <v>70</v>
      </c>
      <c r="E6" t="inlineStr">
        <is>
          <t>70 to 75 min</t>
        </is>
      </c>
      <c r="F6" t="inlineStr">
        <is>
          <t>yes</t>
        </is>
      </c>
    </row>
    <row r="7">
      <c r="A7" t="inlineStr">
        <is>
          <t>LAX</t>
        </is>
      </c>
      <c r="B7" s="6" t="n">
        <v>1308</v>
      </c>
      <c r="C7" s="6" t="n">
        <v>682774</v>
      </c>
      <c r="D7" s="17" t="n">
        <v>65</v>
      </c>
      <c r="E7" t="inlineStr">
        <is>
          <t>65 to 65 min</t>
        </is>
      </c>
      <c r="F7" t="inlineStr">
        <is>
          <t>yes</t>
        </is>
      </c>
    </row>
    <row r="8">
      <c r="A8" t="inlineStr">
        <is>
          <t>PHX</t>
        </is>
      </c>
      <c r="B8" s="6" t="n">
        <v>1308</v>
      </c>
      <c r="C8" s="6" t="n">
        <v>679013</v>
      </c>
      <c r="D8" s="17" t="n">
        <v>65</v>
      </c>
      <c r="E8" t="inlineStr">
        <is>
          <t>65 to 65 min</t>
        </is>
      </c>
      <c r="F8" t="inlineStr">
        <is>
          <t>yes</t>
        </is>
      </c>
    </row>
    <row r="9">
      <c r="A9" t="inlineStr">
        <is>
          <t>LAS</t>
        </is>
      </c>
      <c r="B9" s="6" t="n">
        <v>1308</v>
      </c>
      <c r="C9" s="6" t="n">
        <v>655655</v>
      </c>
      <c r="D9" s="17" t="n">
        <v>70</v>
      </c>
      <c r="E9" t="inlineStr">
        <is>
          <t>70 to 70 min</t>
        </is>
      </c>
      <c r="F9" t="inlineStr">
        <is>
          <t>yes</t>
        </is>
      </c>
    </row>
    <row r="10">
      <c r="A10" t="inlineStr">
        <is>
          <t>SEA</t>
        </is>
      </c>
      <c r="B10" s="6" t="n">
        <v>1308</v>
      </c>
      <c r="C10" s="6" t="n">
        <v>580344</v>
      </c>
      <c r="D10" s="17" t="n">
        <v>60</v>
      </c>
      <c r="E10" t="inlineStr">
        <is>
          <t>60 to 60 min</t>
        </is>
      </c>
      <c r="F10" t="inlineStr">
        <is>
          <t>yes</t>
        </is>
      </c>
    </row>
    <row r="11">
      <c r="A11" t="inlineStr">
        <is>
          <t>MCO</t>
        </is>
      </c>
      <c r="B11" s="6" t="n">
        <v>1306</v>
      </c>
      <c r="C11" s="6" t="n">
        <v>568235</v>
      </c>
      <c r="D11" s="17" t="n">
        <v>85</v>
      </c>
      <c r="E11" t="inlineStr">
        <is>
          <t>80 to 85 min</t>
        </is>
      </c>
      <c r="F11" t="inlineStr">
        <is>
          <t>yes</t>
        </is>
      </c>
    </row>
    <row r="12">
      <c r="A12" t="inlineStr">
        <is>
          <t>LGA</t>
        </is>
      </c>
      <c r="B12" s="6" t="n">
        <v>1307</v>
      </c>
      <c r="C12" s="6" t="n">
        <v>520330</v>
      </c>
      <c r="D12" s="17" t="n">
        <v>95</v>
      </c>
      <c r="E12" t="inlineStr">
        <is>
          <t>90 to 100 min</t>
        </is>
      </c>
      <c r="F12" t="inlineStr">
        <is>
          <t>yes</t>
        </is>
      </c>
    </row>
    <row r="13">
      <c r="A13" t="inlineStr">
        <is>
          <t>BOS</t>
        </is>
      </c>
      <c r="B13" s="6" t="n">
        <v>1307</v>
      </c>
      <c r="C13" s="6" t="n">
        <v>499992</v>
      </c>
      <c r="D13" s="17" t="n">
        <v>90</v>
      </c>
      <c r="E13" t="inlineStr">
        <is>
          <t>85 to 95 min</t>
        </is>
      </c>
      <c r="F13" t="inlineStr">
        <is>
          <t>yes</t>
        </is>
      </c>
    </row>
    <row r="14">
      <c r="A14" t="inlineStr">
        <is>
          <t>DCA</t>
        </is>
      </c>
      <c r="B14" s="6" t="n">
        <v>1307</v>
      </c>
      <c r="C14" s="6" t="n">
        <v>489825</v>
      </c>
      <c r="D14" s="17" t="n">
        <v>90</v>
      </c>
      <c r="E14" t="inlineStr">
        <is>
          <t>85 to 95 min</t>
        </is>
      </c>
      <c r="F14" t="inlineStr">
        <is>
          <t>yes</t>
        </is>
      </c>
    </row>
    <row r="15">
      <c r="A15" t="inlineStr">
        <is>
          <t>SFO</t>
        </is>
      </c>
      <c r="B15" s="6" t="n">
        <v>1308</v>
      </c>
      <c r="C15" s="6" t="n">
        <v>495273</v>
      </c>
      <c r="D15" s="17" t="n">
        <v>85</v>
      </c>
      <c r="E15" t="inlineStr">
        <is>
          <t>80 to 85 min</t>
        </is>
      </c>
      <c r="F15" t="inlineStr">
        <is>
          <t>yes</t>
        </is>
      </c>
    </row>
    <row r="16">
      <c r="A16" t="inlineStr">
        <is>
          <t>EWR</t>
        </is>
      </c>
      <c r="B16" s="6" t="n">
        <v>1307</v>
      </c>
      <c r="C16" s="6" t="n">
        <v>443733</v>
      </c>
      <c r="D16" s="17" t="n">
        <v>100</v>
      </c>
      <c r="E16" t="inlineStr">
        <is>
          <t>90 to 105 min</t>
        </is>
      </c>
      <c r="F16" t="inlineStr">
        <is>
          <t>yes</t>
        </is>
      </c>
    </row>
    <row r="17">
      <c r="A17" t="inlineStr">
        <is>
          <t>DTW</t>
        </is>
      </c>
      <c r="B17" s="6" t="n">
        <v>1308</v>
      </c>
      <c r="C17" s="6" t="n">
        <v>443573</v>
      </c>
      <c r="D17" s="17" t="n">
        <v>70</v>
      </c>
      <c r="E17" t="inlineStr">
        <is>
          <t>70 to 75 min</t>
        </is>
      </c>
      <c r="F17" t="inlineStr">
        <is>
          <t>yes</t>
        </is>
      </c>
    </row>
    <row r="18">
      <c r="A18" t="inlineStr">
        <is>
          <t>MSP</t>
        </is>
      </c>
      <c r="B18" s="6" t="n">
        <v>1308</v>
      </c>
      <c r="C18" s="6" t="n">
        <v>423542</v>
      </c>
      <c r="D18" s="17" t="n">
        <v>65</v>
      </c>
      <c r="E18" t="inlineStr">
        <is>
          <t>60 to 65 min</t>
        </is>
      </c>
      <c r="F18" t="inlineStr">
        <is>
          <t>yes</t>
        </is>
      </c>
    </row>
    <row r="19">
      <c r="A19" t="inlineStr">
        <is>
          <t>JFK</t>
        </is>
      </c>
      <c r="B19" s="6" t="n">
        <v>1307</v>
      </c>
      <c r="C19" s="6" t="n">
        <v>407822</v>
      </c>
      <c r="D19" s="17" t="n">
        <v>90</v>
      </c>
      <c r="E19" t="inlineStr">
        <is>
          <t>85 to 95 min</t>
        </is>
      </c>
      <c r="F19" t="inlineStr">
        <is>
          <t>yes</t>
        </is>
      </c>
    </row>
    <row r="20">
      <c r="A20" t="inlineStr">
        <is>
          <t>IAH</t>
        </is>
      </c>
      <c r="B20" s="6" t="n">
        <v>1307</v>
      </c>
      <c r="C20" s="6" t="n">
        <v>406830</v>
      </c>
      <c r="D20" s="17" t="n">
        <v>70</v>
      </c>
      <c r="E20" t="inlineStr">
        <is>
          <t>70 to 75 min</t>
        </is>
      </c>
      <c r="F20" t="inlineStr">
        <is>
          <t>yes</t>
        </is>
      </c>
    </row>
    <row r="21">
      <c r="A21" t="inlineStr">
        <is>
          <t>SLC</t>
        </is>
      </c>
      <c r="B21" s="6" t="n">
        <v>1308</v>
      </c>
      <c r="C21" s="6" t="n">
        <v>405229</v>
      </c>
      <c r="D21" s="17" t="n">
        <v>55</v>
      </c>
      <c r="E21" t="inlineStr">
        <is>
          <t>55 to 60 min</t>
        </is>
      </c>
      <c r="F21" t="inlineStr">
        <is>
          <t>yes</t>
        </is>
      </c>
    </row>
    <row r="23">
      <c r="A23" t="inlineStr">
        <is>
          <t>Source: BTS Reporting Carrier On-Time Performance, model: the misconnect curve, scheduled flights 2023 to 2026-07, as of 2026-10-01.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3" customWidth="1" min="4" max="4"/>
    <col width="12" customWidth="1" min="5" max="5"/>
  </cols>
  <sheetData>
    <row r="1">
      <c r="A1" s="10" t="inlineStr">
        <is>
          <t>Airport</t>
        </is>
      </c>
      <c r="B1" s="11" t="inlineStr">
        <is>
          <t>Turns</t>
        </is>
      </c>
      <c r="C1" s="11" t="inlineStr">
        <is>
          <t>Turns reached by a late inbound</t>
        </is>
      </c>
      <c r="D1" s="11" t="inlineStr">
        <is>
          <t>Arrival minutes saved per buffer minute</t>
        </is>
      </c>
      <c r="E1" s="11" t="inlineStr">
        <is>
          <t>Pays</t>
        </is>
      </c>
    </row>
    <row r="2">
      <c r="A2" t="inlineStr">
        <is>
          <t>LAS</t>
        </is>
      </c>
      <c r="B2" s="6" t="n">
        <v>533550</v>
      </c>
      <c r="C2" s="7" t="n">
        <v>0.2736856902</v>
      </c>
      <c r="D2" s="14" t="n">
        <v>0.5134874454</v>
      </c>
      <c r="E2" t="inlineStr">
        <is>
          <t>no</t>
        </is>
      </c>
    </row>
    <row r="3">
      <c r="A3" t="inlineStr">
        <is>
          <t>DCA</t>
        </is>
      </c>
      <c r="B3" s="6" t="n">
        <v>387349</v>
      </c>
      <c r="C3" s="7" t="n">
        <v>0.2691887678</v>
      </c>
      <c r="D3" s="14" t="n">
        <v>0.4933743014</v>
      </c>
      <c r="E3" t="inlineStr">
        <is>
          <t>no</t>
        </is>
      </c>
    </row>
    <row r="4">
      <c r="A4" t="inlineStr">
        <is>
          <t>SFO</t>
        </is>
      </c>
      <c r="B4" s="6" t="n">
        <v>370543</v>
      </c>
      <c r="C4" s="7" t="n">
        <v>0.2267375176</v>
      </c>
      <c r="D4" s="14" t="n">
        <v>0.4179569997</v>
      </c>
      <c r="E4" t="inlineStr">
        <is>
          <t>no</t>
        </is>
      </c>
    </row>
    <row r="5">
      <c r="A5" t="inlineStr">
        <is>
          <t>PHX</t>
        </is>
      </c>
      <c r="B5" s="6" t="n">
        <v>539049</v>
      </c>
      <c r="C5" s="7" t="n">
        <v>0.2270071923</v>
      </c>
      <c r="D5" s="14" t="n">
        <v>0.4130105328</v>
      </c>
      <c r="E5" t="inlineStr">
        <is>
          <t>no</t>
        </is>
      </c>
    </row>
    <row r="6">
      <c r="A6" t="inlineStr">
        <is>
          <t>MCO</t>
        </is>
      </c>
      <c r="B6" s="6" t="n">
        <v>408264</v>
      </c>
      <c r="C6" s="7" t="n">
        <v>0.2352815825</v>
      </c>
      <c r="D6" s="14" t="n">
        <v>0.4129164503</v>
      </c>
      <c r="E6" t="inlineStr">
        <is>
          <t>no</t>
        </is>
      </c>
    </row>
    <row r="7">
      <c r="A7" t="inlineStr">
        <is>
          <t>LGA</t>
        </is>
      </c>
      <c r="B7" s="6" t="n">
        <v>396699</v>
      </c>
      <c r="C7" s="7" t="n">
        <v>0.2370033703</v>
      </c>
      <c r="D7" s="14" t="n">
        <v>0.3941919821</v>
      </c>
      <c r="E7" t="inlineStr">
        <is>
          <t>no</t>
        </is>
      </c>
    </row>
    <row r="8">
      <c r="A8" t="inlineStr">
        <is>
          <t>BOS</t>
        </is>
      </c>
      <c r="B8" s="6" t="n">
        <v>353516</v>
      </c>
      <c r="C8" s="7" t="n">
        <v>0.2221766483</v>
      </c>
      <c r="D8" s="14" t="n">
        <v>0.3844497551</v>
      </c>
      <c r="E8" t="inlineStr">
        <is>
          <t>no</t>
        </is>
      </c>
    </row>
    <row r="9">
      <c r="A9" t="inlineStr">
        <is>
          <t>DEN</t>
        </is>
      </c>
      <c r="B9" s="6" t="n">
        <v>902923</v>
      </c>
      <c r="C9" s="7" t="n">
        <v>0.2052301248</v>
      </c>
      <c r="D9" s="14" t="n">
        <v>0.3575927072</v>
      </c>
      <c r="E9" t="inlineStr">
        <is>
          <t>no</t>
        </is>
      </c>
    </row>
    <row r="10">
      <c r="A10" t="inlineStr">
        <is>
          <t>DFW</t>
        </is>
      </c>
      <c r="B10" s="6" t="n">
        <v>828718</v>
      </c>
      <c r="C10" s="7" t="n">
        <v>0.1935471415</v>
      </c>
      <c r="D10" s="14" t="n">
        <v>0.3371217512</v>
      </c>
      <c r="E10" t="inlineStr">
        <is>
          <t>no</t>
        </is>
      </c>
    </row>
    <row r="11">
      <c r="A11" t="inlineStr">
        <is>
          <t>CLT</t>
        </is>
      </c>
      <c r="B11" s="6" t="n">
        <v>575566</v>
      </c>
      <c r="C11" s="7" t="n">
        <v>0.1841439557</v>
      </c>
      <c r="D11" s="14" t="n">
        <v>0.3305209369</v>
      </c>
      <c r="E11" t="inlineStr">
        <is>
          <t>no</t>
        </is>
      </c>
    </row>
    <row r="12">
      <c r="A12" t="inlineStr">
        <is>
          <t>ORD</t>
        </is>
      </c>
      <c r="B12" s="6" t="n">
        <v>832811</v>
      </c>
      <c r="C12" s="7" t="n">
        <v>0.1927111914</v>
      </c>
      <c r="D12" s="14" t="n">
        <v>0.3280937617</v>
      </c>
      <c r="E12" t="inlineStr">
        <is>
          <t>no</t>
        </is>
      </c>
    </row>
    <row r="13">
      <c r="A13" t="inlineStr">
        <is>
          <t>LAX</t>
        </is>
      </c>
      <c r="B13" s="6" t="n">
        <v>504858</v>
      </c>
      <c r="C13" s="7" t="n">
        <v>0.1693624742</v>
      </c>
      <c r="D13" s="14" t="n">
        <v>0.3081893661</v>
      </c>
      <c r="E13" t="inlineStr">
        <is>
          <t>no</t>
        </is>
      </c>
    </row>
    <row r="14">
      <c r="A14" t="inlineStr">
        <is>
          <t>SEA</t>
        </is>
      </c>
      <c r="B14" s="6" t="n">
        <v>454435</v>
      </c>
      <c r="C14" s="7" t="n">
        <v>0.15691353</v>
      </c>
      <c r="D14" s="14" t="n">
        <v>0.2880045681</v>
      </c>
      <c r="E14" t="inlineStr">
        <is>
          <t>no</t>
        </is>
      </c>
    </row>
    <row r="15">
      <c r="A15" t="inlineStr">
        <is>
          <t>JFK</t>
        </is>
      </c>
      <c r="B15" s="6" t="n">
        <v>265301</v>
      </c>
      <c r="C15" s="7" t="n">
        <v>0.1669952243</v>
      </c>
      <c r="D15" s="14" t="n">
        <v>0.2838086115</v>
      </c>
      <c r="E15" t="inlineStr">
        <is>
          <t>no</t>
        </is>
      </c>
    </row>
    <row r="16">
      <c r="A16" t="inlineStr">
        <is>
          <t>SLC</t>
        </is>
      </c>
      <c r="B16" s="6" t="n">
        <v>328749</v>
      </c>
      <c r="C16" s="7" t="n">
        <v>0.1503152861</v>
      </c>
      <c r="D16" s="14" t="n">
        <v>0.2818110543</v>
      </c>
      <c r="E16" t="inlineStr">
        <is>
          <t>no</t>
        </is>
      </c>
    </row>
    <row r="17">
      <c r="A17" t="inlineStr">
        <is>
          <t>DTW</t>
        </is>
      </c>
      <c r="B17" s="6" t="n">
        <v>341320</v>
      </c>
      <c r="C17" s="7" t="n">
        <v>0.1494345482</v>
      </c>
      <c r="D17" s="14" t="n">
        <v>0.274179945</v>
      </c>
      <c r="E17" t="inlineStr">
        <is>
          <t>no</t>
        </is>
      </c>
    </row>
    <row r="18">
      <c r="A18" t="inlineStr">
        <is>
          <t>EWR</t>
        </is>
      </c>
      <c r="B18" s="6" t="n">
        <v>297671</v>
      </c>
      <c r="C18" s="7" t="n">
        <v>0.1680345079</v>
      </c>
      <c r="D18" s="14" t="n">
        <v>0.2707178679</v>
      </c>
      <c r="E18" t="inlineStr">
        <is>
          <t>no</t>
        </is>
      </c>
    </row>
    <row r="19">
      <c r="A19" t="inlineStr">
        <is>
          <t>IAH</t>
        </is>
      </c>
      <c r="B19" s="6" t="n">
        <v>265610</v>
      </c>
      <c r="C19" s="7" t="n">
        <v>0.1642596288</v>
      </c>
      <c r="D19" s="14" t="n">
        <v>0.2679894269</v>
      </c>
      <c r="E19" t="inlineStr">
        <is>
          <t>no</t>
        </is>
      </c>
    </row>
    <row r="20">
      <c r="A20" t="inlineStr">
        <is>
          <t>ATL</t>
        </is>
      </c>
      <c r="B20" s="6" t="n">
        <v>937385</v>
      </c>
      <c r="C20" s="7" t="n">
        <v>0.1417464542</v>
      </c>
      <c r="D20" s="14" t="n">
        <v>0.2602052347</v>
      </c>
      <c r="E20" t="inlineStr">
        <is>
          <t>no</t>
        </is>
      </c>
    </row>
    <row r="21">
      <c r="A21" t="inlineStr">
        <is>
          <t>MSP</t>
        </is>
      </c>
      <c r="B21" s="6" t="n">
        <v>330168</v>
      </c>
      <c r="C21" s="7" t="n">
        <v>0.1418823145</v>
      </c>
      <c r="D21" s="14" t="n">
        <v>0.2577361333</v>
      </c>
      <c r="E21" t="inlineStr">
        <is>
          <t>no</t>
        </is>
      </c>
    </row>
    <row r="23">
      <c r="A23" t="inlineStr">
        <is>
          <t>Source: BTS Reporting Carrier On-Time Performance, model: the misconnect curve, scheduled flights 2023 to 2026-07, as of 2026-10-01.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  <col width="12" customWidth="1" min="4" max="4"/>
    <col width="16" customWidth="1" min="5" max="5"/>
    <col width="25" customWidth="1" min="6" max="6"/>
    <col width="24" customWidth="1" min="7" max="7"/>
    <col width="29" customWidth="1" min="8" max="8"/>
    <col width="28" customWidth="1" min="9" max="9"/>
    <col width="18" customWidth="1" min="10" max="10"/>
    <col width="23" customWidth="1" min="11" max="11"/>
    <col width="20" customWidth="1" min="12" max="12"/>
    <col width="22" customWidth="1" min="13" max="13"/>
  </cols>
  <sheetData>
    <row r="1">
      <c r="A1" s="10" t="inlineStr">
        <is>
          <t>Condition</t>
        </is>
      </c>
      <c r="B1" s="11" t="inlineStr">
        <is>
          <t>Padding error</t>
        </is>
      </c>
      <c r="C1" s="11" t="inlineStr">
        <is>
          <t>Changepoint date error</t>
        </is>
      </c>
      <c r="D1" s="11" t="inlineStr">
        <is>
          <t>Rho bias</t>
        </is>
      </c>
      <c r="E1" s="11" t="inlineStr">
        <is>
          <t>Rho coverage</t>
        </is>
      </c>
      <c r="F1" s="11" t="inlineStr">
        <is>
          <t>Inherited share error</t>
        </is>
      </c>
      <c r="G1" s="11" t="inlineStr">
        <is>
          <t>Raw rank correlation</t>
        </is>
      </c>
      <c r="H1" s="11" t="inlineStr">
        <is>
          <t>Adjusted rank correlation</t>
        </is>
      </c>
      <c r="I1" s="11" t="inlineStr">
        <is>
          <t>Bunching false positives</t>
        </is>
      </c>
      <c r="J1" s="11" t="inlineStr">
        <is>
          <t>Bunching power</t>
        </is>
      </c>
      <c r="K1" s="11" t="inlineStr">
        <is>
          <t>Weather share error</t>
        </is>
      </c>
      <c r="L1" s="11" t="inlineStr">
        <is>
          <t>Weather coverage</t>
        </is>
      </c>
      <c r="M1" s="11" t="inlineStr">
        <is>
          <t>Detector precision</t>
        </is>
      </c>
    </row>
    <row r="2">
      <c r="A2" t="inlineStr">
        <is>
          <t>confounding moderate, propagation strong, noise high</t>
        </is>
      </c>
      <c r="B2" s="16" t="n">
        <v>1.136995733</v>
      </c>
      <c r="C2" t="n">
        <v>1.725119048</v>
      </c>
      <c r="D2" t="n">
        <v>-0.01569508634</v>
      </c>
      <c r="E2" s="18" t="n">
        <v>0</v>
      </c>
      <c r="F2" s="19" t="n">
        <v>-0.01664178687</v>
      </c>
      <c r="G2" s="14" t="n">
        <v>0.1607142857</v>
      </c>
      <c r="H2" s="14" t="n">
        <v>0.9261904761999999</v>
      </c>
      <c r="I2" s="7" t="n">
        <v>0</v>
      </c>
      <c r="J2" s="18" t="n">
        <v>1</v>
      </c>
      <c r="K2" s="19" t="n">
        <v>-0.0004052184619</v>
      </c>
      <c r="L2" s="18" t="n">
        <v>0.95</v>
      </c>
      <c r="M2" s="18" t="n">
        <v>0.4357671117</v>
      </c>
    </row>
    <row r="3">
      <c r="A3" t="inlineStr">
        <is>
          <t>confounding moderate, propagation strong, noise low</t>
        </is>
      </c>
      <c r="B3" s="16" t="n">
        <v>0.5052484353</v>
      </c>
      <c r="C3" t="n">
        <v>1.725119048</v>
      </c>
      <c r="D3" t="n">
        <v>-0.01114757276</v>
      </c>
      <c r="E3" s="18" t="n">
        <v>0.1</v>
      </c>
      <c r="F3" s="19" t="n">
        <v>-0.01714256228</v>
      </c>
      <c r="G3" s="14" t="n">
        <v>0.1035714286</v>
      </c>
      <c r="H3" s="14" t="n">
        <v>0.95</v>
      </c>
      <c r="I3" s="7" t="n">
        <v>0</v>
      </c>
      <c r="J3" s="18" t="n">
        <v>1</v>
      </c>
      <c r="K3" s="19" t="n">
        <v>0.001442401246</v>
      </c>
      <c r="L3" s="18" t="n">
        <v>0.95</v>
      </c>
      <c r="M3" s="18" t="n">
        <v>0.4529956573</v>
      </c>
    </row>
    <row r="4">
      <c r="A4" t="inlineStr">
        <is>
          <t>confounding moderate, propagation weak, noise high</t>
        </is>
      </c>
      <c r="B4" s="16" t="n">
        <v>1.135691697</v>
      </c>
      <c r="C4" t="n">
        <v>1.725119048</v>
      </c>
      <c r="D4" t="n">
        <v>0.01350146377</v>
      </c>
      <c r="E4" s="18" t="n">
        <v>0.05</v>
      </c>
      <c r="F4" s="19" t="n">
        <v>-0.007342576388</v>
      </c>
      <c r="G4" s="14" t="n">
        <v>0.194047619</v>
      </c>
      <c r="H4" s="14" t="n">
        <v>0.9583333333</v>
      </c>
      <c r="I4" s="7" t="n">
        <v>0</v>
      </c>
      <c r="J4" s="18" t="n">
        <v>1</v>
      </c>
      <c r="K4" s="19" t="n">
        <v>-0.001913442093</v>
      </c>
      <c r="L4" s="18" t="n">
        <v>0.95</v>
      </c>
      <c r="M4" s="18" t="n">
        <v>0.4478003018</v>
      </c>
    </row>
    <row r="5">
      <c r="A5" t="inlineStr">
        <is>
          <t>confounding moderate, propagation weak, noise low</t>
        </is>
      </c>
      <c r="B5" s="16" t="n">
        <v>0.5057895935</v>
      </c>
      <c r="C5" t="n">
        <v>1.725119048</v>
      </c>
      <c r="D5" t="n">
        <v>0.009412944716</v>
      </c>
      <c r="E5" s="18" t="n">
        <v>0.3</v>
      </c>
      <c r="F5" s="19" t="n">
        <v>-0.009755595408000001</v>
      </c>
      <c r="G5" s="14" t="n">
        <v>0.1142857143</v>
      </c>
      <c r="H5" s="14" t="n">
        <v>0.9654761905</v>
      </c>
      <c r="I5" s="7" t="n">
        <v>0</v>
      </c>
      <c r="J5" s="18" t="n">
        <v>1</v>
      </c>
      <c r="K5" s="19" t="n">
        <v>0.0002271168933</v>
      </c>
      <c r="L5" s="18" t="n">
        <v>1</v>
      </c>
      <c r="M5" s="18" t="n">
        <v>0.4775550854</v>
      </c>
    </row>
    <row r="6">
      <c r="A6" t="inlineStr">
        <is>
          <t>confounding none, propagation strong, noise high</t>
        </is>
      </c>
      <c r="B6" s="16" t="n">
        <v>1.137997282</v>
      </c>
      <c r="C6" t="n">
        <v>1.725119048</v>
      </c>
      <c r="D6" t="n">
        <v>-0.01692992159</v>
      </c>
      <c r="E6" s="18" t="n">
        <v>0</v>
      </c>
      <c r="F6" s="19" t="n">
        <v>-0.01682399994</v>
      </c>
      <c r="G6" s="14" t="n">
        <v>0.7523809524</v>
      </c>
      <c r="H6" s="14" t="n">
        <v>0.9678571429</v>
      </c>
      <c r="I6" s="7" t="n">
        <v>0</v>
      </c>
      <c r="J6" s="18" t="n">
        <v>1</v>
      </c>
      <c r="K6" s="19" t="n">
        <v>-0.0003514578564</v>
      </c>
      <c r="L6" s="18" t="n">
        <v>0.95</v>
      </c>
      <c r="M6" s="18" t="n">
        <v>0.4286180604</v>
      </c>
    </row>
    <row r="7">
      <c r="A7" t="inlineStr">
        <is>
          <t>confounding none, propagation strong, noise low</t>
        </is>
      </c>
      <c r="B7" s="16" t="n">
        <v>0.505641957</v>
      </c>
      <c r="C7" t="n">
        <v>1.725119048</v>
      </c>
      <c r="D7" t="n">
        <v>-0.0120996567</v>
      </c>
      <c r="E7" s="18" t="n">
        <v>0.05</v>
      </c>
      <c r="F7" s="19" t="n">
        <v>-0.01711859901</v>
      </c>
      <c r="G7" s="14" t="n">
        <v>0.7476190476</v>
      </c>
      <c r="H7" s="14" t="n">
        <v>0.9726190476</v>
      </c>
      <c r="I7" s="7" t="n">
        <v>0</v>
      </c>
      <c r="J7" s="18" t="n">
        <v>1</v>
      </c>
      <c r="K7" s="19" t="n">
        <v>0.00215498004</v>
      </c>
      <c r="L7" s="18" t="n">
        <v>1</v>
      </c>
      <c r="M7" s="18" t="n">
        <v>0.4516724305</v>
      </c>
    </row>
    <row r="8">
      <c r="A8" t="inlineStr">
        <is>
          <t>confounding none, propagation weak, noise high</t>
        </is>
      </c>
      <c r="B8" s="16" t="n">
        <v>1.137679532</v>
      </c>
      <c r="C8" t="n">
        <v>1.725119048</v>
      </c>
      <c r="D8" t="n">
        <v>0.01259331817</v>
      </c>
      <c r="E8" s="18" t="n">
        <v>0.05</v>
      </c>
      <c r="F8" s="19" t="n">
        <v>-0.007508868382</v>
      </c>
      <c r="G8" s="14" t="n">
        <v>0.7523809524</v>
      </c>
      <c r="H8" s="14" t="n">
        <v>0.9761904762</v>
      </c>
      <c r="I8" s="7" t="n">
        <v>0</v>
      </c>
      <c r="J8" s="18" t="n">
        <v>1</v>
      </c>
      <c r="K8" s="19" t="n">
        <v>-0.002141412744</v>
      </c>
      <c r="L8" s="18" t="n">
        <v>0.95</v>
      </c>
      <c r="M8" s="18" t="n">
        <v>0.4397995726</v>
      </c>
    </row>
    <row r="9">
      <c r="A9" t="inlineStr">
        <is>
          <t>confounding none, propagation weak, noise low</t>
        </is>
      </c>
      <c r="B9" s="16" t="n">
        <v>0.5066355585</v>
      </c>
      <c r="C9" t="n">
        <v>1.725119048</v>
      </c>
      <c r="D9" t="n">
        <v>0.009086375876000001</v>
      </c>
      <c r="E9" s="18" t="n">
        <v>0.35</v>
      </c>
      <c r="F9" s="19" t="n">
        <v>-0.009502490595</v>
      </c>
      <c r="G9" s="14" t="n">
        <v>0.7464285714</v>
      </c>
      <c r="H9" s="14" t="n">
        <v>0.9761904762</v>
      </c>
      <c r="I9" s="7" t="n">
        <v>0</v>
      </c>
      <c r="J9" s="18" t="n">
        <v>1</v>
      </c>
      <c r="K9" s="19" t="n">
        <v>0.0008824761776</v>
      </c>
      <c r="L9" s="18" t="n">
        <v>1</v>
      </c>
      <c r="M9" s="18" t="n">
        <v>0.4676833745</v>
      </c>
    </row>
    <row r="10">
      <c r="A10" t="inlineStr">
        <is>
          <t>confounding strong, propagation strong, noise high</t>
        </is>
      </c>
      <c r="B10" s="16" t="n">
        <v>1.132980768</v>
      </c>
      <c r="C10" t="n">
        <v>1.725119048</v>
      </c>
      <c r="D10" t="n">
        <v>-0.01464999234</v>
      </c>
      <c r="E10" s="18" t="n">
        <v>0</v>
      </c>
      <c r="F10" s="19" t="n">
        <v>-0.01611913803</v>
      </c>
      <c r="G10" s="14" t="n">
        <v>-0.05476190476</v>
      </c>
      <c r="H10" s="14" t="n">
        <v>0.9071428571</v>
      </c>
      <c r="I10" s="7" t="n">
        <v>0</v>
      </c>
      <c r="J10" s="18" t="n">
        <v>1</v>
      </c>
      <c r="K10" s="19" t="n">
        <v>-0.0003617051881</v>
      </c>
      <c r="L10" s="18" t="n">
        <v>0.95</v>
      </c>
      <c r="M10" s="18" t="n">
        <v>0.4315476589</v>
      </c>
    </row>
    <row r="11">
      <c r="A11" t="inlineStr">
        <is>
          <t>confounding strong, propagation strong, noise low</t>
        </is>
      </c>
      <c r="B11" s="16" t="n">
        <v>0.5039989031</v>
      </c>
      <c r="C11" t="n">
        <v>1.725119048</v>
      </c>
      <c r="D11" t="n">
        <v>-0.01033599334</v>
      </c>
      <c r="E11" s="18" t="n">
        <v>0.1</v>
      </c>
      <c r="F11" s="19" t="n">
        <v>-0.01680927434</v>
      </c>
      <c r="G11" s="14" t="n">
        <v>-0.09880952380999999</v>
      </c>
      <c r="H11" s="14" t="n">
        <v>0.9392857143</v>
      </c>
      <c r="I11" s="7" t="n">
        <v>0</v>
      </c>
      <c r="J11" s="18" t="n">
        <v>1</v>
      </c>
      <c r="K11" s="19" t="n">
        <v>0.002521903529</v>
      </c>
      <c r="L11" s="18" t="n">
        <v>1</v>
      </c>
      <c r="M11" s="18" t="n">
        <v>0.4497294967</v>
      </c>
    </row>
    <row r="12">
      <c r="A12" t="inlineStr">
        <is>
          <t>confounding strong, propagation weak, noise high</t>
        </is>
      </c>
      <c r="B12" s="16" t="n">
        <v>1.133016872</v>
      </c>
      <c r="C12" t="n">
        <v>1.725119048</v>
      </c>
      <c r="D12" t="n">
        <v>0.01440493166</v>
      </c>
      <c r="E12" s="18" t="n">
        <v>0.05</v>
      </c>
      <c r="F12" s="19" t="n">
        <v>-0.007064465468</v>
      </c>
      <c r="G12" s="14" t="n">
        <v>-0.02142857143</v>
      </c>
      <c r="H12" s="14" t="n">
        <v>0.9404761905</v>
      </c>
      <c r="I12" s="7" t="n">
        <v>0</v>
      </c>
      <c r="J12" s="18" t="n">
        <v>1</v>
      </c>
      <c r="K12" s="19" t="n">
        <v>-0.001914915858</v>
      </c>
      <c r="L12" s="18" t="n">
        <v>0.95</v>
      </c>
      <c r="M12" s="18" t="n">
        <v>0.4434717619</v>
      </c>
    </row>
    <row r="13">
      <c r="A13" t="inlineStr">
        <is>
          <t>confounding strong, propagation weak, noise low</t>
        </is>
      </c>
      <c r="B13" s="16" t="n">
        <v>0.5038991926</v>
      </c>
      <c r="C13" t="n">
        <v>1.725119048</v>
      </c>
      <c r="D13" t="n">
        <v>0.01015789559</v>
      </c>
      <c r="E13" s="18" t="n">
        <v>0.25</v>
      </c>
      <c r="F13" s="19" t="n">
        <v>-0.009265980383</v>
      </c>
      <c r="G13" s="14" t="n">
        <v>-0.0880952381</v>
      </c>
      <c r="H13" s="14" t="n">
        <v>0.955952381</v>
      </c>
      <c r="I13" s="7" t="n">
        <v>0</v>
      </c>
      <c r="J13" s="18" t="n">
        <v>1</v>
      </c>
      <c r="K13" s="19" t="n">
        <v>0.0009890722495</v>
      </c>
      <c r="L13" s="18" t="n">
        <v>1</v>
      </c>
      <c r="M13" s="18" t="n">
        <v>0.4738459095</v>
      </c>
    </row>
    <row r="15">
      <c r="A15" t="inlineStr">
        <is>
          <t>Source: the simulated airline network with known truth, the recovery study, every condition and seed, 20 seeds, as of 2026-10-01.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</cols>
  <sheetData>
    <row r="1">
      <c r="A1" s="10" t="inlineStr">
        <is>
          <t>Metric</t>
        </is>
      </c>
      <c r="B1" s="11" t="inlineStr">
        <is>
          <t>Over the flights</t>
        </is>
      </c>
      <c r="C1" s="11" t="inlineStr">
        <is>
          <t>Over the mart</t>
        </is>
      </c>
    </row>
    <row r="2">
      <c r="A2" t="inlineStr">
        <is>
          <t>scheduled flights</t>
        </is>
      </c>
      <c r="B2" t="inlineStr">
        <is>
          <t>count(*)</t>
        </is>
      </c>
      <c r="C2" t="inlineStr">
        <is>
          <t>sum(scheduled)</t>
        </is>
      </c>
    </row>
    <row r="3">
      <c r="A3" t="inlineStr">
        <is>
          <t>cancellation rate</t>
        </is>
      </c>
      <c r="B3" t="inlineStr">
        <is>
          <t>avg(cancelled::int)</t>
        </is>
      </c>
      <c r="C3" t="inlineStr">
        <is>
          <t>sum(cancelled) / sum(scheduled)</t>
        </is>
      </c>
    </row>
    <row r="4">
      <c r="A4" t="inlineStr">
        <is>
          <t>completion factor</t>
        </is>
      </c>
      <c r="B4" t="inlineStr">
        <is>
          <t>1 - avg(cancelled::int)</t>
        </is>
      </c>
      <c r="C4" t="inlineStr">
        <is>
          <t>1 - sum(cancelled) / sum(scheduled)</t>
        </is>
      </c>
    </row>
    <row r="5">
      <c r="A5" t="inlineStr">
        <is>
          <t>diversion rate</t>
        </is>
      </c>
      <c r="B5" t="inlineStr">
        <is>
          <t>avg(diverted::int)</t>
        </is>
      </c>
      <c r="C5" t="inlineStr">
        <is>
          <t>sum(diverted) / sum(scheduled)</t>
        </is>
      </c>
    </row>
    <row r="6">
      <c r="A6" t="inlineStr">
        <is>
          <t>on time rate</t>
        </is>
      </c>
      <c r="B6" t="inlineStr">
        <is>
          <t>avg((arr_delay &lt; 15)::int) filter (where not cancelled and not diverted)</t>
        </is>
      </c>
      <c r="C6" t="inlineStr">
        <is>
          <t>sum(on_time) / sum(flown)</t>
        </is>
      </c>
    </row>
    <row r="7">
      <c r="A7" t="inlineStr">
        <is>
          <t>mean arrival delay</t>
        </is>
      </c>
      <c r="B7" t="inlineStr">
        <is>
          <t>avg(arr_delay) filter (where not cancelled and not diverted)</t>
        </is>
      </c>
      <c r="C7" t="inlineStr">
        <is>
          <t>sum(arr_delay_sum) / sum(flown)</t>
        </is>
      </c>
    </row>
    <row r="8">
      <c r="A8" t="inlineStr">
        <is>
          <t>median arrival delay</t>
        </is>
      </c>
      <c r="B8" t="inlineStr">
        <is>
          <t>quantile_disc(least(greatest(arr_delay, -60), 300), 0.5) filter (where not cancelled and not diverted and arr_delay is not null)</t>
        </is>
      </c>
      <c r="C8" t="inlineStr">
        <is>
          <t>median_from_histogram</t>
        </is>
      </c>
    </row>
    <row r="9">
      <c r="A9" t="inlineStr">
        <is>
          <t>mean scheduled block</t>
        </is>
      </c>
      <c r="B9" t="inlineStr">
        <is>
          <t>avg(crs_elapsed) filter (where not cancelled and not diverted)</t>
        </is>
      </c>
      <c r="C9" t="inlineStr">
        <is>
          <t>sum(crs_elapsed_sum) / sum(flown)</t>
        </is>
      </c>
    </row>
    <row r="10">
      <c r="A10" t="inlineStr">
        <is>
          <t>mean actual block</t>
        </is>
      </c>
      <c r="B10" t="inlineStr">
        <is>
          <t>avg(actual_elapsed) filter (where not cancelled and not diverted)</t>
        </is>
      </c>
      <c r="C10" t="inlineStr">
        <is>
          <t>sum(actual_elapsed_sum) / sum(flown)</t>
        </is>
      </c>
    </row>
    <row r="11">
      <c r="A11" t="inlineStr">
        <is>
          <t>mean padding</t>
        </is>
      </c>
      <c r="B11" t="inlineStr">
        <is>
          <t>avg(padding)</t>
        </is>
      </c>
      <c r="C11" t="inlineStr">
        <is>
          <t>sum(padding_sum) / sum(padding_flights)</t>
        </is>
      </c>
    </row>
    <row r="12">
      <c r="A12" t="inlineStr">
        <is>
          <t>padding share</t>
        </is>
      </c>
      <c r="B12" t="inlineStr">
        <is>
          <t>sum(padding) / sum(crs_elapsed) filter (where padding is not null)</t>
        </is>
      </c>
      <c r="C12" t="inlineStr">
        <is>
          <t>sum(padding_sum) / sum(padding_block_sum)</t>
        </is>
      </c>
    </row>
    <row r="13">
      <c r="A13" t="inlineStr">
        <is>
          <t>reported late aircraft share</t>
        </is>
      </c>
      <c r="B13" t="inlineStr">
        <is>
          <t>sum(cause_late_aircraft) filter (where cause_ok) / sum(cause_late_aircraft + cause_carrier + cause_nas + cause_weather + cause_security) filter (where cause_ok)</t>
        </is>
      </c>
      <c r="C13" t="inlineStr">
        <is>
          <t>sum(cause_late_aircraft_sum) / (sum(cause_late_aircraft_sum) + sum(cause_carrier_sum) + sum(cause_nas_sum) + sum(cause_weather_sum) + sum(cause_security_sum))</t>
        </is>
      </c>
    </row>
    <row r="14">
      <c r="A14" t="inlineStr">
        <is>
          <t>reported carrier share</t>
        </is>
      </c>
      <c r="B14" t="inlineStr">
        <is>
          <t>sum(cause_carrier) filter (where cause_ok) / sum(cause_late_aircraft + cause_carrier + cause_nas + cause_weather + cause_security) filter (where cause_ok)</t>
        </is>
      </c>
      <c r="C14" t="inlineStr">
        <is>
          <t>sum(cause_carrier_sum) / (sum(cause_late_aircraft_sum) + sum(cause_carrier_sum) + sum(cause_nas_sum) + sum(cause_weather_sum) + sum(cause_security_sum))</t>
        </is>
      </c>
    </row>
    <row r="15">
      <c r="A15" t="inlineStr">
        <is>
          <t>reported nas share</t>
        </is>
      </c>
      <c r="B15" t="inlineStr">
        <is>
          <t>sum(cause_nas) filter (where cause_ok) / sum(cause_late_aircraft + cause_carrier + cause_nas + cause_weather + cause_security) filter (where cause_ok)</t>
        </is>
      </c>
      <c r="C15" t="inlineStr">
        <is>
          <t>sum(cause_nas_sum) / (sum(cause_late_aircraft_sum) + sum(cause_carrier_sum) + sum(cause_nas_sum) + sum(cause_weather_sum) + sum(cause_security_sum))</t>
        </is>
      </c>
    </row>
    <row r="16">
      <c r="A16" t="inlineStr">
        <is>
          <t>reported weather share</t>
        </is>
      </c>
      <c r="B16" t="inlineStr">
        <is>
          <t>sum(cause_weather) filter (where cause_ok) / sum(cause_late_aircraft + cause_carrier + cause_nas + cause_weather + cause_security) filter (where cause_ok)</t>
        </is>
      </c>
      <c r="C16" t="inlineStr">
        <is>
          <t>sum(cause_weather_sum) / (sum(cause_late_aircraft_sum) + sum(cause_carrier_sum) + sum(cause_nas_sum) + sum(cause_weather_sum) + sum(cause_security_sum))</t>
        </is>
      </c>
    </row>
    <row r="17">
      <c r="A17" t="inlineStr">
        <is>
          <t>reported security share</t>
        </is>
      </c>
      <c r="B17" t="inlineStr">
        <is>
          <t>sum(cause_security) filter (where cause_ok) / sum(cause_late_aircraft + cause_carrier + cause_nas + cause_weather + cause_security) filter (where cause_ok)</t>
        </is>
      </c>
      <c r="C17" t="inlineStr">
        <is>
          <t>sum(cause_security_sum) / (sum(cause_late_aircraft_sum) + sum(cause_carrier_sum) + sum(cause_nas_sum) + sum(cause_weather_sum) + sum(cause_security_sum))</t>
        </is>
      </c>
    </row>
    <row r="18">
      <c r="A18" t="inlineStr">
        <is>
          <t>inherited share</t>
        </is>
      </c>
      <c r="B18" t="inlineStr">
        <is>
          <t>sum(inherited_minutes) / sum(arr_delay_pos)</t>
        </is>
      </c>
      <c r="C18" t="inlineStr">
        <is>
          <t>sum(inherited_minutes_sum) / sum(arr_delay_pos_sum)</t>
        </is>
      </c>
    </row>
    <row r="20">
      <c r="A20" t="inlineStr">
        <is>
          <t>Source: BTS Reporting Carrier On-Time Performance, every flight in the window, through the metric layer, as of 2026-10-01.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2026-10-01T22:12:43Z</dcterms:created>
  <dcterms:modified xsi:type="dcterms:W3CDTF">2026-10-01T22:12:43Z</dcterms:modified>
</cp:coreProperties>
</file>